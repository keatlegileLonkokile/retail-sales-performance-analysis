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Regional Summary" sheetId="2" state="visible" r:id="rId4"/>
    <sheet name="Category Summary" sheetId="3" state="visible" r:id="rId5"/>
    <sheet name="Monthly Trend" sheetId="4" state="visible" r:id="rId6"/>
    <sheet name="Store Performance" sheetId="5" state="visible" r:id="rId7"/>
    <sheet name="Product Summary" sheetId="6" state="visible" r:id="rId8"/>
    <sheet name="Insights &amp; Recommendations" sheetId="7" state="visible" r:id="rId9"/>
  </sheets>
  <definedNames>
    <definedName function="false" hidden="true" localSheetId="0" name="_xlnm._FilterDatabase" vbProcedure="false">'Raw Data'!$A$1:$L$2401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<sst xmlns="http://schemas.openxmlformats.org/spreadsheetml/2006/main" count="9716" uniqueCount="92">
  <si>
    <t xml:space="preserve">Region</t>
  </si>
  <si>
    <t xml:space="preserve">Store</t>
  </si>
  <si>
    <t xml:space="preserve">Category</t>
  </si>
  <si>
    <t xml:space="preserve">Product</t>
  </si>
  <si>
    <t xml:space="preserve">Month</t>
  </si>
  <si>
    <t xml:space="preserve">Units Sold</t>
  </si>
  <si>
    <t xml:space="preserve">Unit Price</t>
  </si>
  <si>
    <t xml:space="preserve">Unit Cost</t>
  </si>
  <si>
    <t xml:space="preserve">Revenue</t>
  </si>
  <si>
    <t xml:space="preserve">Cost</t>
  </si>
  <si>
    <t xml:space="preserve">Profit</t>
  </si>
  <si>
    <t xml:space="preserve">Margin</t>
  </si>
  <si>
    <t xml:space="preserve">Midwest</t>
  </si>
  <si>
    <t xml:space="preserve">Chicago</t>
  </si>
  <si>
    <t xml:space="preserve">Apparel</t>
  </si>
  <si>
    <t xml:space="preserve">Denim Jacket</t>
  </si>
  <si>
    <t xml:space="preserve">Men's T-Shirt</t>
  </si>
  <si>
    <t xml:space="preserve">Running Shoes</t>
  </si>
  <si>
    <t xml:space="preserve">Women's Leggings</t>
  </si>
  <si>
    <t xml:space="preserve">Wool Sweater</t>
  </si>
  <si>
    <t xml:space="preserve">Beauty &amp; Personal Care</t>
  </si>
  <si>
    <t xml:space="preserve">Electric Toothbrush</t>
  </si>
  <si>
    <t xml:space="preserve">Facial Cleanser</t>
  </si>
  <si>
    <t xml:space="preserve">Hair Dryer</t>
  </si>
  <si>
    <t xml:space="preserve">Moisturizer</t>
  </si>
  <si>
    <t xml:space="preserve">Perfume Set</t>
  </si>
  <si>
    <t xml:space="preserve">Electronics</t>
  </si>
  <si>
    <t xml:space="preserve">Bluetooth Speaker</t>
  </si>
  <si>
    <t xml:space="preserve">Portable Charger</t>
  </si>
  <si>
    <t xml:space="preserve">Smartwatch</t>
  </si>
  <si>
    <t xml:space="preserve">Tablet Stand</t>
  </si>
  <si>
    <t xml:space="preserve">Wireless Earbuds</t>
  </si>
  <si>
    <t xml:space="preserve">Home &amp; Kitchen</t>
  </si>
  <si>
    <t xml:space="preserve">Coffee Maker</t>
  </si>
  <si>
    <t xml:space="preserve">LED Desk Lamp</t>
  </si>
  <si>
    <t xml:space="preserve">Non-Stick Pan Set</t>
  </si>
  <si>
    <t xml:space="preserve">Storage Bins (Set of 3)</t>
  </si>
  <si>
    <t xml:space="preserve">Throw Blanket</t>
  </si>
  <si>
    <t xml:space="preserve">Sports &amp; Outdoors</t>
  </si>
  <si>
    <t xml:space="preserve">Camping Tent</t>
  </si>
  <si>
    <t xml:space="preserve">Hiking Backpack</t>
  </si>
  <si>
    <t xml:space="preserve">Resistance Bands</t>
  </si>
  <si>
    <t xml:space="preserve">Water Bottle</t>
  </si>
  <si>
    <t xml:space="preserve">Yoga Mat</t>
  </si>
  <si>
    <t xml:space="preserve">Northeast</t>
  </si>
  <si>
    <t xml:space="preserve">Boston</t>
  </si>
  <si>
    <t xml:space="preserve">New York</t>
  </si>
  <si>
    <t xml:space="preserve">Southeast</t>
  </si>
  <si>
    <t xml:space="preserve">Atlanta</t>
  </si>
  <si>
    <t xml:space="preserve">Miami</t>
  </si>
  <si>
    <t xml:space="preserve">Southwest</t>
  </si>
  <si>
    <t xml:space="preserve">Dallas</t>
  </si>
  <si>
    <t xml:space="preserve">West</t>
  </si>
  <si>
    <t xml:space="preserve">Los Angeles</t>
  </si>
  <si>
    <t xml:space="preserve">Seattle</t>
  </si>
  <si>
    <t xml:space="preserve">Total Revenue</t>
  </si>
  <si>
    <t xml:space="preserve">Electronics Revenue</t>
  </si>
  <si>
    <t xml:space="preserve">Total Profit</t>
  </si>
  <si>
    <t xml:space="preserve">H1 Revenue (Aug-Jan)</t>
  </si>
  <si>
    <t xml:space="preserve">H2 Revenue (Feb-Jul)</t>
  </si>
  <si>
    <t xml:space="preserve">% Change H1-&gt;H2</t>
  </si>
  <si>
    <t xml:space="preserve">Full-Year Revenue</t>
  </si>
  <si>
    <t xml:space="preserve">Full-Year Profit</t>
  </si>
  <si>
    <t xml:space="preserve">Top 5 Products by Revenue</t>
  </si>
  <si>
    <t xml:space="preserve">Rank</t>
  </si>
  <si>
    <t xml:space="preserve">Bottom 5 Products by Revenue</t>
  </si>
  <si>
    <t xml:space="preserve">Northwind Retail — Sales Performance: Key Findings</t>
  </si>
  <si>
    <t xml:space="preserve">All figures below are computed live via formulas from the Raw Data sheet.</t>
  </si>
  <si>
    <t xml:space="preserve">Total Revenue (FY)</t>
  </si>
  <si>
    <t xml:space="preserve">Total Profit (FY)</t>
  </si>
  <si>
    <t xml:space="preserve">Overall Margin</t>
  </si>
  <si>
    <t xml:space="preserve">Top Region</t>
  </si>
  <si>
    <t xml:space="preserve">Top Region Revenue</t>
  </si>
  <si>
    <t xml:space="preserve">Bottom Region</t>
  </si>
  <si>
    <t xml:space="preserve">Bottom Region Revenue</t>
  </si>
  <si>
    <t xml:space="preserve">Most Declining Store (H1-&gt;H2)</t>
  </si>
  <si>
    <t xml:space="preserve">Decline %</t>
  </si>
  <si>
    <t xml:space="preserve">Thinnest-Margin Category</t>
  </si>
  <si>
    <t xml:space="preserve">Thinnest Margin %</t>
  </si>
  <si>
    <t xml:space="preserve">Electronics Holiday Lift (Nov/Dec vs. rest of year)</t>
  </si>
  <si>
    <t xml:space="preserve">Findings &amp; Recommendations</t>
  </si>
  <si>
    <t xml:space="preserve">(Analyst commentary — see the Key Metrics above and the underlying sheets for the figures cited.)</t>
  </si>
  <si>
    <t xml:space="preserve">1. Miami is in a steady, accelerating decline.</t>
  </si>
  <si>
    <t xml:space="preserve">Miami's revenue fell roughly 43% from the first half of the year to the second half, the steepest drop of any store, while every other Southeast store held steady or grew. This reads as a competitive or local-demand problem, not a seasonal blip. Recommend an on-the-ground review (new competitor activity, pricing, foot traffic) within the next quarter, paired with a targeted local promotion to test whether discounting recovers volume before considering a footprint change.</t>
  </si>
  <si>
    <t xml:space="preserve">2. Dallas is dramatically underperforming in Sports &amp; Outdoors specifically.</t>
  </si>
  <si>
    <t xml:space="preserve">Dallas sells about 75% less Sports &amp; Outdoors merchandise than the average of the other stores, while its performance in every other category is in line with peers — so this isn't a store-wide problem. Recommend auditing local assortment and shelf placement for that category, and testing regional marketing (e.g. tying inventory to local outdoor/sports seasonality in Texas) before cutting shelf space.</t>
  </si>
  <si>
    <t xml:space="preserve">3. Home &amp; Kitchen carries the thinnest margin of any category.</t>
  </si>
  <si>
    <t xml:space="preserve">At roughly a 29% margin versus 53-59% for Apparel and Beauty &amp; Personal Care, Home &amp; Kitchen is the category most exposed to cost inflation. Recommend a supplier/cost review for this category and testing a modest price increase on the highest-volume SKUs, where demand is least likely to be price-sensitive.</t>
  </si>
  <si>
    <t xml:space="preserve">4. Electronics spikes sharply in November and December.</t>
  </si>
  <si>
    <t xml:space="preserve">Electronics revenue in Nov/Dec runs well above the rest-of-year average, consistent with holiday shopping. Recommend building this into inventory and staffing plans ahead of Q4 rather than reacting to it, and considering a complementary cross-sell push (accessories, extended warranties) during that window to capture additional margin.</t>
  </si>
  <si>
    <t xml:space="preserve">5. Apparel and Beauty &amp; Personal Care are the strongest all-around performers.</t>
  </si>
  <si>
    <t xml:space="preserve">Both combine solid revenue with the highest margins in the portfolio. Recommend protecting and growing shelf space/marketing spend for these categories, and using them as the template (assortment, pricing approach) when reviewing the weaker categories above.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</si>
</sst>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 yyyy"/>
    <numFmt numFmtId="166" formatCode="\$#,##0;&quot;($&quot;#,##0\)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AA433F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CC8F8E"/>
      <rgbColor rgb="FF003366"/>
      <rgbColor rgb="FF339966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Summary'!B1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Summary'!$A$2:$A$6</c:f>
              <c:strCache>
                <c:ptCount val="5"/>
                <c:pt idx="0">
                  <c:v>Northeast</c:v>
                </c:pt>
                <c:pt idx="1">
                  <c:v>Southeast</c:v>
                </c:pt>
                <c:pt idx="2">
                  <c:v>Midwest</c:v>
                </c:pt>
                <c:pt idx="3">
                  <c:v>West</c:v>
                </c:pt>
                <c:pt idx="4">
                  <c:v>Southwest</c:v>
                </c:pt>
              </c:strCache>
            </c:strRef>
          </c:cat>
          <c:val>
            <c:numRef>
              <c:f>'Regional Summary'!$B$2:$B$6</c:f>
              <c:numCache>
                <c:formatCode>\$#,##0;"($"#,##0\)</c:formatCode>
                <c:ptCount val="5"/>
                <c:pt idx="0">
                  <c:v>444123.14</c:v>
                </c:pt>
                <c:pt idx="1">
                  <c:v>415919.51</c:v>
                </c:pt>
                <c:pt idx="2">
                  <c:v>229774.07</c:v>
                </c:pt>
                <c:pt idx="3">
                  <c:v>468366.64</c:v>
                </c:pt>
                <c:pt idx="4">
                  <c:v>167909.99</c:v>
                </c:pt>
              </c:numCache>
            </c:numRef>
          </c:val>
        </c:ser>
        <c:gapWidth val="150"/>
        <c:overlap val="0"/>
        <c:axId val="42161241"/>
        <c:axId val="9797967"/>
      </c:barChart>
      <c:catAx>
        <c:axId val="421612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97967"/>
        <c:crosses val="autoZero"/>
        <c:auto val="1"/>
        <c:lblAlgn val="ctr"/>
        <c:lblOffset val="100"/>
        <c:noMultiLvlLbl val="0"/>
      </c:catAx>
      <c:valAx>
        <c:axId val="9797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1612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Profit Margin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'Category Summary'!E1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Summary'!$A$2:$A$6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Kitchen</c:v>
                </c:pt>
                <c:pt idx="3">
                  <c:v>Beauty &amp; Personal Care</c:v>
                </c:pt>
                <c:pt idx="4">
                  <c:v>Sports &amp; Outdoors</c:v>
                </c:pt>
              </c:strCache>
            </c:strRef>
          </c:cat>
          <c:val>
            <c:numRef>
              <c:f>'Category Summary'!$E$2:$E$6</c:f>
              <c:numCache>
                <c:formatCode>0.0%</c:formatCode>
                <c:ptCount val="5"/>
                <c:pt idx="0">
                  <c:v>0.348038665997049</c:v>
                </c:pt>
                <c:pt idx="1">
                  <c:v>0.533785191255415</c:v>
                </c:pt>
                <c:pt idx="2">
                  <c:v>0.292835391483598</c:v>
                </c:pt>
                <c:pt idx="3">
                  <c:v>0.591012765370889</c:v>
                </c:pt>
                <c:pt idx="4">
                  <c:v>0.446312323707882</c:v>
                </c:pt>
              </c:numCache>
            </c:numRef>
          </c:val>
        </c:ser>
        <c:gapWidth val="150"/>
        <c:overlap val="0"/>
        <c:axId val="24600544"/>
        <c:axId val="66862204"/>
      </c:barChart>
      <c:catAx>
        <c:axId val="246005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862204"/>
        <c:crosses val="autoZero"/>
        <c:auto val="1"/>
        <c:lblAlgn val="ctr"/>
        <c:lblOffset val="100"/>
        <c:noMultiLvlLbl val="0"/>
      </c:catAx>
      <c:valAx>
        <c:axId val="66862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6005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Trend (Total vs. Electronics)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Aug 2025</c:v>
                </c:pt>
                <c:pt idx="1">
                  <c:v>Sep 2025</c:v>
                </c:pt>
                <c:pt idx="2">
                  <c:v>Oct 2025</c:v>
                </c:pt>
                <c:pt idx="3">
                  <c:v>Nov 2025</c:v>
                </c:pt>
                <c:pt idx="4">
                  <c:v>Dec 2025</c:v>
                </c:pt>
                <c:pt idx="5">
                  <c:v>Jan 2026</c:v>
                </c:pt>
                <c:pt idx="6">
                  <c:v>Feb 2026</c:v>
                </c:pt>
                <c:pt idx="7">
                  <c:v>Mar 2026</c:v>
                </c:pt>
                <c:pt idx="8">
                  <c:v>Apr 2026</c:v>
                </c:pt>
                <c:pt idx="9">
                  <c:v>May 2026</c:v>
                </c:pt>
                <c:pt idx="10">
                  <c:v>Jun 2026</c:v>
                </c:pt>
                <c:pt idx="11">
                  <c:v>Jul 2026</c:v>
                </c:pt>
              </c:strCache>
            </c:strRef>
          </c:cat>
          <c:val>
            <c:numRef>
              <c:f>'Monthly Trend'!$B$2:$B$13</c:f>
              <c:numCache>
                <c:formatCode>\$#,##0;"($"#,##0\)</c:formatCode>
                <c:ptCount val="12"/>
                <c:pt idx="0">
                  <c:v>144877.77</c:v>
                </c:pt>
                <c:pt idx="1">
                  <c:v>141926.99</c:v>
                </c:pt>
                <c:pt idx="2">
                  <c:v>141872.4</c:v>
                </c:pt>
                <c:pt idx="3">
                  <c:v>177997.59</c:v>
                </c:pt>
                <c:pt idx="4">
                  <c:v>197970.08</c:v>
                </c:pt>
                <c:pt idx="5">
                  <c:v>135230.11</c:v>
                </c:pt>
                <c:pt idx="6">
                  <c:v>129533.83</c:v>
                </c:pt>
                <c:pt idx="7">
                  <c:v>135598.26</c:v>
                </c:pt>
                <c:pt idx="8">
                  <c:v>136606.88</c:v>
                </c:pt>
                <c:pt idx="9">
                  <c:v>124501.81</c:v>
                </c:pt>
                <c:pt idx="10">
                  <c:v>128469.39</c:v>
                </c:pt>
                <c:pt idx="11">
                  <c:v>131508.24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Trend'!C1</c:f>
              <c:strCache>
                <c:ptCount val="1"/>
                <c:pt idx="0">
                  <c:v>Electronics Revenue</c:v>
                </c:pt>
              </c:strCache>
            </c:strRef>
          </c:tx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Trend'!$A$2:$A$13</c:f>
              <c:strCache>
                <c:ptCount val="12"/>
                <c:pt idx="0">
                  <c:v>Aug 2025</c:v>
                </c:pt>
                <c:pt idx="1">
                  <c:v>Sep 2025</c:v>
                </c:pt>
                <c:pt idx="2">
                  <c:v>Oct 2025</c:v>
                </c:pt>
                <c:pt idx="3">
                  <c:v>Nov 2025</c:v>
                </c:pt>
                <c:pt idx="4">
                  <c:v>Dec 2025</c:v>
                </c:pt>
                <c:pt idx="5">
                  <c:v>Jan 2026</c:v>
                </c:pt>
                <c:pt idx="6">
                  <c:v>Feb 2026</c:v>
                </c:pt>
                <c:pt idx="7">
                  <c:v>Mar 2026</c:v>
                </c:pt>
                <c:pt idx="8">
                  <c:v>Apr 2026</c:v>
                </c:pt>
                <c:pt idx="9">
                  <c:v>May 2026</c:v>
                </c:pt>
                <c:pt idx="10">
                  <c:v>Jun 2026</c:v>
                </c:pt>
                <c:pt idx="11">
                  <c:v>Jul 2026</c:v>
                </c:pt>
              </c:strCache>
            </c:strRef>
          </c:cat>
          <c:val>
            <c:numRef>
              <c:f>'Monthly Trend'!$C$2:$C$13</c:f>
              <c:numCache>
                <c:formatCode>\$#,##0;"($"#,##0\)</c:formatCode>
                <c:ptCount val="12"/>
                <c:pt idx="0">
                  <c:v>37088.48</c:v>
                </c:pt>
                <c:pt idx="1">
                  <c:v>37808.28</c:v>
                </c:pt>
                <c:pt idx="2">
                  <c:v>32864.04</c:v>
                </c:pt>
                <c:pt idx="3">
                  <c:v>78906.06</c:v>
                </c:pt>
                <c:pt idx="4">
                  <c:v>93483.73</c:v>
                </c:pt>
                <c:pt idx="5">
                  <c:v>32074.28</c:v>
                </c:pt>
                <c:pt idx="6">
                  <c:v>32084.39</c:v>
                </c:pt>
                <c:pt idx="7">
                  <c:v>33029.05</c:v>
                </c:pt>
                <c:pt idx="8">
                  <c:v>34628.8</c:v>
                </c:pt>
                <c:pt idx="9">
                  <c:v>30809.65</c:v>
                </c:pt>
                <c:pt idx="10">
                  <c:v>32259.55</c:v>
                </c:pt>
                <c:pt idx="11">
                  <c:v>30864.52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511443"/>
        <c:axId val="8413374"/>
      </c:lineChart>
      <c:catAx>
        <c:axId val="39511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13374"/>
        <c:crosses val="autoZero"/>
        <c:auto val="1"/>
        <c:lblAlgn val="ctr"/>
        <c:lblOffset val="100"/>
        <c:noMultiLvlLbl val="0"/>
      </c:catAx>
      <c:valAx>
        <c:axId val="84133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5114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H1 vs. H2 Revenue by Store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'Store Performance'!C1</c:f>
              <c:strCache>
                <c:ptCount val="1"/>
                <c:pt idx="0">
                  <c:v>H1 Revenue (Aug-Jan)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'Store Performance'!$A$2:$A$9</c:f>
              <c:strCache>
                <c:ptCount val="8"/>
                <c:pt idx="0">
                  <c:v>New York</c:v>
                </c:pt>
                <c:pt idx="1">
                  <c:v>Boston</c:v>
                </c:pt>
                <c:pt idx="2">
                  <c:v>Atlanta</c:v>
                </c:pt>
                <c:pt idx="3">
                  <c:v>Miami</c:v>
                </c:pt>
                <c:pt idx="4">
                  <c:v>Chicago</c:v>
                </c:pt>
                <c:pt idx="5">
                  <c:v>Los Angeles</c:v>
                </c:pt>
                <c:pt idx="6">
                  <c:v>Seattle</c:v>
                </c:pt>
                <c:pt idx="7">
                  <c:v>Dallas</c:v>
                </c:pt>
              </c:strCache>
            </c:strRef>
          </c:cat>
          <c:val>
            <c:numRef>
              <c:f>'Store Performance'!$C$2:$C$9</c:f>
              <c:numCache>
                <c:formatCode>\$#,##0;"($"#,##0\)</c:formatCode>
                <c:ptCount val="8"/>
                <c:pt idx="0">
                  <c:v>92183.88</c:v>
                </c:pt>
                <c:pt idx="1">
                  <c:v>142750.88</c:v>
                </c:pt>
                <c:pt idx="2">
                  <c:v>107573.86</c:v>
                </c:pt>
                <c:pt idx="3">
                  <c:v>139362.48</c:v>
                </c:pt>
                <c:pt idx="4">
                  <c:v>117432.97</c:v>
                </c:pt>
                <c:pt idx="5">
                  <c:v>116015.06</c:v>
                </c:pt>
                <c:pt idx="6">
                  <c:v>134860.09</c:v>
                </c:pt>
                <c:pt idx="7">
                  <c:v>89695.72</c:v>
                </c:pt>
              </c:numCache>
            </c:numRef>
          </c:val>
        </c:ser>
        <c:ser>
          <c:idx val="1"/>
          <c:order val="1"/>
          <c:tx>
            <c:strRef>
              <c:f>'Store Performance'!D1</c:f>
              <c:strCache>
                <c:ptCount val="1"/>
                <c:pt idx="0">
                  <c:v>H2 Revenue (Feb-Jul)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'Store Performance'!$A$2:$A$9</c:f>
              <c:strCache>
                <c:ptCount val="8"/>
                <c:pt idx="0">
                  <c:v>New York</c:v>
                </c:pt>
                <c:pt idx="1">
                  <c:v>Boston</c:v>
                </c:pt>
                <c:pt idx="2">
                  <c:v>Atlanta</c:v>
                </c:pt>
                <c:pt idx="3">
                  <c:v>Miami</c:v>
                </c:pt>
                <c:pt idx="4">
                  <c:v>Chicago</c:v>
                </c:pt>
                <c:pt idx="5">
                  <c:v>Los Angeles</c:v>
                </c:pt>
                <c:pt idx="6">
                  <c:v>Seattle</c:v>
                </c:pt>
                <c:pt idx="7">
                  <c:v>Dallas</c:v>
                </c:pt>
              </c:strCache>
            </c:strRef>
          </c:cat>
          <c:val>
            <c:numRef>
              <c:f>'Store Performance'!$D$2:$D$9</c:f>
              <c:numCache>
                <c:formatCode>\$#,##0;"($"#,##0\)</c:formatCode>
                <c:ptCount val="8"/>
                <c:pt idx="0">
                  <c:v>82910.42</c:v>
                </c:pt>
                <c:pt idx="1">
                  <c:v>126277.96</c:v>
                </c:pt>
                <c:pt idx="2">
                  <c:v>89663.5</c:v>
                </c:pt>
                <c:pt idx="3">
                  <c:v>79319.67</c:v>
                </c:pt>
                <c:pt idx="4">
                  <c:v>112341.1</c:v>
                </c:pt>
                <c:pt idx="5">
                  <c:v>103471.75</c:v>
                </c:pt>
                <c:pt idx="6">
                  <c:v>114019.74</c:v>
                </c:pt>
                <c:pt idx="7">
                  <c:v>78214.27</c:v>
                </c:pt>
              </c:numCache>
            </c:numRef>
          </c:val>
        </c:ser>
        <c:gapWidth val="150"/>
        <c:overlap val="0"/>
        <c:axId val="55970629"/>
        <c:axId val="51784811"/>
      </c:barChart>
      <c:catAx>
        <c:axId val="559706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784811"/>
        <c:crosses val="autoZero"/>
        <c:auto val="1"/>
        <c:lblAlgn val="ctr"/>
        <c:lblOffset val="100"/>
        <c:noMultiLvlLbl val="0"/>
      </c:catAx>
      <c:valAx>
        <c:axId val="517848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706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55454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15</xdr:col>
      <xdr:colOff>255960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610920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15</xdr:col>
      <xdr:colOff>364320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5122440" y="3409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20</xdr:col>
      <xdr:colOff>473040</xdr:colOff>
      <xdr:row>19</xdr:row>
      <xdr:rowOff>170640</xdr:rowOff>
    </xdr:to>
    <xdr:graphicFrame>
      <xdr:nvGraphicFramePr>
        <xdr:cNvPr id="4" name="Chart 1"/>
        <xdr:cNvGraphicFramePr/>
      </xdr:nvGraphicFramePr>
      <xdr:xfrm>
        <a:off x="9633600" y="34092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8" min="5" style="0" width="10"/>
    <col collapsed="false" customWidth="true" hidden="false" outlineLevel="0" max="11" min="9" style="0" width="12"/>
    <col collapsed="false" customWidth="true" hidden="false" outlineLevel="0" max="12" min="12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3" t="n">
        <v>45870</v>
      </c>
      <c r="F2" s="2" t="n">
        <v>18</v>
      </c>
      <c r="G2" s="4" t="n">
        <v>69.99</v>
      </c>
      <c r="H2" s="4" t="n">
        <v>34.01</v>
      </c>
      <c r="I2" s="4" t="n">
        <f aca="false">F2*G2</f>
        <v>1259.82</v>
      </c>
      <c r="J2" s="4" t="n">
        <f aca="false">F2*H2</f>
        <v>612.18</v>
      </c>
      <c r="K2" s="4" t="n">
        <f aca="false">I2-J2</f>
        <v>647.64</v>
      </c>
      <c r="L2" s="5" t="n">
        <f aca="false">IFERROR(K2/I2,0)</f>
        <v>0.514073439062723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16</v>
      </c>
      <c r="E3" s="3" t="n">
        <v>45870</v>
      </c>
      <c r="F3" s="2" t="n">
        <v>16</v>
      </c>
      <c r="G3" s="4" t="n">
        <v>19.99</v>
      </c>
      <c r="H3" s="4" t="n">
        <v>9.18</v>
      </c>
      <c r="I3" s="4" t="n">
        <f aca="false">F3*G3</f>
        <v>319.84</v>
      </c>
      <c r="J3" s="4" t="n">
        <f aca="false">F3*H3</f>
        <v>146.88</v>
      </c>
      <c r="K3" s="4" t="n">
        <f aca="false">I3-J3</f>
        <v>172.96</v>
      </c>
      <c r="L3" s="5" t="n">
        <f aca="false">IFERROR(K3/I3,0)</f>
        <v>0.540770385192596</v>
      </c>
    </row>
    <row r="4" customFormat="false" ht="1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17</v>
      </c>
      <c r="E4" s="3" t="n">
        <v>45870</v>
      </c>
      <c r="F4" s="2" t="n">
        <v>12</v>
      </c>
      <c r="G4" s="4" t="n">
        <v>79.99</v>
      </c>
      <c r="H4" s="4" t="n">
        <v>39.06</v>
      </c>
      <c r="I4" s="4" t="n">
        <f aca="false">F4*G4</f>
        <v>959.88</v>
      </c>
      <c r="J4" s="4" t="n">
        <f aca="false">F4*H4</f>
        <v>468.72</v>
      </c>
      <c r="K4" s="4" t="n">
        <f aca="false">I4-J4</f>
        <v>491.16</v>
      </c>
      <c r="L4" s="5" t="n">
        <f aca="false">IFERROR(K4/I4,0)</f>
        <v>0.51168896112014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  <c r="D5" s="2" t="s">
        <v>18</v>
      </c>
      <c r="E5" s="3" t="n">
        <v>45870</v>
      </c>
      <c r="F5" s="2" t="n">
        <v>13</v>
      </c>
      <c r="G5" s="4" t="n">
        <v>34.99</v>
      </c>
      <c r="H5" s="4" t="n">
        <v>14.48</v>
      </c>
      <c r="I5" s="4" t="n">
        <f aca="false">F5*G5</f>
        <v>454.87</v>
      </c>
      <c r="J5" s="4" t="n">
        <f aca="false">F5*H5</f>
        <v>188.24</v>
      </c>
      <c r="K5" s="4" t="n">
        <f aca="false">I5-J5</f>
        <v>266.63</v>
      </c>
      <c r="L5" s="5" t="n">
        <f aca="false">IFERROR(K5/I5,0)</f>
        <v>0.586167476421835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14</v>
      </c>
      <c r="D6" s="2" t="s">
        <v>19</v>
      </c>
      <c r="E6" s="3" t="n">
        <v>45870</v>
      </c>
      <c r="F6" s="2" t="n">
        <v>11</v>
      </c>
      <c r="G6" s="4" t="n">
        <v>54.99</v>
      </c>
      <c r="H6" s="4" t="n">
        <v>24.21</v>
      </c>
      <c r="I6" s="4" t="n">
        <f aca="false">F6*G6</f>
        <v>604.89</v>
      </c>
      <c r="J6" s="4" t="n">
        <f aca="false">F6*H6</f>
        <v>266.31</v>
      </c>
      <c r="K6" s="4" t="n">
        <f aca="false">I6-J6</f>
        <v>338.58</v>
      </c>
      <c r="L6" s="5" t="n">
        <f aca="false">IFERROR(K6/I6,0)</f>
        <v>0.559738134206219</v>
      </c>
    </row>
    <row r="7" customFormat="false" ht="15" hidden="false" customHeight="false" outlineLevel="0" collapsed="false">
      <c r="A7" s="2" t="s">
        <v>12</v>
      </c>
      <c r="B7" s="2" t="s">
        <v>13</v>
      </c>
      <c r="C7" s="2" t="s">
        <v>20</v>
      </c>
      <c r="D7" s="2" t="s">
        <v>21</v>
      </c>
      <c r="E7" s="3" t="n">
        <v>45870</v>
      </c>
      <c r="F7" s="2" t="n">
        <v>17</v>
      </c>
      <c r="G7" s="4" t="n">
        <v>44.99</v>
      </c>
      <c r="H7" s="4" t="n">
        <v>20.36</v>
      </c>
      <c r="I7" s="4" t="n">
        <f aca="false">F7*G7</f>
        <v>764.83</v>
      </c>
      <c r="J7" s="4" t="n">
        <f aca="false">F7*H7</f>
        <v>346.12</v>
      </c>
      <c r="K7" s="4" t="n">
        <f aca="false">I7-J7</f>
        <v>418.71</v>
      </c>
      <c r="L7" s="5" t="n">
        <f aca="false">IFERROR(K7/I7,0)</f>
        <v>0.547454989997777</v>
      </c>
    </row>
    <row r="8" customFormat="false" ht="15" hidden="false" customHeight="false" outlineLevel="0" collapsed="false">
      <c r="A8" s="2" t="s">
        <v>12</v>
      </c>
      <c r="B8" s="2" t="s">
        <v>13</v>
      </c>
      <c r="C8" s="2" t="s">
        <v>20</v>
      </c>
      <c r="D8" s="2" t="s">
        <v>22</v>
      </c>
      <c r="E8" s="3" t="n">
        <v>45870</v>
      </c>
      <c r="F8" s="2" t="n">
        <v>20</v>
      </c>
      <c r="G8" s="4" t="n">
        <v>14.99</v>
      </c>
      <c r="H8" s="4" t="n">
        <v>5.65</v>
      </c>
      <c r="I8" s="4" t="n">
        <f aca="false">F8*G8</f>
        <v>299.8</v>
      </c>
      <c r="J8" s="4" t="n">
        <f aca="false">F8*H8</f>
        <v>113</v>
      </c>
      <c r="K8" s="4" t="n">
        <f aca="false">I8-J8</f>
        <v>186.8</v>
      </c>
      <c r="L8" s="5" t="n">
        <f aca="false">IFERROR(K8/I8,0)</f>
        <v>0.623082054703136</v>
      </c>
    </row>
    <row r="9" customFormat="false" ht="15" hidden="false" customHeight="false" outlineLevel="0" collapsed="false">
      <c r="A9" s="2" t="s">
        <v>12</v>
      </c>
      <c r="B9" s="2" t="s">
        <v>13</v>
      </c>
      <c r="C9" s="2" t="s">
        <v>20</v>
      </c>
      <c r="D9" s="2" t="s">
        <v>23</v>
      </c>
      <c r="E9" s="3" t="n">
        <v>45870</v>
      </c>
      <c r="F9" s="2" t="n">
        <v>11</v>
      </c>
      <c r="G9" s="4" t="n">
        <v>39.99</v>
      </c>
      <c r="H9" s="4" t="n">
        <v>16.59</v>
      </c>
      <c r="I9" s="4" t="n">
        <f aca="false">F9*G9</f>
        <v>439.89</v>
      </c>
      <c r="J9" s="4" t="n">
        <f aca="false">F9*H9</f>
        <v>182.49</v>
      </c>
      <c r="K9" s="4" t="n">
        <f aca="false">I9-J9</f>
        <v>257.4</v>
      </c>
      <c r="L9" s="5" t="n">
        <f aca="false">IFERROR(K9/I9,0)</f>
        <v>0.585146286571643</v>
      </c>
    </row>
    <row r="10" customFormat="false" ht="15" hidden="false" customHeight="false" outlineLevel="0" collapsed="false">
      <c r="A10" s="2" t="s">
        <v>12</v>
      </c>
      <c r="B10" s="2" t="s">
        <v>13</v>
      </c>
      <c r="C10" s="2" t="s">
        <v>20</v>
      </c>
      <c r="D10" s="2" t="s">
        <v>24</v>
      </c>
      <c r="E10" s="3" t="n">
        <v>45870</v>
      </c>
      <c r="F10" s="2" t="n">
        <v>14</v>
      </c>
      <c r="G10" s="4" t="n">
        <v>18.99</v>
      </c>
      <c r="H10" s="4" t="n">
        <v>7.77</v>
      </c>
      <c r="I10" s="4" t="n">
        <f aca="false">F10*G10</f>
        <v>265.86</v>
      </c>
      <c r="J10" s="4" t="n">
        <f aca="false">F10*H10</f>
        <v>108.78</v>
      </c>
      <c r="K10" s="4" t="n">
        <f aca="false">I10-J10</f>
        <v>157.08</v>
      </c>
      <c r="L10" s="5" t="n">
        <f aca="false">IFERROR(K10/I10,0)</f>
        <v>0.590837282780411</v>
      </c>
    </row>
    <row r="11" customFormat="false" ht="15" hidden="false" customHeight="false" outlineLevel="0" collapsed="false">
      <c r="A11" s="2" t="s">
        <v>12</v>
      </c>
      <c r="B11" s="2" t="s">
        <v>13</v>
      </c>
      <c r="C11" s="2" t="s">
        <v>20</v>
      </c>
      <c r="D11" s="2" t="s">
        <v>25</v>
      </c>
      <c r="E11" s="3" t="n">
        <v>45870</v>
      </c>
      <c r="F11" s="2" t="n">
        <v>15</v>
      </c>
      <c r="G11" s="4" t="n">
        <v>42.99</v>
      </c>
      <c r="H11" s="4" t="n">
        <v>15.85</v>
      </c>
      <c r="I11" s="4" t="n">
        <f aca="false">F11*G11</f>
        <v>644.85</v>
      </c>
      <c r="J11" s="4" t="n">
        <f aca="false">F11*H11</f>
        <v>237.75</v>
      </c>
      <c r="K11" s="4" t="n">
        <f aca="false">I11-J11</f>
        <v>407.1</v>
      </c>
      <c r="L11" s="5" t="n">
        <f aca="false">IFERROR(K11/I11,0)</f>
        <v>0.631309606885322</v>
      </c>
    </row>
    <row r="12" customFormat="false" ht="15" hidden="false" customHeight="false" outlineLevel="0" collapsed="false">
      <c r="A12" s="2" t="s">
        <v>12</v>
      </c>
      <c r="B12" s="2" t="s">
        <v>13</v>
      </c>
      <c r="C12" s="2" t="s">
        <v>26</v>
      </c>
      <c r="D12" s="2" t="s">
        <v>27</v>
      </c>
      <c r="E12" s="3" t="n">
        <v>45870</v>
      </c>
      <c r="F12" s="2" t="n">
        <v>13</v>
      </c>
      <c r="G12" s="4" t="n">
        <v>44.99</v>
      </c>
      <c r="H12" s="4" t="n">
        <v>27.73</v>
      </c>
      <c r="I12" s="4" t="n">
        <f aca="false">F12*G12</f>
        <v>584.87</v>
      </c>
      <c r="J12" s="4" t="n">
        <f aca="false">F12*H12</f>
        <v>360.49</v>
      </c>
      <c r="K12" s="4" t="n">
        <f aca="false">I12-J12</f>
        <v>224.38</v>
      </c>
      <c r="L12" s="5" t="n">
        <f aca="false">IFERROR(K12/I12,0)</f>
        <v>0.383640809068682</v>
      </c>
    </row>
    <row r="13" customFormat="false" ht="15" hidden="false" customHeight="false" outlineLevel="0" collapsed="false">
      <c r="A13" s="2" t="s">
        <v>12</v>
      </c>
      <c r="B13" s="2" t="s">
        <v>13</v>
      </c>
      <c r="C13" s="2" t="s">
        <v>26</v>
      </c>
      <c r="D13" s="2" t="s">
        <v>28</v>
      </c>
      <c r="E13" s="3" t="n">
        <v>45870</v>
      </c>
      <c r="F13" s="2" t="n">
        <v>13</v>
      </c>
      <c r="G13" s="4" t="n">
        <v>34.99</v>
      </c>
      <c r="H13" s="4" t="n">
        <v>23.02</v>
      </c>
      <c r="I13" s="4" t="n">
        <f aca="false">F13*G13</f>
        <v>454.87</v>
      </c>
      <c r="J13" s="4" t="n">
        <f aca="false">F13*H13</f>
        <v>299.26</v>
      </c>
      <c r="K13" s="4" t="n">
        <f aca="false">I13-J13</f>
        <v>155.61</v>
      </c>
      <c r="L13" s="5" t="n">
        <f aca="false">IFERROR(K13/I13,0)</f>
        <v>0.342097742212061</v>
      </c>
    </row>
    <row r="14" customFormat="false" ht="15" hidden="false" customHeight="false" outlineLevel="0" collapsed="false">
      <c r="A14" s="2" t="s">
        <v>12</v>
      </c>
      <c r="B14" s="2" t="s">
        <v>13</v>
      </c>
      <c r="C14" s="2" t="s">
        <v>26</v>
      </c>
      <c r="D14" s="2" t="s">
        <v>29</v>
      </c>
      <c r="E14" s="3" t="n">
        <v>45870</v>
      </c>
      <c r="F14" s="2" t="n">
        <v>19</v>
      </c>
      <c r="G14" s="4" t="n">
        <v>119.99</v>
      </c>
      <c r="H14" s="4" t="n">
        <v>82.75</v>
      </c>
      <c r="I14" s="4" t="n">
        <f aca="false">F14*G14</f>
        <v>2279.81</v>
      </c>
      <c r="J14" s="4" t="n">
        <f aca="false">F14*H14</f>
        <v>1572.25</v>
      </c>
      <c r="K14" s="4" t="n">
        <f aca="false">I14-J14</f>
        <v>707.56</v>
      </c>
      <c r="L14" s="5" t="n">
        <f aca="false">IFERROR(K14/I14,0)</f>
        <v>0.310359196599717</v>
      </c>
    </row>
    <row r="15" customFormat="false" ht="15" hidden="false" customHeight="false" outlineLevel="0" collapsed="false">
      <c r="A15" s="2" t="s">
        <v>12</v>
      </c>
      <c r="B15" s="2" t="s">
        <v>13</v>
      </c>
      <c r="C15" s="2" t="s">
        <v>26</v>
      </c>
      <c r="D15" s="2" t="s">
        <v>30</v>
      </c>
      <c r="E15" s="3" t="n">
        <v>45870</v>
      </c>
      <c r="F15" s="2" t="n">
        <v>19</v>
      </c>
      <c r="G15" s="4" t="n">
        <v>24.99</v>
      </c>
      <c r="H15" s="4" t="n">
        <v>14.81</v>
      </c>
      <c r="I15" s="4" t="n">
        <f aca="false">F15*G15</f>
        <v>474.81</v>
      </c>
      <c r="J15" s="4" t="n">
        <f aca="false">F15*H15</f>
        <v>281.39</v>
      </c>
      <c r="K15" s="4" t="n">
        <f aca="false">I15-J15</f>
        <v>193.42</v>
      </c>
      <c r="L15" s="5" t="n">
        <f aca="false">IFERROR(K15/I15,0)</f>
        <v>0.407362945178071</v>
      </c>
    </row>
    <row r="16" customFormat="false" ht="15" hidden="false" customHeight="false" outlineLevel="0" collapsed="false">
      <c r="A16" s="2" t="s">
        <v>12</v>
      </c>
      <c r="B16" s="2" t="s">
        <v>13</v>
      </c>
      <c r="C16" s="2" t="s">
        <v>26</v>
      </c>
      <c r="D16" s="2" t="s">
        <v>31</v>
      </c>
      <c r="E16" s="3" t="n">
        <v>45870</v>
      </c>
      <c r="F16" s="2" t="n">
        <v>17</v>
      </c>
      <c r="G16" s="4" t="n">
        <v>59.99</v>
      </c>
      <c r="H16" s="4" t="n">
        <v>38.69</v>
      </c>
      <c r="I16" s="4" t="n">
        <f aca="false">F16*G16</f>
        <v>1019.83</v>
      </c>
      <c r="J16" s="4" t="n">
        <f aca="false">F16*H16</f>
        <v>657.73</v>
      </c>
      <c r="K16" s="4" t="n">
        <f aca="false">I16-J16</f>
        <v>362.1</v>
      </c>
      <c r="L16" s="5" t="n">
        <f aca="false">IFERROR(K16/I16,0)</f>
        <v>0.355059176529422</v>
      </c>
    </row>
    <row r="17" customFormat="false" ht="15" hidden="false" customHeight="false" outlineLevel="0" collapsed="false">
      <c r="A17" s="2" t="s">
        <v>12</v>
      </c>
      <c r="B17" s="2" t="s">
        <v>13</v>
      </c>
      <c r="C17" s="2" t="s">
        <v>32</v>
      </c>
      <c r="D17" s="2" t="s">
        <v>33</v>
      </c>
      <c r="E17" s="3" t="n">
        <v>45870</v>
      </c>
      <c r="F17" s="2" t="n">
        <v>16</v>
      </c>
      <c r="G17" s="4" t="n">
        <v>49.99</v>
      </c>
      <c r="H17" s="4" t="n">
        <v>37</v>
      </c>
      <c r="I17" s="4" t="n">
        <f aca="false">F17*G17</f>
        <v>799.84</v>
      </c>
      <c r="J17" s="4" t="n">
        <f aca="false">F17*H17</f>
        <v>592</v>
      </c>
      <c r="K17" s="4" t="n">
        <f aca="false">I17-J17</f>
        <v>207.84</v>
      </c>
      <c r="L17" s="5" t="n">
        <f aca="false">IFERROR(K17/I17,0)</f>
        <v>0.259851970394079</v>
      </c>
    </row>
    <row r="18" customFormat="false" ht="15" hidden="false" customHeight="false" outlineLevel="0" collapsed="false">
      <c r="A18" s="2" t="s">
        <v>12</v>
      </c>
      <c r="B18" s="2" t="s">
        <v>13</v>
      </c>
      <c r="C18" s="2" t="s">
        <v>32</v>
      </c>
      <c r="D18" s="2" t="s">
        <v>34</v>
      </c>
      <c r="E18" s="3" t="n">
        <v>45870</v>
      </c>
      <c r="F18" s="2" t="n">
        <v>13</v>
      </c>
      <c r="G18" s="4" t="n">
        <v>27.99</v>
      </c>
      <c r="H18" s="4" t="n">
        <v>19.52</v>
      </c>
      <c r="I18" s="4" t="n">
        <f aca="false">F18*G18</f>
        <v>363.87</v>
      </c>
      <c r="J18" s="4" t="n">
        <f aca="false">F18*H18</f>
        <v>253.76</v>
      </c>
      <c r="K18" s="4" t="n">
        <f aca="false">I18-J18</f>
        <v>110.11</v>
      </c>
      <c r="L18" s="5" t="n">
        <f aca="false">IFERROR(K18/I18,0)</f>
        <v>0.302608074312254</v>
      </c>
    </row>
    <row r="19" customFormat="false" ht="15" hidden="false" customHeight="false" outlineLevel="0" collapsed="false">
      <c r="A19" s="2" t="s">
        <v>12</v>
      </c>
      <c r="B19" s="2" t="s">
        <v>13</v>
      </c>
      <c r="C19" s="2" t="s">
        <v>32</v>
      </c>
      <c r="D19" s="2" t="s">
        <v>35</v>
      </c>
      <c r="E19" s="3" t="n">
        <v>45870</v>
      </c>
      <c r="F19" s="2" t="n">
        <v>11</v>
      </c>
      <c r="G19" s="4" t="n">
        <v>64.99</v>
      </c>
      <c r="H19" s="4" t="n">
        <v>46.08</v>
      </c>
      <c r="I19" s="4" t="n">
        <f aca="false">F19*G19</f>
        <v>714.89</v>
      </c>
      <c r="J19" s="4" t="n">
        <f aca="false">F19*H19</f>
        <v>506.88</v>
      </c>
      <c r="K19" s="4" t="n">
        <f aca="false">I19-J19</f>
        <v>208.01</v>
      </c>
      <c r="L19" s="5" t="n">
        <f aca="false">IFERROR(K19/I19,0)</f>
        <v>0.290967841206339</v>
      </c>
    </row>
    <row r="20" customFormat="false" ht="15" hidden="false" customHeight="false" outlineLevel="0" collapsed="false">
      <c r="A20" s="2" t="s">
        <v>12</v>
      </c>
      <c r="B20" s="2" t="s">
        <v>13</v>
      </c>
      <c r="C20" s="2" t="s">
        <v>32</v>
      </c>
      <c r="D20" s="2" t="s">
        <v>36</v>
      </c>
      <c r="E20" s="3" t="n">
        <v>45870</v>
      </c>
      <c r="F20" s="2" t="n">
        <v>24</v>
      </c>
      <c r="G20" s="4" t="n">
        <v>22.99</v>
      </c>
      <c r="H20" s="4" t="n">
        <v>16.7</v>
      </c>
      <c r="I20" s="4" t="n">
        <f aca="false">F20*G20</f>
        <v>551.76</v>
      </c>
      <c r="J20" s="4" t="n">
        <f aca="false">F20*H20</f>
        <v>400.8</v>
      </c>
      <c r="K20" s="4" t="n">
        <f aca="false">I20-J20</f>
        <v>150.96</v>
      </c>
      <c r="L20" s="5" t="n">
        <f aca="false">IFERROR(K20/I20,0)</f>
        <v>0.273597216180948</v>
      </c>
    </row>
    <row r="21" customFormat="false" ht="15" hidden="false" customHeight="false" outlineLevel="0" collapsed="false">
      <c r="A21" s="2" t="s">
        <v>12</v>
      </c>
      <c r="B21" s="2" t="s">
        <v>13</v>
      </c>
      <c r="C21" s="2" t="s">
        <v>32</v>
      </c>
      <c r="D21" s="2" t="s">
        <v>37</v>
      </c>
      <c r="E21" s="3" t="n">
        <v>45870</v>
      </c>
      <c r="F21" s="2" t="n">
        <v>12</v>
      </c>
      <c r="G21" s="4" t="n">
        <v>29.99</v>
      </c>
      <c r="H21" s="4" t="n">
        <v>20.45</v>
      </c>
      <c r="I21" s="4" t="n">
        <f aca="false">F21*G21</f>
        <v>359.88</v>
      </c>
      <c r="J21" s="4" t="n">
        <f aca="false">F21*H21</f>
        <v>245.4</v>
      </c>
      <c r="K21" s="4" t="n">
        <f aca="false">I21-J21</f>
        <v>114.48</v>
      </c>
      <c r="L21" s="5" t="n">
        <f aca="false">IFERROR(K21/I21,0)</f>
        <v>0.318106035345115</v>
      </c>
    </row>
    <row r="22" customFormat="false" ht="15" hidden="false" customHeight="false" outlineLevel="0" collapsed="false">
      <c r="A22" s="2" t="s">
        <v>12</v>
      </c>
      <c r="B22" s="2" t="s">
        <v>13</v>
      </c>
      <c r="C22" s="2" t="s">
        <v>38</v>
      </c>
      <c r="D22" s="2" t="s">
        <v>39</v>
      </c>
      <c r="E22" s="3" t="n">
        <v>45870</v>
      </c>
      <c r="F22" s="2" t="n">
        <v>18</v>
      </c>
      <c r="G22" s="4" t="n">
        <v>129.99</v>
      </c>
      <c r="H22" s="4" t="n">
        <v>74.77</v>
      </c>
      <c r="I22" s="4" t="n">
        <f aca="false">F22*G22</f>
        <v>2339.82</v>
      </c>
      <c r="J22" s="4" t="n">
        <f aca="false">F22*H22</f>
        <v>1345.86</v>
      </c>
      <c r="K22" s="4" t="n">
        <f aca="false">I22-J22</f>
        <v>993.96</v>
      </c>
      <c r="L22" s="5" t="n">
        <f aca="false">IFERROR(K22/I22,0)</f>
        <v>0.424801907839065</v>
      </c>
    </row>
    <row r="23" customFormat="false" ht="15" hidden="false" customHeight="false" outlineLevel="0" collapsed="false">
      <c r="A23" s="2" t="s">
        <v>12</v>
      </c>
      <c r="B23" s="2" t="s">
        <v>13</v>
      </c>
      <c r="C23" s="2" t="s">
        <v>38</v>
      </c>
      <c r="D23" s="2" t="s">
        <v>40</v>
      </c>
      <c r="E23" s="3" t="n">
        <v>45870</v>
      </c>
      <c r="F23" s="2" t="n">
        <v>9</v>
      </c>
      <c r="G23" s="4" t="n">
        <v>74.99</v>
      </c>
      <c r="H23" s="4" t="n">
        <v>42.36</v>
      </c>
      <c r="I23" s="4" t="n">
        <f aca="false">F23*G23</f>
        <v>674.91</v>
      </c>
      <c r="J23" s="4" t="n">
        <f aca="false">F23*H23</f>
        <v>381.24</v>
      </c>
      <c r="K23" s="4" t="n">
        <f aca="false">I23-J23</f>
        <v>293.67</v>
      </c>
      <c r="L23" s="5" t="n">
        <f aca="false">IFERROR(K23/I23,0)</f>
        <v>0.435124683291105</v>
      </c>
    </row>
    <row r="24" customFormat="false" ht="15" hidden="false" customHeight="false" outlineLevel="0" collapsed="false">
      <c r="A24" s="2" t="s">
        <v>12</v>
      </c>
      <c r="B24" s="2" t="s">
        <v>13</v>
      </c>
      <c r="C24" s="2" t="s">
        <v>38</v>
      </c>
      <c r="D24" s="2" t="s">
        <v>41</v>
      </c>
      <c r="E24" s="3" t="n">
        <v>45870</v>
      </c>
      <c r="F24" s="2" t="n">
        <v>6</v>
      </c>
      <c r="G24" s="4" t="n">
        <v>19.99</v>
      </c>
      <c r="H24" s="4" t="n">
        <v>9.35</v>
      </c>
      <c r="I24" s="4" t="n">
        <f aca="false">F24*G24</f>
        <v>119.94</v>
      </c>
      <c r="J24" s="4" t="n">
        <f aca="false">F24*H24</f>
        <v>56.1</v>
      </c>
      <c r="K24" s="4" t="n">
        <f aca="false">I24-J24</f>
        <v>63.84</v>
      </c>
      <c r="L24" s="5" t="n">
        <f aca="false">IFERROR(K24/I24,0)</f>
        <v>0.532266133066533</v>
      </c>
    </row>
    <row r="25" customFormat="false" ht="15" hidden="false" customHeight="false" outlineLevel="0" collapsed="false">
      <c r="A25" s="2" t="s">
        <v>12</v>
      </c>
      <c r="B25" s="2" t="s">
        <v>13</v>
      </c>
      <c r="C25" s="2" t="s">
        <v>38</v>
      </c>
      <c r="D25" s="2" t="s">
        <v>42</v>
      </c>
      <c r="E25" s="3" t="n">
        <v>45870</v>
      </c>
      <c r="F25" s="2" t="n">
        <v>14</v>
      </c>
      <c r="G25" s="4" t="n">
        <v>16.99</v>
      </c>
      <c r="H25" s="4" t="n">
        <v>8.34</v>
      </c>
      <c r="I25" s="4" t="n">
        <f aca="false">F25*G25</f>
        <v>237.86</v>
      </c>
      <c r="J25" s="4" t="n">
        <f aca="false">F25*H25</f>
        <v>116.76</v>
      </c>
      <c r="K25" s="4" t="n">
        <f aca="false">I25-J25</f>
        <v>121.1</v>
      </c>
      <c r="L25" s="5" t="n">
        <f aca="false">IFERROR(K25/I25,0)</f>
        <v>0.509123013537375</v>
      </c>
    </row>
    <row r="26" customFormat="false" ht="15" hidden="false" customHeight="false" outlineLevel="0" collapsed="false">
      <c r="A26" s="2" t="s">
        <v>12</v>
      </c>
      <c r="B26" s="2" t="s">
        <v>13</v>
      </c>
      <c r="C26" s="2" t="s">
        <v>38</v>
      </c>
      <c r="D26" s="2" t="s">
        <v>43</v>
      </c>
      <c r="E26" s="3" t="n">
        <v>45870</v>
      </c>
      <c r="F26" s="2" t="n">
        <v>22</v>
      </c>
      <c r="G26" s="4" t="n">
        <v>24.99</v>
      </c>
      <c r="H26" s="4" t="n">
        <v>12.98</v>
      </c>
      <c r="I26" s="4" t="n">
        <f aca="false">F26*G26</f>
        <v>549.78</v>
      </c>
      <c r="J26" s="4" t="n">
        <f aca="false">F26*H26</f>
        <v>285.56</v>
      </c>
      <c r="K26" s="4" t="n">
        <f aca="false">I26-J26</f>
        <v>264.22</v>
      </c>
      <c r="L26" s="5" t="n">
        <f aca="false">IFERROR(K26/I26,0)</f>
        <v>0.480592236894758</v>
      </c>
    </row>
    <row r="27" customFormat="false" ht="15" hidden="false" customHeight="false" outlineLevel="0" collapsed="false">
      <c r="A27" s="2" t="s">
        <v>44</v>
      </c>
      <c r="B27" s="2" t="s">
        <v>45</v>
      </c>
      <c r="C27" s="2" t="s">
        <v>14</v>
      </c>
      <c r="D27" s="2" t="s">
        <v>15</v>
      </c>
      <c r="E27" s="3" t="n">
        <v>45870</v>
      </c>
      <c r="F27" s="2" t="n">
        <v>17</v>
      </c>
      <c r="G27" s="4" t="n">
        <v>69.99</v>
      </c>
      <c r="H27" s="4" t="n">
        <v>34.15</v>
      </c>
      <c r="I27" s="4" t="n">
        <f aca="false">F27*G27</f>
        <v>1189.83</v>
      </c>
      <c r="J27" s="4" t="n">
        <f aca="false">F27*H27</f>
        <v>580.55</v>
      </c>
      <c r="K27" s="4" t="n">
        <f aca="false">I27-J27</f>
        <v>609.28</v>
      </c>
      <c r="L27" s="5" t="n">
        <f aca="false">IFERROR(K27/I27,0)</f>
        <v>0.512073153307615</v>
      </c>
    </row>
    <row r="28" customFormat="false" ht="15" hidden="false" customHeight="false" outlineLevel="0" collapsed="false">
      <c r="A28" s="2" t="s">
        <v>44</v>
      </c>
      <c r="B28" s="2" t="s">
        <v>45</v>
      </c>
      <c r="C28" s="2" t="s">
        <v>14</v>
      </c>
      <c r="D28" s="2" t="s">
        <v>16</v>
      </c>
      <c r="E28" s="3" t="n">
        <v>45870</v>
      </c>
      <c r="F28" s="2" t="n">
        <v>13</v>
      </c>
      <c r="G28" s="4" t="n">
        <v>19.99</v>
      </c>
      <c r="H28" s="4" t="n">
        <v>8.86</v>
      </c>
      <c r="I28" s="4" t="n">
        <f aca="false">F28*G28</f>
        <v>259.87</v>
      </c>
      <c r="J28" s="4" t="n">
        <f aca="false">F28*H28</f>
        <v>115.18</v>
      </c>
      <c r="K28" s="4" t="n">
        <f aca="false">I28-J28</f>
        <v>144.69</v>
      </c>
      <c r="L28" s="5" t="n">
        <f aca="false">IFERROR(K28/I28,0)</f>
        <v>0.556778389194597</v>
      </c>
    </row>
    <row r="29" customFormat="false" ht="15" hidden="false" customHeight="false" outlineLevel="0" collapsed="false">
      <c r="A29" s="2" t="s">
        <v>44</v>
      </c>
      <c r="B29" s="2" t="s">
        <v>45</v>
      </c>
      <c r="C29" s="2" t="s">
        <v>14</v>
      </c>
      <c r="D29" s="2" t="s">
        <v>17</v>
      </c>
      <c r="E29" s="3" t="n">
        <v>45870</v>
      </c>
      <c r="F29" s="2" t="n">
        <v>22</v>
      </c>
      <c r="G29" s="4" t="n">
        <v>79.99</v>
      </c>
      <c r="H29" s="4" t="n">
        <v>40.36</v>
      </c>
      <c r="I29" s="4" t="n">
        <f aca="false">F29*G29</f>
        <v>1759.78</v>
      </c>
      <c r="J29" s="4" t="n">
        <f aca="false">F29*H29</f>
        <v>887.92</v>
      </c>
      <c r="K29" s="4" t="n">
        <f aca="false">I29-J29</f>
        <v>871.86</v>
      </c>
      <c r="L29" s="5" t="n">
        <f aca="false">IFERROR(K29/I29,0)</f>
        <v>0.495436929616202</v>
      </c>
    </row>
    <row r="30" customFormat="false" ht="15" hidden="false" customHeight="false" outlineLevel="0" collapsed="false">
      <c r="A30" s="2" t="s">
        <v>44</v>
      </c>
      <c r="B30" s="2" t="s">
        <v>45</v>
      </c>
      <c r="C30" s="2" t="s">
        <v>14</v>
      </c>
      <c r="D30" s="2" t="s">
        <v>18</v>
      </c>
      <c r="E30" s="3" t="n">
        <v>45870</v>
      </c>
      <c r="F30" s="2" t="n">
        <v>16</v>
      </c>
      <c r="G30" s="4" t="n">
        <v>34.99</v>
      </c>
      <c r="H30" s="4" t="n">
        <v>14.37</v>
      </c>
      <c r="I30" s="4" t="n">
        <f aca="false">F30*G30</f>
        <v>559.84</v>
      </c>
      <c r="J30" s="4" t="n">
        <f aca="false">F30*H30</f>
        <v>229.92</v>
      </c>
      <c r="K30" s="4" t="n">
        <f aca="false">I30-J30</f>
        <v>329.92</v>
      </c>
      <c r="L30" s="5" t="n">
        <f aca="false">IFERROR(K30/I30,0)</f>
        <v>0.589311231780509</v>
      </c>
    </row>
    <row r="31" customFormat="false" ht="15" hidden="false" customHeight="false" outlineLevel="0" collapsed="false">
      <c r="A31" s="2" t="s">
        <v>44</v>
      </c>
      <c r="B31" s="2" t="s">
        <v>45</v>
      </c>
      <c r="C31" s="2" t="s">
        <v>14</v>
      </c>
      <c r="D31" s="2" t="s">
        <v>19</v>
      </c>
      <c r="E31" s="3" t="n">
        <v>45870</v>
      </c>
      <c r="F31" s="2" t="n">
        <v>21</v>
      </c>
      <c r="G31" s="4" t="n">
        <v>54.99</v>
      </c>
      <c r="H31" s="4" t="n">
        <v>23.48</v>
      </c>
      <c r="I31" s="4" t="n">
        <f aca="false">F31*G31</f>
        <v>1154.79</v>
      </c>
      <c r="J31" s="4" t="n">
        <f aca="false">F31*H31</f>
        <v>493.08</v>
      </c>
      <c r="K31" s="4" t="n">
        <f aca="false">I31-J31</f>
        <v>661.71</v>
      </c>
      <c r="L31" s="5" t="n">
        <f aca="false">IFERROR(K31/I31,0)</f>
        <v>0.573013275140935</v>
      </c>
    </row>
    <row r="32" customFormat="false" ht="15" hidden="false" customHeight="false" outlineLevel="0" collapsed="false">
      <c r="A32" s="2" t="s">
        <v>44</v>
      </c>
      <c r="B32" s="2" t="s">
        <v>45</v>
      </c>
      <c r="C32" s="2" t="s">
        <v>20</v>
      </c>
      <c r="D32" s="2" t="s">
        <v>21</v>
      </c>
      <c r="E32" s="3" t="n">
        <v>45870</v>
      </c>
      <c r="F32" s="2" t="n">
        <v>19</v>
      </c>
      <c r="G32" s="4" t="n">
        <v>44.99</v>
      </c>
      <c r="H32" s="4" t="n">
        <v>20.74</v>
      </c>
      <c r="I32" s="4" t="n">
        <f aca="false">F32*G32</f>
        <v>854.81</v>
      </c>
      <c r="J32" s="4" t="n">
        <f aca="false">F32*H32</f>
        <v>394.06</v>
      </c>
      <c r="K32" s="4" t="n">
        <f aca="false">I32-J32</f>
        <v>460.75</v>
      </c>
      <c r="L32" s="5" t="n">
        <f aca="false">IFERROR(K32/I32,0)</f>
        <v>0.539008668593021</v>
      </c>
    </row>
    <row r="33" customFormat="false" ht="15" hidden="false" customHeight="false" outlineLevel="0" collapsed="false">
      <c r="A33" s="2" t="s">
        <v>44</v>
      </c>
      <c r="B33" s="2" t="s">
        <v>45</v>
      </c>
      <c r="C33" s="2" t="s">
        <v>20</v>
      </c>
      <c r="D33" s="2" t="s">
        <v>22</v>
      </c>
      <c r="E33" s="3" t="n">
        <v>45870</v>
      </c>
      <c r="F33" s="2" t="n">
        <v>21</v>
      </c>
      <c r="G33" s="4" t="n">
        <v>14.99</v>
      </c>
      <c r="H33" s="4" t="n">
        <v>5.64</v>
      </c>
      <c r="I33" s="4" t="n">
        <f aca="false">F33*G33</f>
        <v>314.79</v>
      </c>
      <c r="J33" s="4" t="n">
        <f aca="false">F33*H33</f>
        <v>118.44</v>
      </c>
      <c r="K33" s="4" t="n">
        <f aca="false">I33-J33</f>
        <v>196.35</v>
      </c>
      <c r="L33" s="5" t="n">
        <f aca="false">IFERROR(K33/I33,0)</f>
        <v>0.623749166110741</v>
      </c>
    </row>
    <row r="34" customFormat="false" ht="15" hidden="false" customHeight="false" outlineLevel="0" collapsed="false">
      <c r="A34" s="2" t="s">
        <v>44</v>
      </c>
      <c r="B34" s="2" t="s">
        <v>45</v>
      </c>
      <c r="C34" s="2" t="s">
        <v>20</v>
      </c>
      <c r="D34" s="2" t="s">
        <v>23</v>
      </c>
      <c r="E34" s="3" t="n">
        <v>45870</v>
      </c>
      <c r="F34" s="2" t="n">
        <v>22</v>
      </c>
      <c r="G34" s="4" t="n">
        <v>39.99</v>
      </c>
      <c r="H34" s="4" t="n">
        <v>16.71</v>
      </c>
      <c r="I34" s="4" t="n">
        <f aca="false">F34*G34</f>
        <v>879.78</v>
      </c>
      <c r="J34" s="4" t="n">
        <f aca="false">F34*H34</f>
        <v>367.62</v>
      </c>
      <c r="K34" s="4" t="n">
        <f aca="false">I34-J34</f>
        <v>512.16</v>
      </c>
      <c r="L34" s="5" t="n">
        <f aca="false">IFERROR(K34/I34,0)</f>
        <v>0.582145536384096</v>
      </c>
    </row>
    <row r="35" customFormat="false" ht="15" hidden="false" customHeight="false" outlineLevel="0" collapsed="false">
      <c r="A35" s="2" t="s">
        <v>44</v>
      </c>
      <c r="B35" s="2" t="s">
        <v>45</v>
      </c>
      <c r="C35" s="2" t="s">
        <v>20</v>
      </c>
      <c r="D35" s="2" t="s">
        <v>24</v>
      </c>
      <c r="E35" s="3" t="n">
        <v>45870</v>
      </c>
      <c r="F35" s="2" t="n">
        <v>12</v>
      </c>
      <c r="G35" s="4" t="n">
        <v>18.99</v>
      </c>
      <c r="H35" s="4" t="n">
        <v>7.58</v>
      </c>
      <c r="I35" s="4" t="n">
        <f aca="false">F35*G35</f>
        <v>227.88</v>
      </c>
      <c r="J35" s="4" t="n">
        <f aca="false">F35*H35</f>
        <v>90.96</v>
      </c>
      <c r="K35" s="4" t="n">
        <f aca="false">I35-J35</f>
        <v>136.92</v>
      </c>
      <c r="L35" s="5" t="n">
        <f aca="false">IFERROR(K35/I35,0)</f>
        <v>0.600842548709847</v>
      </c>
    </row>
    <row r="36" customFormat="false" ht="15" hidden="false" customHeight="false" outlineLevel="0" collapsed="false">
      <c r="A36" s="2" t="s">
        <v>44</v>
      </c>
      <c r="B36" s="2" t="s">
        <v>45</v>
      </c>
      <c r="C36" s="2" t="s">
        <v>20</v>
      </c>
      <c r="D36" s="2" t="s">
        <v>25</v>
      </c>
      <c r="E36" s="3" t="n">
        <v>45870</v>
      </c>
      <c r="F36" s="2" t="n">
        <v>21</v>
      </c>
      <c r="G36" s="4" t="n">
        <v>42.99</v>
      </c>
      <c r="H36" s="4" t="n">
        <v>16.02</v>
      </c>
      <c r="I36" s="4" t="n">
        <f aca="false">F36*G36</f>
        <v>902.79</v>
      </c>
      <c r="J36" s="4" t="n">
        <f aca="false">F36*H36</f>
        <v>336.42</v>
      </c>
      <c r="K36" s="4" t="n">
        <f aca="false">I36-J36</f>
        <v>566.37</v>
      </c>
      <c r="L36" s="5" t="n">
        <f aca="false">IFERROR(K36/I36,0)</f>
        <v>0.627355198883461</v>
      </c>
    </row>
    <row r="37" customFormat="false" ht="15" hidden="false" customHeight="false" outlineLevel="0" collapsed="false">
      <c r="A37" s="2" t="s">
        <v>44</v>
      </c>
      <c r="B37" s="2" t="s">
        <v>45</v>
      </c>
      <c r="C37" s="2" t="s">
        <v>26</v>
      </c>
      <c r="D37" s="2" t="s">
        <v>27</v>
      </c>
      <c r="E37" s="3" t="n">
        <v>45870</v>
      </c>
      <c r="F37" s="2" t="n">
        <v>19</v>
      </c>
      <c r="G37" s="4" t="n">
        <v>44.99</v>
      </c>
      <c r="H37" s="4" t="n">
        <v>27.97</v>
      </c>
      <c r="I37" s="4" t="n">
        <f aca="false">F37*G37</f>
        <v>854.81</v>
      </c>
      <c r="J37" s="4" t="n">
        <f aca="false">F37*H37</f>
        <v>531.43</v>
      </c>
      <c r="K37" s="4" t="n">
        <f aca="false">I37-J37</f>
        <v>323.38</v>
      </c>
      <c r="L37" s="5" t="n">
        <f aca="false">IFERROR(K37/I37,0)</f>
        <v>0.37830629028673</v>
      </c>
    </row>
    <row r="38" customFormat="false" ht="15" hidden="false" customHeight="false" outlineLevel="0" collapsed="false">
      <c r="A38" s="2" t="s">
        <v>44</v>
      </c>
      <c r="B38" s="2" t="s">
        <v>45</v>
      </c>
      <c r="C38" s="2" t="s">
        <v>26</v>
      </c>
      <c r="D38" s="2" t="s">
        <v>28</v>
      </c>
      <c r="E38" s="3" t="n">
        <v>45870</v>
      </c>
      <c r="F38" s="2" t="n">
        <v>13</v>
      </c>
      <c r="G38" s="4" t="n">
        <v>34.99</v>
      </c>
      <c r="H38" s="4" t="n">
        <v>21.73</v>
      </c>
      <c r="I38" s="4" t="n">
        <f aca="false">F38*G38</f>
        <v>454.87</v>
      </c>
      <c r="J38" s="4" t="n">
        <f aca="false">F38*H38</f>
        <v>282.49</v>
      </c>
      <c r="K38" s="4" t="n">
        <f aca="false">I38-J38</f>
        <v>172.38</v>
      </c>
      <c r="L38" s="5" t="n">
        <f aca="false">IFERROR(K38/I38,0)</f>
        <v>0.378965418691055</v>
      </c>
    </row>
    <row r="39" customFormat="false" ht="15" hidden="false" customHeight="false" outlineLevel="0" collapsed="false">
      <c r="A39" s="2" t="s">
        <v>44</v>
      </c>
      <c r="B39" s="2" t="s">
        <v>45</v>
      </c>
      <c r="C39" s="2" t="s">
        <v>26</v>
      </c>
      <c r="D39" s="2" t="s">
        <v>29</v>
      </c>
      <c r="E39" s="3" t="n">
        <v>45870</v>
      </c>
      <c r="F39" s="2" t="n">
        <v>18</v>
      </c>
      <c r="G39" s="4" t="n">
        <v>119.99</v>
      </c>
      <c r="H39" s="4" t="n">
        <v>80.79</v>
      </c>
      <c r="I39" s="4" t="n">
        <f aca="false">F39*G39</f>
        <v>2159.82</v>
      </c>
      <c r="J39" s="4" t="n">
        <f aca="false">F39*H39</f>
        <v>1454.22</v>
      </c>
      <c r="K39" s="4" t="n">
        <f aca="false">I39-J39</f>
        <v>705.6</v>
      </c>
      <c r="L39" s="5" t="n">
        <f aca="false">IFERROR(K39/I39,0)</f>
        <v>0.326693891157596</v>
      </c>
    </row>
    <row r="40" customFormat="false" ht="15" hidden="false" customHeight="false" outlineLevel="0" collapsed="false">
      <c r="A40" s="2" t="s">
        <v>44</v>
      </c>
      <c r="B40" s="2" t="s">
        <v>45</v>
      </c>
      <c r="C40" s="2" t="s">
        <v>26</v>
      </c>
      <c r="D40" s="2" t="s">
        <v>30</v>
      </c>
      <c r="E40" s="3" t="n">
        <v>45870</v>
      </c>
      <c r="F40" s="2" t="n">
        <v>18</v>
      </c>
      <c r="G40" s="4" t="n">
        <v>24.99</v>
      </c>
      <c r="H40" s="4" t="n">
        <v>15.42</v>
      </c>
      <c r="I40" s="4" t="n">
        <f aca="false">F40*G40</f>
        <v>449.82</v>
      </c>
      <c r="J40" s="4" t="n">
        <f aca="false">F40*H40</f>
        <v>277.56</v>
      </c>
      <c r="K40" s="4" t="n">
        <f aca="false">I40-J40</f>
        <v>172.26</v>
      </c>
      <c r="L40" s="5" t="n">
        <f aca="false">IFERROR(K40/I40,0)</f>
        <v>0.382953181272509</v>
      </c>
    </row>
    <row r="41" customFormat="false" ht="15" hidden="false" customHeight="false" outlineLevel="0" collapsed="false">
      <c r="A41" s="2" t="s">
        <v>44</v>
      </c>
      <c r="B41" s="2" t="s">
        <v>45</v>
      </c>
      <c r="C41" s="2" t="s">
        <v>26</v>
      </c>
      <c r="D41" s="2" t="s">
        <v>31</v>
      </c>
      <c r="E41" s="3" t="n">
        <v>45870</v>
      </c>
      <c r="F41" s="2" t="n">
        <v>25</v>
      </c>
      <c r="G41" s="4" t="n">
        <v>59.99</v>
      </c>
      <c r="H41" s="4" t="n">
        <v>38.55</v>
      </c>
      <c r="I41" s="4" t="n">
        <f aca="false">F41*G41</f>
        <v>1499.75</v>
      </c>
      <c r="J41" s="4" t="n">
        <f aca="false">F41*H41</f>
        <v>963.75</v>
      </c>
      <c r="K41" s="4" t="n">
        <f aca="false">I41-J41</f>
        <v>536</v>
      </c>
      <c r="L41" s="5" t="n">
        <f aca="false">IFERROR(K41/I41,0)</f>
        <v>0.357392898816469</v>
      </c>
    </row>
    <row r="42" customFormat="false" ht="15" hidden="false" customHeight="false" outlineLevel="0" collapsed="false">
      <c r="A42" s="2" t="s">
        <v>44</v>
      </c>
      <c r="B42" s="2" t="s">
        <v>45</v>
      </c>
      <c r="C42" s="2" t="s">
        <v>32</v>
      </c>
      <c r="D42" s="2" t="s">
        <v>33</v>
      </c>
      <c r="E42" s="3" t="n">
        <v>45870</v>
      </c>
      <c r="F42" s="2" t="n">
        <v>21</v>
      </c>
      <c r="G42" s="4" t="n">
        <v>49.99</v>
      </c>
      <c r="H42" s="4" t="n">
        <v>36.83</v>
      </c>
      <c r="I42" s="4" t="n">
        <f aca="false">F42*G42</f>
        <v>1049.79</v>
      </c>
      <c r="J42" s="4" t="n">
        <f aca="false">F42*H42</f>
        <v>773.43</v>
      </c>
      <c r="K42" s="4" t="n">
        <f aca="false">I42-J42</f>
        <v>276.36</v>
      </c>
      <c r="L42" s="5" t="n">
        <f aca="false">IFERROR(K42/I42,0)</f>
        <v>0.263252650530106</v>
      </c>
    </row>
    <row r="43" customFormat="false" ht="15" hidden="false" customHeight="false" outlineLevel="0" collapsed="false">
      <c r="A43" s="2" t="s">
        <v>44</v>
      </c>
      <c r="B43" s="2" t="s">
        <v>45</v>
      </c>
      <c r="C43" s="2" t="s">
        <v>32</v>
      </c>
      <c r="D43" s="2" t="s">
        <v>34</v>
      </c>
      <c r="E43" s="3" t="n">
        <v>45870</v>
      </c>
      <c r="F43" s="2" t="n">
        <v>14</v>
      </c>
      <c r="G43" s="4" t="n">
        <v>27.99</v>
      </c>
      <c r="H43" s="4" t="n">
        <v>19.43</v>
      </c>
      <c r="I43" s="4" t="n">
        <f aca="false">F43*G43</f>
        <v>391.86</v>
      </c>
      <c r="J43" s="4" t="n">
        <f aca="false">F43*H43</f>
        <v>272.02</v>
      </c>
      <c r="K43" s="4" t="n">
        <f aca="false">I43-J43</f>
        <v>119.84</v>
      </c>
      <c r="L43" s="5" t="n">
        <f aca="false">IFERROR(K43/I43,0)</f>
        <v>0.305823508395856</v>
      </c>
    </row>
    <row r="44" customFormat="false" ht="15" hidden="false" customHeight="false" outlineLevel="0" collapsed="false">
      <c r="A44" s="2" t="s">
        <v>44</v>
      </c>
      <c r="B44" s="2" t="s">
        <v>45</v>
      </c>
      <c r="C44" s="2" t="s">
        <v>32</v>
      </c>
      <c r="D44" s="2" t="s">
        <v>35</v>
      </c>
      <c r="E44" s="3" t="n">
        <v>45870</v>
      </c>
      <c r="F44" s="2" t="n">
        <v>14</v>
      </c>
      <c r="G44" s="4" t="n">
        <v>64.99</v>
      </c>
      <c r="H44" s="4" t="n">
        <v>45.06</v>
      </c>
      <c r="I44" s="4" t="n">
        <f aca="false">F44*G44</f>
        <v>909.86</v>
      </c>
      <c r="J44" s="4" t="n">
        <f aca="false">F44*H44</f>
        <v>630.84</v>
      </c>
      <c r="K44" s="4" t="n">
        <f aca="false">I44-J44</f>
        <v>279.02</v>
      </c>
      <c r="L44" s="5" t="n">
        <f aca="false">IFERROR(K44/I44,0)</f>
        <v>0.306662563471303</v>
      </c>
    </row>
    <row r="45" customFormat="false" ht="15" hidden="false" customHeight="false" outlineLevel="0" collapsed="false">
      <c r="A45" s="2" t="s">
        <v>44</v>
      </c>
      <c r="B45" s="2" t="s">
        <v>45</v>
      </c>
      <c r="C45" s="2" t="s">
        <v>32</v>
      </c>
      <c r="D45" s="2" t="s">
        <v>36</v>
      </c>
      <c r="E45" s="3" t="n">
        <v>45870</v>
      </c>
      <c r="F45" s="2" t="n">
        <v>8</v>
      </c>
      <c r="G45" s="4" t="n">
        <v>22.99</v>
      </c>
      <c r="H45" s="4" t="n">
        <v>16.5</v>
      </c>
      <c r="I45" s="4" t="n">
        <f aca="false">F45*G45</f>
        <v>183.92</v>
      </c>
      <c r="J45" s="4" t="n">
        <f aca="false">F45*H45</f>
        <v>132</v>
      </c>
      <c r="K45" s="4" t="n">
        <f aca="false">I45-J45</f>
        <v>51.92</v>
      </c>
      <c r="L45" s="5" t="n">
        <f aca="false">IFERROR(K45/I45,0)</f>
        <v>0.282296650717703</v>
      </c>
    </row>
    <row r="46" customFormat="false" ht="15" hidden="false" customHeight="false" outlineLevel="0" collapsed="false">
      <c r="A46" s="2" t="s">
        <v>44</v>
      </c>
      <c r="B46" s="2" t="s">
        <v>45</v>
      </c>
      <c r="C46" s="2" t="s">
        <v>32</v>
      </c>
      <c r="D46" s="2" t="s">
        <v>37</v>
      </c>
      <c r="E46" s="3" t="n">
        <v>45870</v>
      </c>
      <c r="F46" s="2" t="n">
        <v>19</v>
      </c>
      <c r="G46" s="4" t="n">
        <v>29.99</v>
      </c>
      <c r="H46" s="4" t="n">
        <v>20.78</v>
      </c>
      <c r="I46" s="4" t="n">
        <f aca="false">F46*G46</f>
        <v>569.81</v>
      </c>
      <c r="J46" s="4" t="n">
        <f aca="false">F46*H46</f>
        <v>394.82</v>
      </c>
      <c r="K46" s="4" t="n">
        <f aca="false">I46-J46</f>
        <v>174.99</v>
      </c>
      <c r="L46" s="5" t="n">
        <f aca="false">IFERROR(K46/I46,0)</f>
        <v>0.307102367455818</v>
      </c>
    </row>
    <row r="47" customFormat="false" ht="15" hidden="false" customHeight="false" outlineLevel="0" collapsed="false">
      <c r="A47" s="2" t="s">
        <v>44</v>
      </c>
      <c r="B47" s="2" t="s">
        <v>45</v>
      </c>
      <c r="C47" s="2" t="s">
        <v>38</v>
      </c>
      <c r="D47" s="2" t="s">
        <v>39</v>
      </c>
      <c r="E47" s="3" t="n">
        <v>45870</v>
      </c>
      <c r="F47" s="2" t="n">
        <v>13</v>
      </c>
      <c r="G47" s="4" t="n">
        <v>129.99</v>
      </c>
      <c r="H47" s="4" t="n">
        <v>75.09</v>
      </c>
      <c r="I47" s="4" t="n">
        <f aca="false">F47*G47</f>
        <v>1689.87</v>
      </c>
      <c r="J47" s="4" t="n">
        <f aca="false">F47*H47</f>
        <v>976.17</v>
      </c>
      <c r="K47" s="4" t="n">
        <f aca="false">I47-J47</f>
        <v>713.7</v>
      </c>
      <c r="L47" s="5" t="n">
        <f aca="false">IFERROR(K47/I47,0)</f>
        <v>0.422340180013847</v>
      </c>
    </row>
    <row r="48" customFormat="false" ht="15" hidden="false" customHeight="false" outlineLevel="0" collapsed="false">
      <c r="A48" s="2" t="s">
        <v>44</v>
      </c>
      <c r="B48" s="2" t="s">
        <v>45</v>
      </c>
      <c r="C48" s="2" t="s">
        <v>38</v>
      </c>
      <c r="D48" s="2" t="s">
        <v>40</v>
      </c>
      <c r="E48" s="3" t="n">
        <v>45870</v>
      </c>
      <c r="F48" s="2" t="n">
        <v>18</v>
      </c>
      <c r="G48" s="4" t="n">
        <v>74.99</v>
      </c>
      <c r="H48" s="4" t="n">
        <v>40.52</v>
      </c>
      <c r="I48" s="4" t="n">
        <f aca="false">F48*G48</f>
        <v>1349.82</v>
      </c>
      <c r="J48" s="4" t="n">
        <f aca="false">F48*H48</f>
        <v>729.36</v>
      </c>
      <c r="K48" s="4" t="n">
        <f aca="false">I48-J48</f>
        <v>620.46</v>
      </c>
      <c r="L48" s="5" t="n">
        <f aca="false">IFERROR(K48/I48,0)</f>
        <v>0.459661288171756</v>
      </c>
    </row>
    <row r="49" customFormat="false" ht="15" hidden="false" customHeight="false" outlineLevel="0" collapsed="false">
      <c r="A49" s="2" t="s">
        <v>44</v>
      </c>
      <c r="B49" s="2" t="s">
        <v>45</v>
      </c>
      <c r="C49" s="2" t="s">
        <v>38</v>
      </c>
      <c r="D49" s="2" t="s">
        <v>41</v>
      </c>
      <c r="E49" s="3" t="n">
        <v>45870</v>
      </c>
      <c r="F49" s="2" t="n">
        <v>23</v>
      </c>
      <c r="G49" s="4" t="n">
        <v>19.99</v>
      </c>
      <c r="H49" s="4" t="n">
        <v>9.55</v>
      </c>
      <c r="I49" s="4" t="n">
        <f aca="false">F49*G49</f>
        <v>459.77</v>
      </c>
      <c r="J49" s="4" t="n">
        <f aca="false">F49*H49</f>
        <v>219.65</v>
      </c>
      <c r="K49" s="4" t="n">
        <f aca="false">I49-J49</f>
        <v>240.12</v>
      </c>
      <c r="L49" s="5" t="n">
        <f aca="false">IFERROR(K49/I49,0)</f>
        <v>0.522261130565283</v>
      </c>
    </row>
    <row r="50" customFormat="false" ht="15" hidden="false" customHeight="false" outlineLevel="0" collapsed="false">
      <c r="A50" s="2" t="s">
        <v>44</v>
      </c>
      <c r="B50" s="2" t="s">
        <v>45</v>
      </c>
      <c r="C50" s="2" t="s">
        <v>38</v>
      </c>
      <c r="D50" s="2" t="s">
        <v>42</v>
      </c>
      <c r="E50" s="3" t="n">
        <v>45870</v>
      </c>
      <c r="F50" s="2" t="n">
        <v>21</v>
      </c>
      <c r="G50" s="4" t="n">
        <v>16.99</v>
      </c>
      <c r="H50" s="4" t="n">
        <v>8.66</v>
      </c>
      <c r="I50" s="4" t="n">
        <f aca="false">F50*G50</f>
        <v>356.79</v>
      </c>
      <c r="J50" s="4" t="n">
        <f aca="false">F50*H50</f>
        <v>181.86</v>
      </c>
      <c r="K50" s="4" t="n">
        <f aca="false">I50-J50</f>
        <v>174.93</v>
      </c>
      <c r="L50" s="5" t="n">
        <f aca="false">IFERROR(K50/I50,0)</f>
        <v>0.490288404944085</v>
      </c>
    </row>
    <row r="51" customFormat="false" ht="15" hidden="false" customHeight="false" outlineLevel="0" collapsed="false">
      <c r="A51" s="2" t="s">
        <v>44</v>
      </c>
      <c r="B51" s="2" t="s">
        <v>45</v>
      </c>
      <c r="C51" s="2" t="s">
        <v>38</v>
      </c>
      <c r="D51" s="2" t="s">
        <v>43</v>
      </c>
      <c r="E51" s="3" t="n">
        <v>45870</v>
      </c>
      <c r="F51" s="2" t="n">
        <v>26</v>
      </c>
      <c r="G51" s="4" t="n">
        <v>24.99</v>
      </c>
      <c r="H51" s="4" t="n">
        <v>13.36</v>
      </c>
      <c r="I51" s="4" t="n">
        <f aca="false">F51*G51</f>
        <v>649.74</v>
      </c>
      <c r="J51" s="4" t="n">
        <f aca="false">F51*H51</f>
        <v>347.36</v>
      </c>
      <c r="K51" s="4" t="n">
        <f aca="false">I51-J51</f>
        <v>302.38</v>
      </c>
      <c r="L51" s="5" t="n">
        <f aca="false">IFERROR(K51/I51,0)</f>
        <v>0.465386154461785</v>
      </c>
    </row>
    <row r="52" customFormat="false" ht="15" hidden="false" customHeight="false" outlineLevel="0" collapsed="false">
      <c r="A52" s="2" t="s">
        <v>44</v>
      </c>
      <c r="B52" s="2" t="s">
        <v>46</v>
      </c>
      <c r="C52" s="2" t="s">
        <v>14</v>
      </c>
      <c r="D52" s="2" t="s">
        <v>15</v>
      </c>
      <c r="E52" s="3" t="n">
        <v>45870</v>
      </c>
      <c r="F52" s="2" t="n">
        <v>9</v>
      </c>
      <c r="G52" s="4" t="n">
        <v>69.99</v>
      </c>
      <c r="H52" s="4" t="n">
        <v>33.53</v>
      </c>
      <c r="I52" s="4" t="n">
        <f aca="false">F52*G52</f>
        <v>629.91</v>
      </c>
      <c r="J52" s="4" t="n">
        <f aca="false">F52*H52</f>
        <v>301.77</v>
      </c>
      <c r="K52" s="4" t="n">
        <f aca="false">I52-J52</f>
        <v>328.14</v>
      </c>
      <c r="L52" s="5" t="n">
        <f aca="false">IFERROR(K52/I52,0)</f>
        <v>0.520931561651665</v>
      </c>
    </row>
    <row r="53" customFormat="false" ht="15" hidden="false" customHeight="false" outlineLevel="0" collapsed="false">
      <c r="A53" s="2" t="s">
        <v>44</v>
      </c>
      <c r="B53" s="2" t="s">
        <v>46</v>
      </c>
      <c r="C53" s="2" t="s">
        <v>14</v>
      </c>
      <c r="D53" s="2" t="s">
        <v>16</v>
      </c>
      <c r="E53" s="3" t="n">
        <v>45870</v>
      </c>
      <c r="F53" s="2" t="n">
        <v>18</v>
      </c>
      <c r="G53" s="4" t="n">
        <v>19.99</v>
      </c>
      <c r="H53" s="4" t="n">
        <v>9.02</v>
      </c>
      <c r="I53" s="4" t="n">
        <f aca="false">F53*G53</f>
        <v>359.82</v>
      </c>
      <c r="J53" s="4" t="n">
        <f aca="false">F53*H53</f>
        <v>162.36</v>
      </c>
      <c r="K53" s="4" t="n">
        <f aca="false">I53-J53</f>
        <v>197.46</v>
      </c>
      <c r="L53" s="5" t="n">
        <f aca="false">IFERROR(K53/I53,0)</f>
        <v>0.548774387193597</v>
      </c>
    </row>
    <row r="54" customFormat="false" ht="15" hidden="false" customHeight="false" outlineLevel="0" collapsed="false">
      <c r="A54" s="2" t="s">
        <v>44</v>
      </c>
      <c r="B54" s="2" t="s">
        <v>46</v>
      </c>
      <c r="C54" s="2" t="s">
        <v>14</v>
      </c>
      <c r="D54" s="2" t="s">
        <v>17</v>
      </c>
      <c r="E54" s="3" t="n">
        <v>45870</v>
      </c>
      <c r="F54" s="2" t="n">
        <v>12</v>
      </c>
      <c r="G54" s="4" t="n">
        <v>79.99</v>
      </c>
      <c r="H54" s="4" t="n">
        <v>39.69</v>
      </c>
      <c r="I54" s="4" t="n">
        <f aca="false">F54*G54</f>
        <v>959.88</v>
      </c>
      <c r="J54" s="4" t="n">
        <f aca="false">F54*H54</f>
        <v>476.28</v>
      </c>
      <c r="K54" s="4" t="n">
        <f aca="false">I54-J54</f>
        <v>483.6</v>
      </c>
      <c r="L54" s="5" t="n">
        <f aca="false">IFERROR(K54/I54,0)</f>
        <v>0.503812976622078</v>
      </c>
    </row>
    <row r="55" customFormat="false" ht="15" hidden="false" customHeight="false" outlineLevel="0" collapsed="false">
      <c r="A55" s="2" t="s">
        <v>44</v>
      </c>
      <c r="B55" s="2" t="s">
        <v>46</v>
      </c>
      <c r="C55" s="2" t="s">
        <v>14</v>
      </c>
      <c r="D55" s="2" t="s">
        <v>18</v>
      </c>
      <c r="E55" s="3" t="n">
        <v>45870</v>
      </c>
      <c r="F55" s="2" t="n">
        <v>15</v>
      </c>
      <c r="G55" s="4" t="n">
        <v>34.99</v>
      </c>
      <c r="H55" s="4" t="n">
        <v>14.72</v>
      </c>
      <c r="I55" s="4" t="n">
        <f aca="false">F55*G55</f>
        <v>524.85</v>
      </c>
      <c r="J55" s="4" t="n">
        <f aca="false">F55*H55</f>
        <v>220.8</v>
      </c>
      <c r="K55" s="4" t="n">
        <f aca="false">I55-J55</f>
        <v>304.05</v>
      </c>
      <c r="L55" s="5" t="n">
        <f aca="false">IFERROR(K55/I55,0)</f>
        <v>0.579308373821092</v>
      </c>
    </row>
    <row r="56" customFormat="false" ht="15" hidden="false" customHeight="false" outlineLevel="0" collapsed="false">
      <c r="A56" s="2" t="s">
        <v>44</v>
      </c>
      <c r="B56" s="2" t="s">
        <v>46</v>
      </c>
      <c r="C56" s="2" t="s">
        <v>14</v>
      </c>
      <c r="D56" s="2" t="s">
        <v>19</v>
      </c>
      <c r="E56" s="3" t="n">
        <v>45870</v>
      </c>
      <c r="F56" s="2" t="n">
        <v>15</v>
      </c>
      <c r="G56" s="4" t="n">
        <v>54.99</v>
      </c>
      <c r="H56" s="4" t="n">
        <v>24.69</v>
      </c>
      <c r="I56" s="4" t="n">
        <f aca="false">F56*G56</f>
        <v>824.85</v>
      </c>
      <c r="J56" s="4" t="n">
        <f aca="false">F56*H56</f>
        <v>370.35</v>
      </c>
      <c r="K56" s="4" t="n">
        <f aca="false">I56-J56</f>
        <v>454.5</v>
      </c>
      <c r="L56" s="5" t="n">
        <f aca="false">IFERROR(K56/I56,0)</f>
        <v>0.55100927441353</v>
      </c>
    </row>
    <row r="57" customFormat="false" ht="15" hidden="false" customHeight="false" outlineLevel="0" collapsed="false">
      <c r="A57" s="2" t="s">
        <v>44</v>
      </c>
      <c r="B57" s="2" t="s">
        <v>46</v>
      </c>
      <c r="C57" s="2" t="s">
        <v>20</v>
      </c>
      <c r="D57" s="2" t="s">
        <v>21</v>
      </c>
      <c r="E57" s="3" t="n">
        <v>45870</v>
      </c>
      <c r="F57" s="2" t="n">
        <v>12</v>
      </c>
      <c r="G57" s="4" t="n">
        <v>44.99</v>
      </c>
      <c r="H57" s="4" t="n">
        <v>20.36</v>
      </c>
      <c r="I57" s="4" t="n">
        <f aca="false">F57*G57</f>
        <v>539.88</v>
      </c>
      <c r="J57" s="4" t="n">
        <f aca="false">F57*H57</f>
        <v>244.32</v>
      </c>
      <c r="K57" s="4" t="n">
        <f aca="false">I57-J57</f>
        <v>295.56</v>
      </c>
      <c r="L57" s="5" t="n">
        <f aca="false">IFERROR(K57/I57,0)</f>
        <v>0.547454989997777</v>
      </c>
    </row>
    <row r="58" customFormat="false" ht="15" hidden="false" customHeight="false" outlineLevel="0" collapsed="false">
      <c r="A58" s="2" t="s">
        <v>44</v>
      </c>
      <c r="B58" s="2" t="s">
        <v>46</v>
      </c>
      <c r="C58" s="2" t="s">
        <v>20</v>
      </c>
      <c r="D58" s="2" t="s">
        <v>22</v>
      </c>
      <c r="E58" s="3" t="n">
        <v>45870</v>
      </c>
      <c r="F58" s="2" t="n">
        <v>11</v>
      </c>
      <c r="G58" s="4" t="n">
        <v>14.99</v>
      </c>
      <c r="H58" s="4" t="n">
        <v>5.7</v>
      </c>
      <c r="I58" s="4" t="n">
        <f aca="false">F58*G58</f>
        <v>164.89</v>
      </c>
      <c r="J58" s="4" t="n">
        <f aca="false">F58*H58</f>
        <v>62.7</v>
      </c>
      <c r="K58" s="4" t="n">
        <f aca="false">I58-J58</f>
        <v>102.19</v>
      </c>
      <c r="L58" s="5" t="n">
        <f aca="false">IFERROR(K58/I58,0)</f>
        <v>0.61974649766511</v>
      </c>
    </row>
    <row r="59" customFormat="false" ht="15" hidden="false" customHeight="false" outlineLevel="0" collapsed="false">
      <c r="A59" s="2" t="s">
        <v>44</v>
      </c>
      <c r="B59" s="2" t="s">
        <v>46</v>
      </c>
      <c r="C59" s="2" t="s">
        <v>20</v>
      </c>
      <c r="D59" s="2" t="s">
        <v>23</v>
      </c>
      <c r="E59" s="3" t="n">
        <v>45870</v>
      </c>
      <c r="F59" s="2" t="n">
        <v>5</v>
      </c>
      <c r="G59" s="4" t="n">
        <v>39.99</v>
      </c>
      <c r="H59" s="4" t="n">
        <v>16.99</v>
      </c>
      <c r="I59" s="4" t="n">
        <f aca="false">F59*G59</f>
        <v>199.95</v>
      </c>
      <c r="J59" s="4" t="n">
        <f aca="false">F59*H59</f>
        <v>84.95</v>
      </c>
      <c r="K59" s="4" t="n">
        <f aca="false">I59-J59</f>
        <v>115</v>
      </c>
      <c r="L59" s="5" t="n">
        <f aca="false">IFERROR(K59/I59,0)</f>
        <v>0.575143785946487</v>
      </c>
    </row>
    <row r="60" customFormat="false" ht="15" hidden="false" customHeight="false" outlineLevel="0" collapsed="false">
      <c r="A60" s="2" t="s">
        <v>44</v>
      </c>
      <c r="B60" s="2" t="s">
        <v>46</v>
      </c>
      <c r="C60" s="2" t="s">
        <v>20</v>
      </c>
      <c r="D60" s="2" t="s">
        <v>24</v>
      </c>
      <c r="E60" s="3" t="n">
        <v>45870</v>
      </c>
      <c r="F60" s="2" t="n">
        <v>14</v>
      </c>
      <c r="G60" s="4" t="n">
        <v>18.99</v>
      </c>
      <c r="H60" s="4" t="n">
        <v>7.41</v>
      </c>
      <c r="I60" s="4" t="n">
        <f aca="false">F60*G60</f>
        <v>265.86</v>
      </c>
      <c r="J60" s="4" t="n">
        <f aca="false">F60*H60</f>
        <v>103.74</v>
      </c>
      <c r="K60" s="4" t="n">
        <f aca="false">I60-J60</f>
        <v>162.12</v>
      </c>
      <c r="L60" s="5" t="n">
        <f aca="false">IFERROR(K60/I60,0)</f>
        <v>0.609794628751975</v>
      </c>
    </row>
    <row r="61" customFormat="false" ht="15" hidden="false" customHeight="false" outlineLevel="0" collapsed="false">
      <c r="A61" s="2" t="s">
        <v>44</v>
      </c>
      <c r="B61" s="2" t="s">
        <v>46</v>
      </c>
      <c r="C61" s="2" t="s">
        <v>20</v>
      </c>
      <c r="D61" s="2" t="s">
        <v>25</v>
      </c>
      <c r="E61" s="3" t="n">
        <v>45870</v>
      </c>
      <c r="F61" s="2" t="n">
        <v>11</v>
      </c>
      <c r="G61" s="4" t="n">
        <v>42.99</v>
      </c>
      <c r="H61" s="4" t="n">
        <v>15.55</v>
      </c>
      <c r="I61" s="4" t="n">
        <f aca="false">F61*G61</f>
        <v>472.89</v>
      </c>
      <c r="J61" s="4" t="n">
        <f aca="false">F61*H61</f>
        <v>171.05</v>
      </c>
      <c r="K61" s="4" t="n">
        <f aca="false">I61-J61</f>
        <v>301.84</v>
      </c>
      <c r="L61" s="5" t="n">
        <f aca="false">IFERROR(K61/I61,0)</f>
        <v>0.63828797394743</v>
      </c>
    </row>
    <row r="62" customFormat="false" ht="15" hidden="false" customHeight="false" outlineLevel="0" collapsed="false">
      <c r="A62" s="2" t="s">
        <v>44</v>
      </c>
      <c r="B62" s="2" t="s">
        <v>46</v>
      </c>
      <c r="C62" s="2" t="s">
        <v>26</v>
      </c>
      <c r="D62" s="2" t="s">
        <v>27</v>
      </c>
      <c r="E62" s="3" t="n">
        <v>45870</v>
      </c>
      <c r="F62" s="2" t="n">
        <v>10</v>
      </c>
      <c r="G62" s="4" t="n">
        <v>44.99</v>
      </c>
      <c r="H62" s="4" t="n">
        <v>27.18</v>
      </c>
      <c r="I62" s="4" t="n">
        <f aca="false">F62*G62</f>
        <v>449.9</v>
      </c>
      <c r="J62" s="4" t="n">
        <f aca="false">F62*H62</f>
        <v>271.8</v>
      </c>
      <c r="K62" s="4" t="n">
        <f aca="false">I62-J62</f>
        <v>178.1</v>
      </c>
      <c r="L62" s="5" t="n">
        <f aca="false">IFERROR(K62/I62,0)</f>
        <v>0.395865747943988</v>
      </c>
    </row>
    <row r="63" customFormat="false" ht="15" hidden="false" customHeight="false" outlineLevel="0" collapsed="false">
      <c r="A63" s="2" t="s">
        <v>44</v>
      </c>
      <c r="B63" s="2" t="s">
        <v>46</v>
      </c>
      <c r="C63" s="2" t="s">
        <v>26</v>
      </c>
      <c r="D63" s="2" t="s">
        <v>28</v>
      </c>
      <c r="E63" s="3" t="n">
        <v>45870</v>
      </c>
      <c r="F63" s="2" t="n">
        <v>19</v>
      </c>
      <c r="G63" s="4" t="n">
        <v>34.99</v>
      </c>
      <c r="H63" s="4" t="n">
        <v>22.97</v>
      </c>
      <c r="I63" s="4" t="n">
        <f aca="false">F63*G63</f>
        <v>664.81</v>
      </c>
      <c r="J63" s="4" t="n">
        <f aca="false">F63*H63</f>
        <v>436.43</v>
      </c>
      <c r="K63" s="4" t="n">
        <f aca="false">I63-J63</f>
        <v>228.38</v>
      </c>
      <c r="L63" s="5" t="n">
        <f aca="false">IFERROR(K63/I63,0)</f>
        <v>0.343526721920549</v>
      </c>
    </row>
    <row r="64" customFormat="false" ht="15" hidden="false" customHeight="false" outlineLevel="0" collapsed="false">
      <c r="A64" s="2" t="s">
        <v>44</v>
      </c>
      <c r="B64" s="2" t="s">
        <v>46</v>
      </c>
      <c r="C64" s="2" t="s">
        <v>26</v>
      </c>
      <c r="D64" s="2" t="s">
        <v>29</v>
      </c>
      <c r="E64" s="3" t="n">
        <v>45870</v>
      </c>
      <c r="F64" s="2" t="n">
        <v>16</v>
      </c>
      <c r="G64" s="4" t="n">
        <v>119.99</v>
      </c>
      <c r="H64" s="4" t="n">
        <v>82.47</v>
      </c>
      <c r="I64" s="4" t="n">
        <f aca="false">F64*G64</f>
        <v>1919.84</v>
      </c>
      <c r="J64" s="4" t="n">
        <f aca="false">F64*H64</f>
        <v>1319.52</v>
      </c>
      <c r="K64" s="4" t="n">
        <f aca="false">I64-J64</f>
        <v>600.32</v>
      </c>
      <c r="L64" s="5" t="n">
        <f aca="false">IFERROR(K64/I64,0)</f>
        <v>0.312692724393699</v>
      </c>
    </row>
    <row r="65" customFormat="false" ht="15" hidden="false" customHeight="false" outlineLevel="0" collapsed="false">
      <c r="A65" s="2" t="s">
        <v>44</v>
      </c>
      <c r="B65" s="2" t="s">
        <v>46</v>
      </c>
      <c r="C65" s="2" t="s">
        <v>26</v>
      </c>
      <c r="D65" s="2" t="s">
        <v>30</v>
      </c>
      <c r="E65" s="3" t="n">
        <v>45870</v>
      </c>
      <c r="F65" s="2" t="n">
        <v>9</v>
      </c>
      <c r="G65" s="4" t="n">
        <v>24.99</v>
      </c>
      <c r="H65" s="4" t="n">
        <v>14.6</v>
      </c>
      <c r="I65" s="4" t="n">
        <f aca="false">F65*G65</f>
        <v>224.91</v>
      </c>
      <c r="J65" s="4" t="n">
        <f aca="false">F65*H65</f>
        <v>131.4</v>
      </c>
      <c r="K65" s="4" t="n">
        <f aca="false">I65-J65</f>
        <v>93.51</v>
      </c>
      <c r="L65" s="5" t="n">
        <f aca="false">IFERROR(K65/I65,0)</f>
        <v>0.415766306522609</v>
      </c>
    </row>
    <row r="66" customFormat="false" ht="15" hidden="false" customHeight="false" outlineLevel="0" collapsed="false">
      <c r="A66" s="2" t="s">
        <v>44</v>
      </c>
      <c r="B66" s="2" t="s">
        <v>46</v>
      </c>
      <c r="C66" s="2" t="s">
        <v>26</v>
      </c>
      <c r="D66" s="2" t="s">
        <v>31</v>
      </c>
      <c r="E66" s="3" t="n">
        <v>45870</v>
      </c>
      <c r="F66" s="2" t="n">
        <v>12</v>
      </c>
      <c r="G66" s="4" t="n">
        <v>59.99</v>
      </c>
      <c r="H66" s="4" t="n">
        <v>38.85</v>
      </c>
      <c r="I66" s="4" t="n">
        <f aca="false">F66*G66</f>
        <v>719.88</v>
      </c>
      <c r="J66" s="4" t="n">
        <f aca="false">F66*H66</f>
        <v>466.2</v>
      </c>
      <c r="K66" s="4" t="n">
        <f aca="false">I66-J66</f>
        <v>253.68</v>
      </c>
      <c r="L66" s="5" t="n">
        <f aca="false">IFERROR(K66/I66,0)</f>
        <v>0.352392065344224</v>
      </c>
    </row>
    <row r="67" customFormat="false" ht="15" hidden="false" customHeight="false" outlineLevel="0" collapsed="false">
      <c r="A67" s="2" t="s">
        <v>44</v>
      </c>
      <c r="B67" s="2" t="s">
        <v>46</v>
      </c>
      <c r="C67" s="2" t="s">
        <v>32</v>
      </c>
      <c r="D67" s="2" t="s">
        <v>33</v>
      </c>
      <c r="E67" s="3" t="n">
        <v>45870</v>
      </c>
      <c r="F67" s="2" t="n">
        <v>10</v>
      </c>
      <c r="G67" s="4" t="n">
        <v>49.99</v>
      </c>
      <c r="H67" s="4" t="n">
        <v>36.15</v>
      </c>
      <c r="I67" s="4" t="n">
        <f aca="false">F67*G67</f>
        <v>499.9</v>
      </c>
      <c r="J67" s="4" t="n">
        <f aca="false">F67*H67</f>
        <v>361.5</v>
      </c>
      <c r="K67" s="4" t="n">
        <f aca="false">I67-J67</f>
        <v>138.4</v>
      </c>
      <c r="L67" s="5" t="n">
        <f aca="false">IFERROR(K67/I67,0)</f>
        <v>0.276855371074215</v>
      </c>
    </row>
    <row r="68" customFormat="false" ht="15" hidden="false" customHeight="false" outlineLevel="0" collapsed="false">
      <c r="A68" s="2" t="s">
        <v>44</v>
      </c>
      <c r="B68" s="2" t="s">
        <v>46</v>
      </c>
      <c r="C68" s="2" t="s">
        <v>32</v>
      </c>
      <c r="D68" s="2" t="s">
        <v>34</v>
      </c>
      <c r="E68" s="3" t="n">
        <v>45870</v>
      </c>
      <c r="F68" s="2" t="n">
        <v>9</v>
      </c>
      <c r="G68" s="4" t="n">
        <v>27.99</v>
      </c>
      <c r="H68" s="4" t="n">
        <v>20.36</v>
      </c>
      <c r="I68" s="4" t="n">
        <f aca="false">F68*G68</f>
        <v>251.91</v>
      </c>
      <c r="J68" s="4" t="n">
        <f aca="false">F68*H68</f>
        <v>183.24</v>
      </c>
      <c r="K68" s="4" t="n">
        <f aca="false">I68-J68</f>
        <v>68.67</v>
      </c>
      <c r="L68" s="5" t="n">
        <f aca="false">IFERROR(K68/I68,0)</f>
        <v>0.272597356198642</v>
      </c>
    </row>
    <row r="69" customFormat="false" ht="15" hidden="false" customHeight="false" outlineLevel="0" collapsed="false">
      <c r="A69" s="2" t="s">
        <v>44</v>
      </c>
      <c r="B69" s="2" t="s">
        <v>46</v>
      </c>
      <c r="C69" s="2" t="s">
        <v>32</v>
      </c>
      <c r="D69" s="2" t="s">
        <v>35</v>
      </c>
      <c r="E69" s="3" t="n">
        <v>45870</v>
      </c>
      <c r="F69" s="2" t="n">
        <v>14</v>
      </c>
      <c r="G69" s="4" t="n">
        <v>64.99</v>
      </c>
      <c r="H69" s="4" t="n">
        <v>45.09</v>
      </c>
      <c r="I69" s="4" t="n">
        <f aca="false">F69*G69</f>
        <v>909.86</v>
      </c>
      <c r="J69" s="4" t="n">
        <f aca="false">F69*H69</f>
        <v>631.26</v>
      </c>
      <c r="K69" s="4" t="n">
        <f aca="false">I69-J69</f>
        <v>278.6</v>
      </c>
      <c r="L69" s="5" t="n">
        <f aca="false">IFERROR(K69/I69,0)</f>
        <v>0.306200953992922</v>
      </c>
    </row>
    <row r="70" customFormat="false" ht="15" hidden="false" customHeight="false" outlineLevel="0" collapsed="false">
      <c r="A70" s="2" t="s">
        <v>44</v>
      </c>
      <c r="B70" s="2" t="s">
        <v>46</v>
      </c>
      <c r="C70" s="2" t="s">
        <v>32</v>
      </c>
      <c r="D70" s="2" t="s">
        <v>36</v>
      </c>
      <c r="E70" s="3" t="n">
        <v>45870</v>
      </c>
      <c r="F70" s="2" t="n">
        <v>11</v>
      </c>
      <c r="G70" s="4" t="n">
        <v>22.99</v>
      </c>
      <c r="H70" s="4" t="n">
        <v>16.7</v>
      </c>
      <c r="I70" s="4" t="n">
        <f aca="false">F70*G70</f>
        <v>252.89</v>
      </c>
      <c r="J70" s="4" t="n">
        <f aca="false">F70*H70</f>
        <v>183.7</v>
      </c>
      <c r="K70" s="4" t="n">
        <f aca="false">I70-J70</f>
        <v>69.19</v>
      </c>
      <c r="L70" s="5" t="n">
        <f aca="false">IFERROR(K70/I70,0)</f>
        <v>0.273597216180948</v>
      </c>
    </row>
    <row r="71" customFormat="false" ht="15" hidden="false" customHeight="false" outlineLevel="0" collapsed="false">
      <c r="A71" s="2" t="s">
        <v>44</v>
      </c>
      <c r="B71" s="2" t="s">
        <v>46</v>
      </c>
      <c r="C71" s="2" t="s">
        <v>32</v>
      </c>
      <c r="D71" s="2" t="s">
        <v>37</v>
      </c>
      <c r="E71" s="3" t="n">
        <v>45870</v>
      </c>
      <c r="F71" s="2" t="n">
        <v>15</v>
      </c>
      <c r="G71" s="4" t="n">
        <v>29.99</v>
      </c>
      <c r="H71" s="4" t="n">
        <v>20.34</v>
      </c>
      <c r="I71" s="4" t="n">
        <f aca="false">F71*G71</f>
        <v>449.85</v>
      </c>
      <c r="J71" s="4" t="n">
        <f aca="false">F71*H71</f>
        <v>305.1</v>
      </c>
      <c r="K71" s="4" t="n">
        <f aca="false">I71-J71</f>
        <v>144.75</v>
      </c>
      <c r="L71" s="5" t="n">
        <f aca="false">IFERROR(K71/I71,0)</f>
        <v>0.321773924641547</v>
      </c>
    </row>
    <row r="72" customFormat="false" ht="15" hidden="false" customHeight="false" outlineLevel="0" collapsed="false">
      <c r="A72" s="2" t="s">
        <v>44</v>
      </c>
      <c r="B72" s="2" t="s">
        <v>46</v>
      </c>
      <c r="C72" s="2" t="s">
        <v>38</v>
      </c>
      <c r="D72" s="2" t="s">
        <v>39</v>
      </c>
      <c r="E72" s="3" t="n">
        <v>45870</v>
      </c>
      <c r="F72" s="2" t="n">
        <v>11</v>
      </c>
      <c r="G72" s="4" t="n">
        <v>129.99</v>
      </c>
      <c r="H72" s="4" t="n">
        <v>74.69</v>
      </c>
      <c r="I72" s="4" t="n">
        <f aca="false">F72*G72</f>
        <v>1429.89</v>
      </c>
      <c r="J72" s="4" t="n">
        <f aca="false">F72*H72</f>
        <v>821.59</v>
      </c>
      <c r="K72" s="4" t="n">
        <f aca="false">I72-J72</f>
        <v>608.3</v>
      </c>
      <c r="L72" s="5" t="n">
        <f aca="false">IFERROR(K72/I72,0)</f>
        <v>0.425417339795369</v>
      </c>
    </row>
    <row r="73" customFormat="false" ht="15" hidden="false" customHeight="false" outlineLevel="0" collapsed="false">
      <c r="A73" s="2" t="s">
        <v>44</v>
      </c>
      <c r="B73" s="2" t="s">
        <v>46</v>
      </c>
      <c r="C73" s="2" t="s">
        <v>38</v>
      </c>
      <c r="D73" s="2" t="s">
        <v>40</v>
      </c>
      <c r="E73" s="3" t="n">
        <v>45870</v>
      </c>
      <c r="F73" s="2" t="n">
        <v>14</v>
      </c>
      <c r="G73" s="4" t="n">
        <v>74.99</v>
      </c>
      <c r="H73" s="4" t="n">
        <v>41.15</v>
      </c>
      <c r="I73" s="4" t="n">
        <f aca="false">F73*G73</f>
        <v>1049.86</v>
      </c>
      <c r="J73" s="4" t="n">
        <f aca="false">F73*H73</f>
        <v>576.1</v>
      </c>
      <c r="K73" s="4" t="n">
        <f aca="false">I73-J73</f>
        <v>473.76</v>
      </c>
      <c r="L73" s="5" t="n">
        <f aca="false">IFERROR(K73/I73,0)</f>
        <v>0.451260168022403</v>
      </c>
    </row>
    <row r="74" customFormat="false" ht="15" hidden="false" customHeight="false" outlineLevel="0" collapsed="false">
      <c r="A74" s="2" t="s">
        <v>44</v>
      </c>
      <c r="B74" s="2" t="s">
        <v>46</v>
      </c>
      <c r="C74" s="2" t="s">
        <v>38</v>
      </c>
      <c r="D74" s="2" t="s">
        <v>41</v>
      </c>
      <c r="E74" s="3" t="n">
        <v>45870</v>
      </c>
      <c r="F74" s="2" t="n">
        <v>16</v>
      </c>
      <c r="G74" s="4" t="n">
        <v>19.99</v>
      </c>
      <c r="H74" s="4" t="n">
        <v>9.75</v>
      </c>
      <c r="I74" s="4" t="n">
        <f aca="false">F74*G74</f>
        <v>319.84</v>
      </c>
      <c r="J74" s="4" t="n">
        <f aca="false">F74*H74</f>
        <v>156</v>
      </c>
      <c r="K74" s="4" t="n">
        <f aca="false">I74-J74</f>
        <v>163.84</v>
      </c>
      <c r="L74" s="5" t="n">
        <f aca="false">IFERROR(K74/I74,0)</f>
        <v>0.512256128064032</v>
      </c>
    </row>
    <row r="75" customFormat="false" ht="15" hidden="false" customHeight="false" outlineLevel="0" collapsed="false">
      <c r="A75" s="2" t="s">
        <v>44</v>
      </c>
      <c r="B75" s="2" t="s">
        <v>46</v>
      </c>
      <c r="C75" s="2" t="s">
        <v>38</v>
      </c>
      <c r="D75" s="2" t="s">
        <v>42</v>
      </c>
      <c r="E75" s="3" t="n">
        <v>45870</v>
      </c>
      <c r="F75" s="2" t="n">
        <v>11</v>
      </c>
      <c r="G75" s="4" t="n">
        <v>16.99</v>
      </c>
      <c r="H75" s="4" t="n">
        <v>8.32</v>
      </c>
      <c r="I75" s="4" t="n">
        <f aca="false">F75*G75</f>
        <v>186.89</v>
      </c>
      <c r="J75" s="4" t="n">
        <f aca="false">F75*H75</f>
        <v>91.52</v>
      </c>
      <c r="K75" s="4" t="n">
        <f aca="false">I75-J75</f>
        <v>95.37</v>
      </c>
      <c r="L75" s="5" t="n">
        <f aca="false">IFERROR(K75/I75,0)</f>
        <v>0.510300176574456</v>
      </c>
    </row>
    <row r="76" customFormat="false" ht="15" hidden="false" customHeight="false" outlineLevel="0" collapsed="false">
      <c r="A76" s="2" t="s">
        <v>44</v>
      </c>
      <c r="B76" s="2" t="s">
        <v>46</v>
      </c>
      <c r="C76" s="2" t="s">
        <v>38</v>
      </c>
      <c r="D76" s="2" t="s">
        <v>43</v>
      </c>
      <c r="E76" s="3" t="n">
        <v>45870</v>
      </c>
      <c r="F76" s="2" t="n">
        <v>12</v>
      </c>
      <c r="G76" s="4" t="n">
        <v>24.99</v>
      </c>
      <c r="H76" s="4" t="n">
        <v>13.18</v>
      </c>
      <c r="I76" s="4" t="n">
        <f aca="false">F76*G76</f>
        <v>299.88</v>
      </c>
      <c r="J76" s="4" t="n">
        <f aca="false">F76*H76</f>
        <v>158.16</v>
      </c>
      <c r="K76" s="4" t="n">
        <f aca="false">I76-J76</f>
        <v>141.72</v>
      </c>
      <c r="L76" s="5" t="n">
        <f aca="false">IFERROR(K76/I76,0)</f>
        <v>0.472589035614246</v>
      </c>
    </row>
    <row r="77" customFormat="false" ht="15" hidden="false" customHeight="false" outlineLevel="0" collapsed="false">
      <c r="A77" s="2" t="s">
        <v>47</v>
      </c>
      <c r="B77" s="2" t="s">
        <v>48</v>
      </c>
      <c r="C77" s="2" t="s">
        <v>14</v>
      </c>
      <c r="D77" s="2" t="s">
        <v>15</v>
      </c>
      <c r="E77" s="3" t="n">
        <v>45870</v>
      </c>
      <c r="F77" s="2" t="n">
        <v>13</v>
      </c>
      <c r="G77" s="4" t="n">
        <v>69.99</v>
      </c>
      <c r="H77" s="4" t="n">
        <v>32.81</v>
      </c>
      <c r="I77" s="4" t="n">
        <f aca="false">F77*G77</f>
        <v>909.87</v>
      </c>
      <c r="J77" s="4" t="n">
        <f aca="false">F77*H77</f>
        <v>426.53</v>
      </c>
      <c r="K77" s="4" t="n">
        <f aca="false">I77-J77</f>
        <v>483.34</v>
      </c>
      <c r="L77" s="5" t="n">
        <f aca="false">IFERROR(K77/I77,0)</f>
        <v>0.531218745535076</v>
      </c>
    </row>
    <row r="78" customFormat="false" ht="15" hidden="false" customHeight="false" outlineLevel="0" collapsed="false">
      <c r="A78" s="2" t="s">
        <v>47</v>
      </c>
      <c r="B78" s="2" t="s">
        <v>48</v>
      </c>
      <c r="C78" s="2" t="s">
        <v>14</v>
      </c>
      <c r="D78" s="2" t="s">
        <v>16</v>
      </c>
      <c r="E78" s="3" t="n">
        <v>45870</v>
      </c>
      <c r="F78" s="2" t="n">
        <v>14</v>
      </c>
      <c r="G78" s="4" t="n">
        <v>19.99</v>
      </c>
      <c r="H78" s="4" t="n">
        <v>8.76</v>
      </c>
      <c r="I78" s="4" t="n">
        <f aca="false">F78*G78</f>
        <v>279.86</v>
      </c>
      <c r="J78" s="4" t="n">
        <f aca="false">F78*H78</f>
        <v>122.64</v>
      </c>
      <c r="K78" s="4" t="n">
        <f aca="false">I78-J78</f>
        <v>157.22</v>
      </c>
      <c r="L78" s="5" t="n">
        <f aca="false">IFERROR(K78/I78,0)</f>
        <v>0.561780890445223</v>
      </c>
    </row>
    <row r="79" customFormat="false" ht="15" hidden="false" customHeight="false" outlineLevel="0" collapsed="false">
      <c r="A79" s="2" t="s">
        <v>47</v>
      </c>
      <c r="B79" s="2" t="s">
        <v>48</v>
      </c>
      <c r="C79" s="2" t="s">
        <v>14</v>
      </c>
      <c r="D79" s="2" t="s">
        <v>17</v>
      </c>
      <c r="E79" s="3" t="n">
        <v>45870</v>
      </c>
      <c r="F79" s="2" t="n">
        <v>12</v>
      </c>
      <c r="G79" s="4" t="n">
        <v>79.99</v>
      </c>
      <c r="H79" s="4" t="n">
        <v>39.64</v>
      </c>
      <c r="I79" s="4" t="n">
        <f aca="false">F79*G79</f>
        <v>959.88</v>
      </c>
      <c r="J79" s="4" t="n">
        <f aca="false">F79*H79</f>
        <v>475.68</v>
      </c>
      <c r="K79" s="4" t="n">
        <f aca="false">I79-J79</f>
        <v>484.2</v>
      </c>
      <c r="L79" s="5" t="n">
        <f aca="false">IFERROR(K79/I79,0)</f>
        <v>0.504438054756845</v>
      </c>
    </row>
    <row r="80" customFormat="false" ht="15" hidden="false" customHeight="false" outlineLevel="0" collapsed="false">
      <c r="A80" s="2" t="s">
        <v>47</v>
      </c>
      <c r="B80" s="2" t="s">
        <v>48</v>
      </c>
      <c r="C80" s="2" t="s">
        <v>14</v>
      </c>
      <c r="D80" s="2" t="s">
        <v>18</v>
      </c>
      <c r="E80" s="3" t="n">
        <v>45870</v>
      </c>
      <c r="F80" s="2" t="n">
        <v>20</v>
      </c>
      <c r="G80" s="4" t="n">
        <v>34.99</v>
      </c>
      <c r="H80" s="4" t="n">
        <v>14.45</v>
      </c>
      <c r="I80" s="4" t="n">
        <f aca="false">F80*G80</f>
        <v>699.8</v>
      </c>
      <c r="J80" s="4" t="n">
        <f aca="false">F80*H80</f>
        <v>289</v>
      </c>
      <c r="K80" s="4" t="n">
        <f aca="false">I80-J80</f>
        <v>410.8</v>
      </c>
      <c r="L80" s="5" t="n">
        <f aca="false">IFERROR(K80/I80,0)</f>
        <v>0.587024864246928</v>
      </c>
    </row>
    <row r="81" customFormat="false" ht="15" hidden="false" customHeight="false" outlineLevel="0" collapsed="false">
      <c r="A81" s="2" t="s">
        <v>47</v>
      </c>
      <c r="B81" s="2" t="s">
        <v>48</v>
      </c>
      <c r="C81" s="2" t="s">
        <v>14</v>
      </c>
      <c r="D81" s="2" t="s">
        <v>19</v>
      </c>
      <c r="E81" s="3" t="n">
        <v>45870</v>
      </c>
      <c r="F81" s="2" t="n">
        <v>12</v>
      </c>
      <c r="G81" s="4" t="n">
        <v>54.99</v>
      </c>
      <c r="H81" s="4" t="n">
        <v>24.76</v>
      </c>
      <c r="I81" s="4" t="n">
        <f aca="false">F81*G81</f>
        <v>659.88</v>
      </c>
      <c r="J81" s="4" t="n">
        <f aca="false">F81*H81</f>
        <v>297.12</v>
      </c>
      <c r="K81" s="4" t="n">
        <f aca="false">I81-J81</f>
        <v>362.76</v>
      </c>
      <c r="L81" s="5" t="n">
        <f aca="false">IFERROR(K81/I81,0)</f>
        <v>0.549736315693763</v>
      </c>
    </row>
    <row r="82" customFormat="false" ht="15" hidden="false" customHeight="false" outlineLevel="0" collapsed="false">
      <c r="A82" s="2" t="s">
        <v>47</v>
      </c>
      <c r="B82" s="2" t="s">
        <v>48</v>
      </c>
      <c r="C82" s="2" t="s">
        <v>20</v>
      </c>
      <c r="D82" s="2" t="s">
        <v>21</v>
      </c>
      <c r="E82" s="3" t="n">
        <v>45870</v>
      </c>
      <c r="F82" s="2" t="n">
        <v>12</v>
      </c>
      <c r="G82" s="4" t="n">
        <v>44.99</v>
      </c>
      <c r="H82" s="4" t="n">
        <v>20.6</v>
      </c>
      <c r="I82" s="4" t="n">
        <f aca="false">F82*G82</f>
        <v>539.88</v>
      </c>
      <c r="J82" s="4" t="n">
        <f aca="false">F82*H82</f>
        <v>247.2</v>
      </c>
      <c r="K82" s="4" t="n">
        <f aca="false">I82-J82</f>
        <v>292.68</v>
      </c>
      <c r="L82" s="5" t="n">
        <f aca="false">IFERROR(K82/I82,0)</f>
        <v>0.542120471215826</v>
      </c>
    </row>
    <row r="83" customFormat="false" ht="15" hidden="false" customHeight="false" outlineLevel="0" collapsed="false">
      <c r="A83" s="2" t="s">
        <v>47</v>
      </c>
      <c r="B83" s="2" t="s">
        <v>48</v>
      </c>
      <c r="C83" s="2" t="s">
        <v>20</v>
      </c>
      <c r="D83" s="2" t="s">
        <v>22</v>
      </c>
      <c r="E83" s="3" t="n">
        <v>45870</v>
      </c>
      <c r="F83" s="2" t="n">
        <v>14</v>
      </c>
      <c r="G83" s="4" t="n">
        <v>14.99</v>
      </c>
      <c r="H83" s="4" t="n">
        <v>5.8</v>
      </c>
      <c r="I83" s="4" t="n">
        <f aca="false">F83*G83</f>
        <v>209.86</v>
      </c>
      <c r="J83" s="4" t="n">
        <f aca="false">F83*H83</f>
        <v>81.2</v>
      </c>
      <c r="K83" s="4" t="n">
        <f aca="false">I83-J83</f>
        <v>128.66</v>
      </c>
      <c r="L83" s="5" t="n">
        <f aca="false">IFERROR(K83/I83,0)</f>
        <v>0.613075383589059</v>
      </c>
    </row>
    <row r="84" customFormat="false" ht="15" hidden="false" customHeight="false" outlineLevel="0" collapsed="false">
      <c r="A84" s="2" t="s">
        <v>47</v>
      </c>
      <c r="B84" s="2" t="s">
        <v>48</v>
      </c>
      <c r="C84" s="2" t="s">
        <v>20</v>
      </c>
      <c r="D84" s="2" t="s">
        <v>23</v>
      </c>
      <c r="E84" s="3" t="n">
        <v>45870</v>
      </c>
      <c r="F84" s="2" t="n">
        <v>21</v>
      </c>
      <c r="G84" s="4" t="n">
        <v>39.99</v>
      </c>
      <c r="H84" s="4" t="n">
        <v>16.82</v>
      </c>
      <c r="I84" s="4" t="n">
        <f aca="false">F84*G84</f>
        <v>839.79</v>
      </c>
      <c r="J84" s="4" t="n">
        <f aca="false">F84*H84</f>
        <v>353.22</v>
      </c>
      <c r="K84" s="4" t="n">
        <f aca="false">I84-J84</f>
        <v>486.57</v>
      </c>
      <c r="L84" s="5" t="n">
        <f aca="false">IFERROR(K84/I84,0)</f>
        <v>0.579394848712178</v>
      </c>
    </row>
    <row r="85" customFormat="false" ht="15" hidden="false" customHeight="false" outlineLevel="0" collapsed="false">
      <c r="A85" s="2" t="s">
        <v>47</v>
      </c>
      <c r="B85" s="2" t="s">
        <v>48</v>
      </c>
      <c r="C85" s="2" t="s">
        <v>20</v>
      </c>
      <c r="D85" s="2" t="s">
        <v>24</v>
      </c>
      <c r="E85" s="3" t="n">
        <v>45870</v>
      </c>
      <c r="F85" s="2" t="n">
        <v>5</v>
      </c>
      <c r="G85" s="4" t="n">
        <v>18.99</v>
      </c>
      <c r="H85" s="4" t="n">
        <v>7.4</v>
      </c>
      <c r="I85" s="4" t="n">
        <f aca="false">F85*G85</f>
        <v>94.95</v>
      </c>
      <c r="J85" s="4" t="n">
        <f aca="false">F85*H85</f>
        <v>37</v>
      </c>
      <c r="K85" s="4" t="n">
        <f aca="false">I85-J85</f>
        <v>57.95</v>
      </c>
      <c r="L85" s="5" t="n">
        <f aca="false">IFERROR(K85/I85,0)</f>
        <v>0.610321221695629</v>
      </c>
    </row>
    <row r="86" customFormat="false" ht="15" hidden="false" customHeight="false" outlineLevel="0" collapsed="false">
      <c r="A86" s="2" t="s">
        <v>47</v>
      </c>
      <c r="B86" s="2" t="s">
        <v>48</v>
      </c>
      <c r="C86" s="2" t="s">
        <v>20</v>
      </c>
      <c r="D86" s="2" t="s">
        <v>25</v>
      </c>
      <c r="E86" s="3" t="n">
        <v>45870</v>
      </c>
      <c r="F86" s="2" t="n">
        <v>8</v>
      </c>
      <c r="G86" s="4" t="n">
        <v>42.99</v>
      </c>
      <c r="H86" s="4" t="n">
        <v>15.61</v>
      </c>
      <c r="I86" s="4" t="n">
        <f aca="false">F86*G86</f>
        <v>343.92</v>
      </c>
      <c r="J86" s="4" t="n">
        <f aca="false">F86*H86</f>
        <v>124.88</v>
      </c>
      <c r="K86" s="4" t="n">
        <f aca="false">I86-J86</f>
        <v>219.04</v>
      </c>
      <c r="L86" s="5" t="n">
        <f aca="false">IFERROR(K86/I86,0)</f>
        <v>0.636892300535008</v>
      </c>
    </row>
    <row r="87" customFormat="false" ht="15" hidden="false" customHeight="false" outlineLevel="0" collapsed="false">
      <c r="A87" s="2" t="s">
        <v>47</v>
      </c>
      <c r="B87" s="2" t="s">
        <v>48</v>
      </c>
      <c r="C87" s="2" t="s">
        <v>26</v>
      </c>
      <c r="D87" s="2" t="s">
        <v>27</v>
      </c>
      <c r="E87" s="3" t="n">
        <v>45870</v>
      </c>
      <c r="F87" s="2" t="n">
        <v>16</v>
      </c>
      <c r="G87" s="4" t="n">
        <v>44.99</v>
      </c>
      <c r="H87" s="4" t="n">
        <v>28.62</v>
      </c>
      <c r="I87" s="4" t="n">
        <f aca="false">F87*G87</f>
        <v>719.84</v>
      </c>
      <c r="J87" s="4" t="n">
        <f aca="false">F87*H87</f>
        <v>457.92</v>
      </c>
      <c r="K87" s="4" t="n">
        <f aca="false">I87-J87</f>
        <v>261.92</v>
      </c>
      <c r="L87" s="5" t="n">
        <f aca="false">IFERROR(K87/I87,0)</f>
        <v>0.363858635252278</v>
      </c>
    </row>
    <row r="88" customFormat="false" ht="15" hidden="false" customHeight="false" outlineLevel="0" collapsed="false">
      <c r="A88" s="2" t="s">
        <v>47</v>
      </c>
      <c r="B88" s="2" t="s">
        <v>48</v>
      </c>
      <c r="C88" s="2" t="s">
        <v>26</v>
      </c>
      <c r="D88" s="2" t="s">
        <v>28</v>
      </c>
      <c r="E88" s="3" t="n">
        <v>45870</v>
      </c>
      <c r="F88" s="2" t="n">
        <v>12</v>
      </c>
      <c r="G88" s="4" t="n">
        <v>34.99</v>
      </c>
      <c r="H88" s="4" t="n">
        <v>22.39</v>
      </c>
      <c r="I88" s="4" t="n">
        <f aca="false">F88*G88</f>
        <v>419.88</v>
      </c>
      <c r="J88" s="4" t="n">
        <f aca="false">F88*H88</f>
        <v>268.68</v>
      </c>
      <c r="K88" s="4" t="n">
        <f aca="false">I88-J88</f>
        <v>151.2</v>
      </c>
      <c r="L88" s="5" t="n">
        <f aca="false">IFERROR(K88/I88,0)</f>
        <v>0.360102886539011</v>
      </c>
    </row>
    <row r="89" customFormat="false" ht="15" hidden="false" customHeight="false" outlineLevel="0" collapsed="false">
      <c r="A89" s="2" t="s">
        <v>47</v>
      </c>
      <c r="B89" s="2" t="s">
        <v>48</v>
      </c>
      <c r="C89" s="2" t="s">
        <v>26</v>
      </c>
      <c r="D89" s="2" t="s">
        <v>29</v>
      </c>
      <c r="E89" s="3" t="n">
        <v>45870</v>
      </c>
      <c r="F89" s="2" t="n">
        <v>13</v>
      </c>
      <c r="G89" s="4" t="n">
        <v>119.99</v>
      </c>
      <c r="H89" s="4" t="n">
        <v>83.98</v>
      </c>
      <c r="I89" s="4" t="n">
        <f aca="false">F89*G89</f>
        <v>1559.87</v>
      </c>
      <c r="J89" s="4" t="n">
        <f aca="false">F89*H89</f>
        <v>1091.74</v>
      </c>
      <c r="K89" s="4" t="n">
        <f aca="false">I89-J89</f>
        <v>468.13</v>
      </c>
      <c r="L89" s="5" t="n">
        <f aca="false">IFERROR(K89/I89,0)</f>
        <v>0.300108342361863</v>
      </c>
    </row>
    <row r="90" customFormat="false" ht="15" hidden="false" customHeight="false" outlineLevel="0" collapsed="false">
      <c r="A90" s="2" t="s">
        <v>47</v>
      </c>
      <c r="B90" s="2" t="s">
        <v>48</v>
      </c>
      <c r="C90" s="2" t="s">
        <v>26</v>
      </c>
      <c r="D90" s="2" t="s">
        <v>30</v>
      </c>
      <c r="E90" s="3" t="n">
        <v>45870</v>
      </c>
      <c r="F90" s="2" t="n">
        <v>16</v>
      </c>
      <c r="G90" s="4" t="n">
        <v>24.99</v>
      </c>
      <c r="H90" s="4" t="n">
        <v>14.85</v>
      </c>
      <c r="I90" s="4" t="n">
        <f aca="false">F90*G90</f>
        <v>399.84</v>
      </c>
      <c r="J90" s="4" t="n">
        <f aca="false">F90*H90</f>
        <v>237.6</v>
      </c>
      <c r="K90" s="4" t="n">
        <f aca="false">I90-J90</f>
        <v>162.24</v>
      </c>
      <c r="L90" s="5" t="n">
        <f aca="false">IFERROR(K90/I90,0)</f>
        <v>0.405762304921969</v>
      </c>
    </row>
    <row r="91" customFormat="false" ht="15" hidden="false" customHeight="false" outlineLevel="0" collapsed="false">
      <c r="A91" s="2" t="s">
        <v>47</v>
      </c>
      <c r="B91" s="2" t="s">
        <v>48</v>
      </c>
      <c r="C91" s="2" t="s">
        <v>26</v>
      </c>
      <c r="D91" s="2" t="s">
        <v>31</v>
      </c>
      <c r="E91" s="3" t="n">
        <v>45870</v>
      </c>
      <c r="F91" s="2" t="n">
        <v>8</v>
      </c>
      <c r="G91" s="4" t="n">
        <v>59.99</v>
      </c>
      <c r="H91" s="4" t="n">
        <v>38.43</v>
      </c>
      <c r="I91" s="4" t="n">
        <f aca="false">F91*G91</f>
        <v>479.92</v>
      </c>
      <c r="J91" s="4" t="n">
        <f aca="false">F91*H91</f>
        <v>307.44</v>
      </c>
      <c r="K91" s="4" t="n">
        <f aca="false">I91-J91</f>
        <v>172.48</v>
      </c>
      <c r="L91" s="5" t="n">
        <f aca="false">IFERROR(K91/I91,0)</f>
        <v>0.359393232205368</v>
      </c>
    </row>
    <row r="92" customFormat="false" ht="15" hidden="false" customHeight="false" outlineLevel="0" collapsed="false">
      <c r="A92" s="2" t="s">
        <v>47</v>
      </c>
      <c r="B92" s="2" t="s">
        <v>48</v>
      </c>
      <c r="C92" s="2" t="s">
        <v>32</v>
      </c>
      <c r="D92" s="2" t="s">
        <v>33</v>
      </c>
      <c r="E92" s="3" t="n">
        <v>45870</v>
      </c>
      <c r="F92" s="2" t="n">
        <v>23</v>
      </c>
      <c r="G92" s="4" t="n">
        <v>49.99</v>
      </c>
      <c r="H92" s="4" t="n">
        <v>35.16</v>
      </c>
      <c r="I92" s="4" t="n">
        <f aca="false">F92*G92</f>
        <v>1149.77</v>
      </c>
      <c r="J92" s="4" t="n">
        <f aca="false">F92*H92</f>
        <v>808.68</v>
      </c>
      <c r="K92" s="4" t="n">
        <f aca="false">I92-J92</f>
        <v>341.09</v>
      </c>
      <c r="L92" s="5" t="n">
        <f aca="false">IFERROR(K92/I92,0)</f>
        <v>0.296659331866373</v>
      </c>
    </row>
    <row r="93" customFormat="false" ht="15" hidden="false" customHeight="false" outlineLevel="0" collapsed="false">
      <c r="A93" s="2" t="s">
        <v>47</v>
      </c>
      <c r="B93" s="2" t="s">
        <v>48</v>
      </c>
      <c r="C93" s="2" t="s">
        <v>32</v>
      </c>
      <c r="D93" s="2" t="s">
        <v>34</v>
      </c>
      <c r="E93" s="3" t="n">
        <v>45870</v>
      </c>
      <c r="F93" s="2" t="n">
        <v>14</v>
      </c>
      <c r="G93" s="4" t="n">
        <v>27.99</v>
      </c>
      <c r="H93" s="4" t="n">
        <v>19.83</v>
      </c>
      <c r="I93" s="4" t="n">
        <f aca="false">F93*G93</f>
        <v>391.86</v>
      </c>
      <c r="J93" s="4" t="n">
        <f aca="false">F93*H93</f>
        <v>277.62</v>
      </c>
      <c r="K93" s="4" t="n">
        <f aca="false">I93-J93</f>
        <v>114.24</v>
      </c>
      <c r="L93" s="5" t="n">
        <f aca="false">IFERROR(K93/I93,0)</f>
        <v>0.291532690246517</v>
      </c>
    </row>
    <row r="94" customFormat="false" ht="15" hidden="false" customHeight="false" outlineLevel="0" collapsed="false">
      <c r="A94" s="2" t="s">
        <v>47</v>
      </c>
      <c r="B94" s="2" t="s">
        <v>48</v>
      </c>
      <c r="C94" s="2" t="s">
        <v>32</v>
      </c>
      <c r="D94" s="2" t="s">
        <v>35</v>
      </c>
      <c r="E94" s="3" t="n">
        <v>45870</v>
      </c>
      <c r="F94" s="2" t="n">
        <v>7</v>
      </c>
      <c r="G94" s="4" t="n">
        <v>64.99</v>
      </c>
      <c r="H94" s="4" t="n">
        <v>45.4</v>
      </c>
      <c r="I94" s="4" t="n">
        <f aca="false">F94*G94</f>
        <v>454.93</v>
      </c>
      <c r="J94" s="4" t="n">
        <f aca="false">F94*H94</f>
        <v>317.8</v>
      </c>
      <c r="K94" s="4" t="n">
        <f aca="false">I94-J94</f>
        <v>137.13</v>
      </c>
      <c r="L94" s="5" t="n">
        <f aca="false">IFERROR(K94/I94,0)</f>
        <v>0.301430989382982</v>
      </c>
    </row>
    <row r="95" customFormat="false" ht="15" hidden="false" customHeight="false" outlineLevel="0" collapsed="false">
      <c r="A95" s="2" t="s">
        <v>47</v>
      </c>
      <c r="B95" s="2" t="s">
        <v>48</v>
      </c>
      <c r="C95" s="2" t="s">
        <v>32</v>
      </c>
      <c r="D95" s="2" t="s">
        <v>36</v>
      </c>
      <c r="E95" s="3" t="n">
        <v>45870</v>
      </c>
      <c r="F95" s="2" t="n">
        <v>6</v>
      </c>
      <c r="G95" s="4" t="n">
        <v>22.99</v>
      </c>
      <c r="H95" s="4" t="n">
        <v>17.05</v>
      </c>
      <c r="I95" s="4" t="n">
        <f aca="false">F95*G95</f>
        <v>137.94</v>
      </c>
      <c r="J95" s="4" t="n">
        <f aca="false">F95*H95</f>
        <v>102.3</v>
      </c>
      <c r="K95" s="4" t="n">
        <f aca="false">I95-J95</f>
        <v>35.64</v>
      </c>
      <c r="L95" s="5" t="n">
        <f aca="false">IFERROR(K95/I95,0)</f>
        <v>0.258373205741627</v>
      </c>
    </row>
    <row r="96" customFormat="false" ht="15" hidden="false" customHeight="false" outlineLevel="0" collapsed="false">
      <c r="A96" s="2" t="s">
        <v>47</v>
      </c>
      <c r="B96" s="2" t="s">
        <v>48</v>
      </c>
      <c r="C96" s="2" t="s">
        <v>32</v>
      </c>
      <c r="D96" s="2" t="s">
        <v>37</v>
      </c>
      <c r="E96" s="3" t="n">
        <v>45870</v>
      </c>
      <c r="F96" s="2" t="n">
        <v>12</v>
      </c>
      <c r="G96" s="4" t="n">
        <v>29.99</v>
      </c>
      <c r="H96" s="4" t="n">
        <v>19.95</v>
      </c>
      <c r="I96" s="4" t="n">
        <f aca="false">F96*G96</f>
        <v>359.88</v>
      </c>
      <c r="J96" s="4" t="n">
        <f aca="false">F96*H96</f>
        <v>239.4</v>
      </c>
      <c r="K96" s="4" t="n">
        <f aca="false">I96-J96</f>
        <v>120.48</v>
      </c>
      <c r="L96" s="5" t="n">
        <f aca="false">IFERROR(K96/I96,0)</f>
        <v>0.334778259419807</v>
      </c>
    </row>
    <row r="97" customFormat="false" ht="15" hidden="false" customHeight="false" outlineLevel="0" collapsed="false">
      <c r="A97" s="2" t="s">
        <v>47</v>
      </c>
      <c r="B97" s="2" t="s">
        <v>48</v>
      </c>
      <c r="C97" s="2" t="s">
        <v>38</v>
      </c>
      <c r="D97" s="2" t="s">
        <v>39</v>
      </c>
      <c r="E97" s="3" t="n">
        <v>45870</v>
      </c>
      <c r="F97" s="2" t="n">
        <v>13</v>
      </c>
      <c r="G97" s="4" t="n">
        <v>129.99</v>
      </c>
      <c r="H97" s="4" t="n">
        <v>75.86</v>
      </c>
      <c r="I97" s="4" t="n">
        <f aca="false">F97*G97</f>
        <v>1689.87</v>
      </c>
      <c r="J97" s="4" t="n">
        <f aca="false">F97*H97</f>
        <v>986.18</v>
      </c>
      <c r="K97" s="4" t="n">
        <f aca="false">I97-J97</f>
        <v>703.69</v>
      </c>
      <c r="L97" s="5" t="n">
        <f aca="false">IFERROR(K97/I97,0)</f>
        <v>0.416416647434418</v>
      </c>
    </row>
    <row r="98" customFormat="false" ht="15" hidden="false" customHeight="false" outlineLevel="0" collapsed="false">
      <c r="A98" s="2" t="s">
        <v>47</v>
      </c>
      <c r="B98" s="2" t="s">
        <v>48</v>
      </c>
      <c r="C98" s="2" t="s">
        <v>38</v>
      </c>
      <c r="D98" s="2" t="s">
        <v>40</v>
      </c>
      <c r="E98" s="3" t="n">
        <v>45870</v>
      </c>
      <c r="F98" s="2" t="n">
        <v>13</v>
      </c>
      <c r="G98" s="4" t="n">
        <v>74.99</v>
      </c>
      <c r="H98" s="4" t="n">
        <v>41.75</v>
      </c>
      <c r="I98" s="4" t="n">
        <f aca="false">F98*G98</f>
        <v>974.87</v>
      </c>
      <c r="J98" s="4" t="n">
        <f aca="false">F98*H98</f>
        <v>542.75</v>
      </c>
      <c r="K98" s="4" t="n">
        <f aca="false">I98-J98</f>
        <v>432.12</v>
      </c>
      <c r="L98" s="5" t="n">
        <f aca="false">IFERROR(K98/I98,0)</f>
        <v>0.443259101213495</v>
      </c>
    </row>
    <row r="99" customFormat="false" ht="15" hidden="false" customHeight="false" outlineLevel="0" collapsed="false">
      <c r="A99" s="2" t="s">
        <v>47</v>
      </c>
      <c r="B99" s="2" t="s">
        <v>48</v>
      </c>
      <c r="C99" s="2" t="s">
        <v>38</v>
      </c>
      <c r="D99" s="2" t="s">
        <v>41</v>
      </c>
      <c r="E99" s="3" t="n">
        <v>45870</v>
      </c>
      <c r="F99" s="2" t="n">
        <v>15</v>
      </c>
      <c r="G99" s="4" t="n">
        <v>19.99</v>
      </c>
      <c r="H99" s="4" t="n">
        <v>9.51</v>
      </c>
      <c r="I99" s="4" t="n">
        <f aca="false">F99*G99</f>
        <v>299.85</v>
      </c>
      <c r="J99" s="4" t="n">
        <f aca="false">F99*H99</f>
        <v>142.65</v>
      </c>
      <c r="K99" s="4" t="n">
        <f aca="false">I99-J99</f>
        <v>157.2</v>
      </c>
      <c r="L99" s="5" t="n">
        <f aca="false">IFERROR(K99/I99,0)</f>
        <v>0.524262131065533</v>
      </c>
    </row>
    <row r="100" customFormat="false" ht="15" hidden="false" customHeight="false" outlineLevel="0" collapsed="false">
      <c r="A100" s="2" t="s">
        <v>47</v>
      </c>
      <c r="B100" s="2" t="s">
        <v>48</v>
      </c>
      <c r="C100" s="2" t="s">
        <v>38</v>
      </c>
      <c r="D100" s="2" t="s">
        <v>42</v>
      </c>
      <c r="E100" s="3" t="n">
        <v>45870</v>
      </c>
      <c r="F100" s="2" t="n">
        <v>10</v>
      </c>
      <c r="G100" s="4" t="n">
        <v>16.99</v>
      </c>
      <c r="H100" s="4" t="n">
        <v>8.74</v>
      </c>
      <c r="I100" s="4" t="n">
        <f aca="false">F100*G100</f>
        <v>169.9</v>
      </c>
      <c r="J100" s="4" t="n">
        <f aca="false">F100*H100</f>
        <v>87.4</v>
      </c>
      <c r="K100" s="4" t="n">
        <f aca="false">I100-J100</f>
        <v>82.5</v>
      </c>
      <c r="L100" s="5" t="n">
        <f aca="false">IFERROR(K100/I100,0)</f>
        <v>0.485579752795762</v>
      </c>
    </row>
    <row r="101" customFormat="false" ht="15" hidden="false" customHeight="false" outlineLevel="0" collapsed="false">
      <c r="A101" s="2" t="s">
        <v>47</v>
      </c>
      <c r="B101" s="2" t="s">
        <v>48</v>
      </c>
      <c r="C101" s="2" t="s">
        <v>38</v>
      </c>
      <c r="D101" s="2" t="s">
        <v>43</v>
      </c>
      <c r="E101" s="3" t="n">
        <v>45870</v>
      </c>
      <c r="F101" s="2" t="n">
        <v>15</v>
      </c>
      <c r="G101" s="4" t="n">
        <v>24.99</v>
      </c>
      <c r="H101" s="4" t="n">
        <v>13.33</v>
      </c>
      <c r="I101" s="4" t="n">
        <f aca="false">F101*G101</f>
        <v>374.85</v>
      </c>
      <c r="J101" s="4" t="n">
        <f aca="false">F101*H101</f>
        <v>199.95</v>
      </c>
      <c r="K101" s="4" t="n">
        <f aca="false">I101-J101</f>
        <v>174.9</v>
      </c>
      <c r="L101" s="5" t="n">
        <f aca="false">IFERROR(K101/I101,0)</f>
        <v>0.466586634653862</v>
      </c>
    </row>
    <row r="102" customFormat="false" ht="15" hidden="false" customHeight="false" outlineLevel="0" collapsed="false">
      <c r="A102" s="2" t="s">
        <v>47</v>
      </c>
      <c r="B102" s="2" t="s">
        <v>49</v>
      </c>
      <c r="C102" s="2" t="s">
        <v>14</v>
      </c>
      <c r="D102" s="2" t="s">
        <v>15</v>
      </c>
      <c r="E102" s="3" t="n">
        <v>45870</v>
      </c>
      <c r="F102" s="2" t="n">
        <v>25</v>
      </c>
      <c r="G102" s="4" t="n">
        <v>69.99</v>
      </c>
      <c r="H102" s="4" t="n">
        <v>34.19</v>
      </c>
      <c r="I102" s="4" t="n">
        <f aca="false">F102*G102</f>
        <v>1749.75</v>
      </c>
      <c r="J102" s="4" t="n">
        <f aca="false">F102*H102</f>
        <v>854.75</v>
      </c>
      <c r="K102" s="4" t="n">
        <f aca="false">I102-J102</f>
        <v>895</v>
      </c>
      <c r="L102" s="5" t="n">
        <f aca="false">IFERROR(K102/I102,0)</f>
        <v>0.51150164309187</v>
      </c>
    </row>
    <row r="103" customFormat="false" ht="15" hidden="false" customHeight="false" outlineLevel="0" collapsed="false">
      <c r="A103" s="2" t="s">
        <v>47</v>
      </c>
      <c r="B103" s="2" t="s">
        <v>49</v>
      </c>
      <c r="C103" s="2" t="s">
        <v>14</v>
      </c>
      <c r="D103" s="2" t="s">
        <v>16</v>
      </c>
      <c r="E103" s="3" t="n">
        <v>45870</v>
      </c>
      <c r="F103" s="2" t="n">
        <v>24</v>
      </c>
      <c r="G103" s="4" t="n">
        <v>19.99</v>
      </c>
      <c r="H103" s="4" t="n">
        <v>8.98</v>
      </c>
      <c r="I103" s="4" t="n">
        <f aca="false">F103*G103</f>
        <v>479.76</v>
      </c>
      <c r="J103" s="4" t="n">
        <f aca="false">F103*H103</f>
        <v>215.52</v>
      </c>
      <c r="K103" s="4" t="n">
        <f aca="false">I103-J103</f>
        <v>264.24</v>
      </c>
      <c r="L103" s="5" t="n">
        <f aca="false">IFERROR(K103/I103,0)</f>
        <v>0.550775387693847</v>
      </c>
    </row>
    <row r="104" customFormat="false" ht="15" hidden="false" customHeight="false" outlineLevel="0" collapsed="false">
      <c r="A104" s="2" t="s">
        <v>47</v>
      </c>
      <c r="B104" s="2" t="s">
        <v>49</v>
      </c>
      <c r="C104" s="2" t="s">
        <v>14</v>
      </c>
      <c r="D104" s="2" t="s">
        <v>17</v>
      </c>
      <c r="E104" s="3" t="n">
        <v>45870</v>
      </c>
      <c r="F104" s="2" t="n">
        <v>25</v>
      </c>
      <c r="G104" s="4" t="n">
        <v>79.99</v>
      </c>
      <c r="H104" s="4" t="n">
        <v>40.93</v>
      </c>
      <c r="I104" s="4" t="n">
        <f aca="false">F104*G104</f>
        <v>1999.75</v>
      </c>
      <c r="J104" s="4" t="n">
        <f aca="false">F104*H104</f>
        <v>1023.25</v>
      </c>
      <c r="K104" s="4" t="n">
        <f aca="false">I104-J104</f>
        <v>976.5</v>
      </c>
      <c r="L104" s="5" t="n">
        <f aca="false">IFERROR(K104/I104,0)</f>
        <v>0.48831103887986</v>
      </c>
    </row>
    <row r="105" customFormat="false" ht="15" hidden="false" customHeight="false" outlineLevel="0" collapsed="false">
      <c r="A105" s="2" t="s">
        <v>47</v>
      </c>
      <c r="B105" s="2" t="s">
        <v>49</v>
      </c>
      <c r="C105" s="2" t="s">
        <v>14</v>
      </c>
      <c r="D105" s="2" t="s">
        <v>18</v>
      </c>
      <c r="E105" s="3" t="n">
        <v>45870</v>
      </c>
      <c r="F105" s="2" t="n">
        <v>21</v>
      </c>
      <c r="G105" s="4" t="n">
        <v>34.99</v>
      </c>
      <c r="H105" s="4" t="n">
        <v>15.09</v>
      </c>
      <c r="I105" s="4" t="n">
        <f aca="false">F105*G105</f>
        <v>734.79</v>
      </c>
      <c r="J105" s="4" t="n">
        <f aca="false">F105*H105</f>
        <v>316.89</v>
      </c>
      <c r="K105" s="4" t="n">
        <f aca="false">I105-J105</f>
        <v>417.9</v>
      </c>
      <c r="L105" s="5" t="n">
        <f aca="false">IFERROR(K105/I105,0)</f>
        <v>0.56873392397828</v>
      </c>
    </row>
    <row r="106" customFormat="false" ht="15" hidden="false" customHeight="false" outlineLevel="0" collapsed="false">
      <c r="A106" s="2" t="s">
        <v>47</v>
      </c>
      <c r="B106" s="2" t="s">
        <v>49</v>
      </c>
      <c r="C106" s="2" t="s">
        <v>14</v>
      </c>
      <c r="D106" s="2" t="s">
        <v>19</v>
      </c>
      <c r="E106" s="3" t="n">
        <v>45870</v>
      </c>
      <c r="F106" s="2" t="n">
        <v>33</v>
      </c>
      <c r="G106" s="4" t="n">
        <v>54.99</v>
      </c>
      <c r="H106" s="4" t="n">
        <v>23.68</v>
      </c>
      <c r="I106" s="4" t="n">
        <f aca="false">F106*G106</f>
        <v>1814.67</v>
      </c>
      <c r="J106" s="4" t="n">
        <f aca="false">F106*H106</f>
        <v>781.44</v>
      </c>
      <c r="K106" s="4" t="n">
        <f aca="false">I106-J106</f>
        <v>1033.23</v>
      </c>
      <c r="L106" s="5" t="n">
        <f aca="false">IFERROR(K106/I106,0)</f>
        <v>0.569376250227314</v>
      </c>
    </row>
    <row r="107" customFormat="false" ht="15" hidden="false" customHeight="false" outlineLevel="0" collapsed="false">
      <c r="A107" s="2" t="s">
        <v>47</v>
      </c>
      <c r="B107" s="2" t="s">
        <v>49</v>
      </c>
      <c r="C107" s="2" t="s">
        <v>20</v>
      </c>
      <c r="D107" s="2" t="s">
        <v>21</v>
      </c>
      <c r="E107" s="3" t="n">
        <v>45870</v>
      </c>
      <c r="F107" s="2" t="n">
        <v>21</v>
      </c>
      <c r="G107" s="4" t="n">
        <v>44.99</v>
      </c>
      <c r="H107" s="4" t="n">
        <v>19.7</v>
      </c>
      <c r="I107" s="4" t="n">
        <f aca="false">F107*G107</f>
        <v>944.79</v>
      </c>
      <c r="J107" s="4" t="n">
        <f aca="false">F107*H107</f>
        <v>413.7</v>
      </c>
      <c r="K107" s="4" t="n">
        <f aca="false">I107-J107</f>
        <v>531.09</v>
      </c>
      <c r="L107" s="5" t="n">
        <f aca="false">IFERROR(K107/I107,0)</f>
        <v>0.562124916648144</v>
      </c>
    </row>
    <row r="108" customFormat="false" ht="15" hidden="false" customHeight="false" outlineLevel="0" collapsed="false">
      <c r="A108" s="2" t="s">
        <v>47</v>
      </c>
      <c r="B108" s="2" t="s">
        <v>49</v>
      </c>
      <c r="C108" s="2" t="s">
        <v>20</v>
      </c>
      <c r="D108" s="2" t="s">
        <v>22</v>
      </c>
      <c r="E108" s="3" t="n">
        <v>45870</v>
      </c>
      <c r="F108" s="2" t="n">
        <v>22</v>
      </c>
      <c r="G108" s="4" t="n">
        <v>14.99</v>
      </c>
      <c r="H108" s="4" t="n">
        <v>5.75</v>
      </c>
      <c r="I108" s="4" t="n">
        <f aca="false">F108*G108</f>
        <v>329.78</v>
      </c>
      <c r="J108" s="4" t="n">
        <f aca="false">F108*H108</f>
        <v>126.5</v>
      </c>
      <c r="K108" s="4" t="n">
        <f aca="false">I108-J108</f>
        <v>203.28</v>
      </c>
      <c r="L108" s="5" t="n">
        <f aca="false">IFERROR(K108/I108,0)</f>
        <v>0.616410940627085</v>
      </c>
    </row>
    <row r="109" customFormat="false" ht="15" hidden="false" customHeight="false" outlineLevel="0" collapsed="false">
      <c r="A109" s="2" t="s">
        <v>47</v>
      </c>
      <c r="B109" s="2" t="s">
        <v>49</v>
      </c>
      <c r="C109" s="2" t="s">
        <v>20</v>
      </c>
      <c r="D109" s="2" t="s">
        <v>23</v>
      </c>
      <c r="E109" s="3" t="n">
        <v>45870</v>
      </c>
      <c r="F109" s="2" t="n">
        <v>12</v>
      </c>
      <c r="G109" s="4" t="n">
        <v>39.99</v>
      </c>
      <c r="H109" s="4" t="n">
        <v>17.05</v>
      </c>
      <c r="I109" s="4" t="n">
        <f aca="false">F109*G109</f>
        <v>479.88</v>
      </c>
      <c r="J109" s="4" t="n">
        <f aca="false">F109*H109</f>
        <v>204.6</v>
      </c>
      <c r="K109" s="4" t="n">
        <f aca="false">I109-J109</f>
        <v>275.28</v>
      </c>
      <c r="L109" s="5" t="n">
        <f aca="false">IFERROR(K109/I109,0)</f>
        <v>0.573643410852713</v>
      </c>
    </row>
    <row r="110" customFormat="false" ht="15" hidden="false" customHeight="false" outlineLevel="0" collapsed="false">
      <c r="A110" s="2" t="s">
        <v>47</v>
      </c>
      <c r="B110" s="2" t="s">
        <v>49</v>
      </c>
      <c r="C110" s="2" t="s">
        <v>20</v>
      </c>
      <c r="D110" s="2" t="s">
        <v>24</v>
      </c>
      <c r="E110" s="3" t="n">
        <v>45870</v>
      </c>
      <c r="F110" s="2" t="n">
        <v>19</v>
      </c>
      <c r="G110" s="4" t="n">
        <v>18.99</v>
      </c>
      <c r="H110" s="4" t="n">
        <v>7.61</v>
      </c>
      <c r="I110" s="4" t="n">
        <f aca="false">F110*G110</f>
        <v>360.81</v>
      </c>
      <c r="J110" s="4" t="n">
        <f aca="false">F110*H110</f>
        <v>144.59</v>
      </c>
      <c r="K110" s="4" t="n">
        <f aca="false">I110-J110</f>
        <v>216.22</v>
      </c>
      <c r="L110" s="5" t="n">
        <f aca="false">IFERROR(K110/I110,0)</f>
        <v>0.599262769878884</v>
      </c>
    </row>
    <row r="111" customFormat="false" ht="15" hidden="false" customHeight="false" outlineLevel="0" collapsed="false">
      <c r="A111" s="2" t="s">
        <v>47</v>
      </c>
      <c r="B111" s="2" t="s">
        <v>49</v>
      </c>
      <c r="C111" s="2" t="s">
        <v>20</v>
      </c>
      <c r="D111" s="2" t="s">
        <v>25</v>
      </c>
      <c r="E111" s="3" t="n">
        <v>45870</v>
      </c>
      <c r="F111" s="2" t="n">
        <v>24</v>
      </c>
      <c r="G111" s="4" t="n">
        <v>42.99</v>
      </c>
      <c r="H111" s="4" t="n">
        <v>15.61</v>
      </c>
      <c r="I111" s="4" t="n">
        <f aca="false">F111*G111</f>
        <v>1031.76</v>
      </c>
      <c r="J111" s="4" t="n">
        <f aca="false">F111*H111</f>
        <v>374.64</v>
      </c>
      <c r="K111" s="4" t="n">
        <f aca="false">I111-J111</f>
        <v>657.12</v>
      </c>
      <c r="L111" s="5" t="n">
        <f aca="false">IFERROR(K111/I111,0)</f>
        <v>0.636892300535008</v>
      </c>
    </row>
    <row r="112" customFormat="false" ht="15" hidden="false" customHeight="false" outlineLevel="0" collapsed="false">
      <c r="A112" s="2" t="s">
        <v>47</v>
      </c>
      <c r="B112" s="2" t="s">
        <v>49</v>
      </c>
      <c r="C112" s="2" t="s">
        <v>26</v>
      </c>
      <c r="D112" s="2" t="s">
        <v>27</v>
      </c>
      <c r="E112" s="3" t="n">
        <v>45870</v>
      </c>
      <c r="F112" s="2" t="n">
        <v>22</v>
      </c>
      <c r="G112" s="4" t="n">
        <v>44.99</v>
      </c>
      <c r="H112" s="4" t="n">
        <v>28.19</v>
      </c>
      <c r="I112" s="4" t="n">
        <f aca="false">F112*G112</f>
        <v>989.78</v>
      </c>
      <c r="J112" s="4" t="n">
        <f aca="false">F112*H112</f>
        <v>620.18</v>
      </c>
      <c r="K112" s="4" t="n">
        <f aca="false">I112-J112</f>
        <v>369.6</v>
      </c>
      <c r="L112" s="5" t="n">
        <f aca="false">IFERROR(K112/I112,0)</f>
        <v>0.373416314736608</v>
      </c>
    </row>
    <row r="113" customFormat="false" ht="15" hidden="false" customHeight="false" outlineLevel="0" collapsed="false">
      <c r="A113" s="2" t="s">
        <v>47</v>
      </c>
      <c r="B113" s="2" t="s">
        <v>49</v>
      </c>
      <c r="C113" s="2" t="s">
        <v>26</v>
      </c>
      <c r="D113" s="2" t="s">
        <v>28</v>
      </c>
      <c r="E113" s="3" t="n">
        <v>45870</v>
      </c>
      <c r="F113" s="2" t="n">
        <v>22</v>
      </c>
      <c r="G113" s="4" t="n">
        <v>34.99</v>
      </c>
      <c r="H113" s="4" t="n">
        <v>22.09</v>
      </c>
      <c r="I113" s="4" t="n">
        <f aca="false">F113*G113</f>
        <v>769.78</v>
      </c>
      <c r="J113" s="4" t="n">
        <f aca="false">F113*H113</f>
        <v>485.98</v>
      </c>
      <c r="K113" s="4" t="n">
        <f aca="false">I113-J113</f>
        <v>283.8</v>
      </c>
      <c r="L113" s="5" t="n">
        <f aca="false">IFERROR(K113/I113,0)</f>
        <v>0.36867676478994</v>
      </c>
    </row>
    <row r="114" customFormat="false" ht="15" hidden="false" customHeight="false" outlineLevel="0" collapsed="false">
      <c r="A114" s="2" t="s">
        <v>47</v>
      </c>
      <c r="B114" s="2" t="s">
        <v>49</v>
      </c>
      <c r="C114" s="2" t="s">
        <v>26</v>
      </c>
      <c r="D114" s="2" t="s">
        <v>29</v>
      </c>
      <c r="E114" s="3" t="n">
        <v>45870</v>
      </c>
      <c r="F114" s="2" t="n">
        <v>19</v>
      </c>
      <c r="G114" s="4" t="n">
        <v>119.99</v>
      </c>
      <c r="H114" s="4" t="n">
        <v>83.92</v>
      </c>
      <c r="I114" s="4" t="n">
        <f aca="false">F114*G114</f>
        <v>2279.81</v>
      </c>
      <c r="J114" s="4" t="n">
        <f aca="false">F114*H114</f>
        <v>1594.48</v>
      </c>
      <c r="K114" s="4" t="n">
        <f aca="false">I114-J114</f>
        <v>685.33</v>
      </c>
      <c r="L114" s="5" t="n">
        <f aca="false">IFERROR(K114/I114,0)</f>
        <v>0.300608384032003</v>
      </c>
    </row>
    <row r="115" customFormat="false" ht="15" hidden="false" customHeight="false" outlineLevel="0" collapsed="false">
      <c r="A115" s="2" t="s">
        <v>47</v>
      </c>
      <c r="B115" s="2" t="s">
        <v>49</v>
      </c>
      <c r="C115" s="2" t="s">
        <v>26</v>
      </c>
      <c r="D115" s="2" t="s">
        <v>30</v>
      </c>
      <c r="E115" s="3" t="n">
        <v>45870</v>
      </c>
      <c r="F115" s="2" t="n">
        <v>24</v>
      </c>
      <c r="G115" s="4" t="n">
        <v>24.99</v>
      </c>
      <c r="H115" s="4" t="n">
        <v>15.04</v>
      </c>
      <c r="I115" s="4" t="n">
        <f aca="false">F115*G115</f>
        <v>599.76</v>
      </c>
      <c r="J115" s="4" t="n">
        <f aca="false">F115*H115</f>
        <v>360.96</v>
      </c>
      <c r="K115" s="4" t="n">
        <f aca="false">I115-J115</f>
        <v>238.8</v>
      </c>
      <c r="L115" s="5" t="n">
        <f aca="false">IFERROR(K115/I115,0)</f>
        <v>0.398159263705482</v>
      </c>
    </row>
    <row r="116" customFormat="false" ht="15" hidden="false" customHeight="false" outlineLevel="0" collapsed="false">
      <c r="A116" s="2" t="s">
        <v>47</v>
      </c>
      <c r="B116" s="2" t="s">
        <v>49</v>
      </c>
      <c r="C116" s="2" t="s">
        <v>26</v>
      </c>
      <c r="D116" s="2" t="s">
        <v>31</v>
      </c>
      <c r="E116" s="3" t="n">
        <v>45870</v>
      </c>
      <c r="F116" s="2" t="n">
        <v>22</v>
      </c>
      <c r="G116" s="4" t="n">
        <v>59.99</v>
      </c>
      <c r="H116" s="4" t="n">
        <v>39.45</v>
      </c>
      <c r="I116" s="4" t="n">
        <f aca="false">F116*G116</f>
        <v>1319.78</v>
      </c>
      <c r="J116" s="4" t="n">
        <f aca="false">F116*H116</f>
        <v>867.9</v>
      </c>
      <c r="K116" s="4" t="n">
        <f aca="false">I116-J116</f>
        <v>451.88</v>
      </c>
      <c r="L116" s="5" t="n">
        <f aca="false">IFERROR(K116/I116,0)</f>
        <v>0.342390398399733</v>
      </c>
    </row>
    <row r="117" customFormat="false" ht="15" hidden="false" customHeight="false" outlineLevel="0" collapsed="false">
      <c r="A117" s="2" t="s">
        <v>47</v>
      </c>
      <c r="B117" s="2" t="s">
        <v>49</v>
      </c>
      <c r="C117" s="2" t="s">
        <v>32</v>
      </c>
      <c r="D117" s="2" t="s">
        <v>33</v>
      </c>
      <c r="E117" s="3" t="n">
        <v>45870</v>
      </c>
      <c r="F117" s="2" t="n">
        <v>22</v>
      </c>
      <c r="G117" s="4" t="n">
        <v>49.99</v>
      </c>
      <c r="H117" s="4" t="n">
        <v>35.32</v>
      </c>
      <c r="I117" s="4" t="n">
        <f aca="false">F117*G117</f>
        <v>1099.78</v>
      </c>
      <c r="J117" s="4" t="n">
        <f aca="false">F117*H117</f>
        <v>777.04</v>
      </c>
      <c r="K117" s="4" t="n">
        <f aca="false">I117-J117</f>
        <v>322.74</v>
      </c>
      <c r="L117" s="5" t="n">
        <f aca="false">IFERROR(K117/I117,0)</f>
        <v>0.293458691738348</v>
      </c>
    </row>
    <row r="118" customFormat="false" ht="15" hidden="false" customHeight="false" outlineLevel="0" collapsed="false">
      <c r="A118" s="2" t="s">
        <v>47</v>
      </c>
      <c r="B118" s="2" t="s">
        <v>49</v>
      </c>
      <c r="C118" s="2" t="s">
        <v>32</v>
      </c>
      <c r="D118" s="2" t="s">
        <v>34</v>
      </c>
      <c r="E118" s="3" t="n">
        <v>45870</v>
      </c>
      <c r="F118" s="2" t="n">
        <v>16</v>
      </c>
      <c r="G118" s="4" t="n">
        <v>27.99</v>
      </c>
      <c r="H118" s="4" t="n">
        <v>19.4</v>
      </c>
      <c r="I118" s="4" t="n">
        <f aca="false">F118*G118</f>
        <v>447.84</v>
      </c>
      <c r="J118" s="4" t="n">
        <f aca="false">F118*H118</f>
        <v>310.4</v>
      </c>
      <c r="K118" s="4" t="n">
        <f aca="false">I118-J118</f>
        <v>137.44</v>
      </c>
      <c r="L118" s="5" t="n">
        <f aca="false">IFERROR(K118/I118,0)</f>
        <v>0.306895319757056</v>
      </c>
    </row>
    <row r="119" customFormat="false" ht="15" hidden="false" customHeight="false" outlineLevel="0" collapsed="false">
      <c r="A119" s="2" t="s">
        <v>47</v>
      </c>
      <c r="B119" s="2" t="s">
        <v>49</v>
      </c>
      <c r="C119" s="2" t="s">
        <v>32</v>
      </c>
      <c r="D119" s="2" t="s">
        <v>35</v>
      </c>
      <c r="E119" s="3" t="n">
        <v>45870</v>
      </c>
      <c r="F119" s="2" t="n">
        <v>24</v>
      </c>
      <c r="G119" s="4" t="n">
        <v>64.99</v>
      </c>
      <c r="H119" s="4" t="n">
        <v>44.28</v>
      </c>
      <c r="I119" s="4" t="n">
        <f aca="false">F119*G119</f>
        <v>1559.76</v>
      </c>
      <c r="J119" s="4" t="n">
        <f aca="false">F119*H119</f>
        <v>1062.72</v>
      </c>
      <c r="K119" s="4" t="n">
        <f aca="false">I119-J119</f>
        <v>497.04</v>
      </c>
      <c r="L119" s="5" t="n">
        <f aca="false">IFERROR(K119/I119,0)</f>
        <v>0.318664409909217</v>
      </c>
    </row>
    <row r="120" customFormat="false" ht="15" hidden="false" customHeight="false" outlineLevel="0" collapsed="false">
      <c r="A120" s="2" t="s">
        <v>47</v>
      </c>
      <c r="B120" s="2" t="s">
        <v>49</v>
      </c>
      <c r="C120" s="2" t="s">
        <v>32</v>
      </c>
      <c r="D120" s="2" t="s">
        <v>36</v>
      </c>
      <c r="E120" s="3" t="n">
        <v>45870</v>
      </c>
      <c r="F120" s="2" t="n">
        <v>25</v>
      </c>
      <c r="G120" s="4" t="n">
        <v>22.99</v>
      </c>
      <c r="H120" s="4" t="n">
        <v>16.95</v>
      </c>
      <c r="I120" s="4" t="n">
        <f aca="false">F120*G120</f>
        <v>574.75</v>
      </c>
      <c r="J120" s="4" t="n">
        <f aca="false">F120*H120</f>
        <v>423.75</v>
      </c>
      <c r="K120" s="4" t="n">
        <f aca="false">I120-J120</f>
        <v>151</v>
      </c>
      <c r="L120" s="5" t="n">
        <f aca="false">IFERROR(K120/I120,0)</f>
        <v>0.262722923010004</v>
      </c>
    </row>
    <row r="121" customFormat="false" ht="15" hidden="false" customHeight="false" outlineLevel="0" collapsed="false">
      <c r="A121" s="2" t="s">
        <v>47</v>
      </c>
      <c r="B121" s="2" t="s">
        <v>49</v>
      </c>
      <c r="C121" s="2" t="s">
        <v>32</v>
      </c>
      <c r="D121" s="2" t="s">
        <v>37</v>
      </c>
      <c r="E121" s="3" t="n">
        <v>45870</v>
      </c>
      <c r="F121" s="2" t="n">
        <v>13</v>
      </c>
      <c r="G121" s="4" t="n">
        <v>29.99</v>
      </c>
      <c r="H121" s="4" t="n">
        <v>20.41</v>
      </c>
      <c r="I121" s="4" t="n">
        <f aca="false">F121*G121</f>
        <v>389.87</v>
      </c>
      <c r="J121" s="4" t="n">
        <f aca="false">F121*H121</f>
        <v>265.33</v>
      </c>
      <c r="K121" s="4" t="n">
        <f aca="false">I121-J121</f>
        <v>124.54</v>
      </c>
      <c r="L121" s="5" t="n">
        <f aca="false">IFERROR(K121/I121,0)</f>
        <v>0.31943981327109</v>
      </c>
    </row>
    <row r="122" customFormat="false" ht="15" hidden="false" customHeight="false" outlineLevel="0" collapsed="false">
      <c r="A122" s="2" t="s">
        <v>47</v>
      </c>
      <c r="B122" s="2" t="s">
        <v>49</v>
      </c>
      <c r="C122" s="2" t="s">
        <v>38</v>
      </c>
      <c r="D122" s="2" t="s">
        <v>39</v>
      </c>
      <c r="E122" s="3" t="n">
        <v>45870</v>
      </c>
      <c r="F122" s="2" t="n">
        <v>15</v>
      </c>
      <c r="G122" s="4" t="n">
        <v>129.99</v>
      </c>
      <c r="H122" s="4" t="n">
        <v>74.34</v>
      </c>
      <c r="I122" s="4" t="n">
        <f aca="false">F122*G122</f>
        <v>1949.85</v>
      </c>
      <c r="J122" s="4" t="n">
        <f aca="false">F122*H122</f>
        <v>1115.1</v>
      </c>
      <c r="K122" s="4" t="n">
        <f aca="false">I122-J122</f>
        <v>834.75</v>
      </c>
      <c r="L122" s="5" t="n">
        <f aca="false">IFERROR(K122/I122,0)</f>
        <v>0.4281098546042</v>
      </c>
    </row>
    <row r="123" customFormat="false" ht="15" hidden="false" customHeight="false" outlineLevel="0" collapsed="false">
      <c r="A123" s="2" t="s">
        <v>47</v>
      </c>
      <c r="B123" s="2" t="s">
        <v>49</v>
      </c>
      <c r="C123" s="2" t="s">
        <v>38</v>
      </c>
      <c r="D123" s="2" t="s">
        <v>40</v>
      </c>
      <c r="E123" s="3" t="n">
        <v>45870</v>
      </c>
      <c r="F123" s="2" t="n">
        <v>24</v>
      </c>
      <c r="G123" s="4" t="n">
        <v>74.99</v>
      </c>
      <c r="H123" s="4" t="n">
        <v>41.43</v>
      </c>
      <c r="I123" s="4" t="n">
        <f aca="false">F123*G123</f>
        <v>1799.76</v>
      </c>
      <c r="J123" s="4" t="n">
        <f aca="false">F123*H123</f>
        <v>994.32</v>
      </c>
      <c r="K123" s="4" t="n">
        <f aca="false">I123-J123</f>
        <v>805.44</v>
      </c>
      <c r="L123" s="5" t="n">
        <f aca="false">IFERROR(K123/I123,0)</f>
        <v>0.447526336844913</v>
      </c>
    </row>
    <row r="124" customFormat="false" ht="15" hidden="false" customHeight="false" outlineLevel="0" collapsed="false">
      <c r="A124" s="2" t="s">
        <v>47</v>
      </c>
      <c r="B124" s="2" t="s">
        <v>49</v>
      </c>
      <c r="C124" s="2" t="s">
        <v>38</v>
      </c>
      <c r="D124" s="2" t="s">
        <v>41</v>
      </c>
      <c r="E124" s="3" t="n">
        <v>45870</v>
      </c>
      <c r="F124" s="2" t="n">
        <v>25</v>
      </c>
      <c r="G124" s="4" t="n">
        <v>19.99</v>
      </c>
      <c r="H124" s="4" t="n">
        <v>9.31</v>
      </c>
      <c r="I124" s="4" t="n">
        <f aca="false">F124*G124</f>
        <v>499.75</v>
      </c>
      <c r="J124" s="4" t="n">
        <f aca="false">F124*H124</f>
        <v>232.75</v>
      </c>
      <c r="K124" s="4" t="n">
        <f aca="false">I124-J124</f>
        <v>267</v>
      </c>
      <c r="L124" s="5" t="n">
        <f aca="false">IFERROR(K124/I124,0)</f>
        <v>0.534267133566783</v>
      </c>
    </row>
    <row r="125" customFormat="false" ht="15" hidden="false" customHeight="false" outlineLevel="0" collapsed="false">
      <c r="A125" s="2" t="s">
        <v>47</v>
      </c>
      <c r="B125" s="2" t="s">
        <v>49</v>
      </c>
      <c r="C125" s="2" t="s">
        <v>38</v>
      </c>
      <c r="D125" s="2" t="s">
        <v>42</v>
      </c>
      <c r="E125" s="3" t="n">
        <v>45870</v>
      </c>
      <c r="F125" s="2" t="n">
        <v>30</v>
      </c>
      <c r="G125" s="4" t="n">
        <v>16.99</v>
      </c>
      <c r="H125" s="4" t="n">
        <v>8.6</v>
      </c>
      <c r="I125" s="4" t="n">
        <f aca="false">F125*G125</f>
        <v>509.7</v>
      </c>
      <c r="J125" s="4" t="n">
        <f aca="false">F125*H125</f>
        <v>258</v>
      </c>
      <c r="K125" s="4" t="n">
        <f aca="false">I125-J125</f>
        <v>251.7</v>
      </c>
      <c r="L125" s="5" t="n">
        <f aca="false">IFERROR(K125/I125,0)</f>
        <v>0.493819894055327</v>
      </c>
    </row>
    <row r="126" customFormat="false" ht="15" hidden="false" customHeight="false" outlineLevel="0" collapsed="false">
      <c r="A126" s="2" t="s">
        <v>47</v>
      </c>
      <c r="B126" s="2" t="s">
        <v>49</v>
      </c>
      <c r="C126" s="2" t="s">
        <v>38</v>
      </c>
      <c r="D126" s="2" t="s">
        <v>43</v>
      </c>
      <c r="E126" s="3" t="n">
        <v>45870</v>
      </c>
      <c r="F126" s="2" t="n">
        <v>28</v>
      </c>
      <c r="G126" s="4" t="n">
        <v>24.99</v>
      </c>
      <c r="H126" s="4" t="n">
        <v>12.69</v>
      </c>
      <c r="I126" s="4" t="n">
        <f aca="false">F126*G126</f>
        <v>699.72</v>
      </c>
      <c r="J126" s="4" t="n">
        <f aca="false">F126*H126</f>
        <v>355.32</v>
      </c>
      <c r="K126" s="4" t="n">
        <f aca="false">I126-J126</f>
        <v>344.4</v>
      </c>
      <c r="L126" s="5" t="n">
        <f aca="false">IFERROR(K126/I126,0)</f>
        <v>0.492196878751501</v>
      </c>
    </row>
    <row r="127" customFormat="false" ht="15" hidden="false" customHeight="false" outlineLevel="0" collapsed="false">
      <c r="A127" s="2" t="s">
        <v>50</v>
      </c>
      <c r="B127" s="2" t="s">
        <v>51</v>
      </c>
      <c r="C127" s="2" t="s">
        <v>14</v>
      </c>
      <c r="D127" s="2" t="s">
        <v>15</v>
      </c>
      <c r="E127" s="3" t="n">
        <v>45870</v>
      </c>
      <c r="F127" s="2" t="n">
        <v>12</v>
      </c>
      <c r="G127" s="4" t="n">
        <v>69.99</v>
      </c>
      <c r="H127" s="4" t="n">
        <v>33.21</v>
      </c>
      <c r="I127" s="4" t="n">
        <f aca="false">F127*G127</f>
        <v>839.88</v>
      </c>
      <c r="J127" s="4" t="n">
        <f aca="false">F127*H127</f>
        <v>398.52</v>
      </c>
      <c r="K127" s="4" t="n">
        <f aca="false">I127-J127</f>
        <v>441.36</v>
      </c>
      <c r="L127" s="5" t="n">
        <f aca="false">IFERROR(K127/I127,0)</f>
        <v>0.525503643377625</v>
      </c>
    </row>
    <row r="128" customFormat="false" ht="15" hidden="false" customHeight="false" outlineLevel="0" collapsed="false">
      <c r="A128" s="2" t="s">
        <v>50</v>
      </c>
      <c r="B128" s="2" t="s">
        <v>51</v>
      </c>
      <c r="C128" s="2" t="s">
        <v>14</v>
      </c>
      <c r="D128" s="2" t="s">
        <v>16</v>
      </c>
      <c r="E128" s="3" t="n">
        <v>45870</v>
      </c>
      <c r="F128" s="2" t="n">
        <v>16</v>
      </c>
      <c r="G128" s="4" t="n">
        <v>19.99</v>
      </c>
      <c r="H128" s="4" t="n">
        <v>9.14</v>
      </c>
      <c r="I128" s="4" t="n">
        <f aca="false">F128*G128</f>
        <v>319.84</v>
      </c>
      <c r="J128" s="4" t="n">
        <f aca="false">F128*H128</f>
        <v>146.24</v>
      </c>
      <c r="K128" s="4" t="n">
        <f aca="false">I128-J128</f>
        <v>173.6</v>
      </c>
      <c r="L128" s="5" t="n">
        <f aca="false">IFERROR(K128/I128,0)</f>
        <v>0.542771385692846</v>
      </c>
    </row>
    <row r="129" customFormat="false" ht="15" hidden="false" customHeight="false" outlineLevel="0" collapsed="false">
      <c r="A129" s="2" t="s">
        <v>50</v>
      </c>
      <c r="B129" s="2" t="s">
        <v>51</v>
      </c>
      <c r="C129" s="2" t="s">
        <v>14</v>
      </c>
      <c r="D129" s="2" t="s">
        <v>17</v>
      </c>
      <c r="E129" s="3" t="n">
        <v>45870</v>
      </c>
      <c r="F129" s="2" t="n">
        <v>16</v>
      </c>
      <c r="G129" s="4" t="n">
        <v>79.99</v>
      </c>
      <c r="H129" s="4" t="n">
        <v>39.14</v>
      </c>
      <c r="I129" s="4" t="n">
        <f aca="false">F129*G129</f>
        <v>1279.84</v>
      </c>
      <c r="J129" s="4" t="n">
        <f aca="false">F129*H129</f>
        <v>626.24</v>
      </c>
      <c r="K129" s="4" t="n">
        <f aca="false">I129-J129</f>
        <v>653.6</v>
      </c>
      <c r="L129" s="5" t="n">
        <f aca="false">IFERROR(K129/I129,0)</f>
        <v>0.510688836104513</v>
      </c>
    </row>
    <row r="130" customFormat="false" ht="15" hidden="false" customHeight="false" outlineLevel="0" collapsed="false">
      <c r="A130" s="2" t="s">
        <v>50</v>
      </c>
      <c r="B130" s="2" t="s">
        <v>51</v>
      </c>
      <c r="C130" s="2" t="s">
        <v>14</v>
      </c>
      <c r="D130" s="2" t="s">
        <v>18</v>
      </c>
      <c r="E130" s="3" t="n">
        <v>45870</v>
      </c>
      <c r="F130" s="2" t="n">
        <v>18</v>
      </c>
      <c r="G130" s="4" t="n">
        <v>34.99</v>
      </c>
      <c r="H130" s="4" t="n">
        <v>14.28</v>
      </c>
      <c r="I130" s="4" t="n">
        <f aca="false">F130*G130</f>
        <v>629.82</v>
      </c>
      <c r="J130" s="4" t="n">
        <f aca="false">F130*H130</f>
        <v>257.04</v>
      </c>
      <c r="K130" s="4" t="n">
        <f aca="false">I130-J130</f>
        <v>372.78</v>
      </c>
      <c r="L130" s="5" t="n">
        <f aca="false">IFERROR(K130/I130,0)</f>
        <v>0.591883395255788</v>
      </c>
    </row>
    <row r="131" customFormat="false" ht="15" hidden="false" customHeight="false" outlineLevel="0" collapsed="false">
      <c r="A131" s="2" t="s">
        <v>50</v>
      </c>
      <c r="B131" s="2" t="s">
        <v>51</v>
      </c>
      <c r="C131" s="2" t="s">
        <v>14</v>
      </c>
      <c r="D131" s="2" t="s">
        <v>19</v>
      </c>
      <c r="E131" s="3" t="n">
        <v>45870</v>
      </c>
      <c r="F131" s="2" t="n">
        <v>13</v>
      </c>
      <c r="G131" s="4" t="n">
        <v>54.99</v>
      </c>
      <c r="H131" s="4" t="n">
        <v>24.44</v>
      </c>
      <c r="I131" s="4" t="n">
        <f aca="false">F131*G131</f>
        <v>714.87</v>
      </c>
      <c r="J131" s="4" t="n">
        <f aca="false">F131*H131</f>
        <v>317.72</v>
      </c>
      <c r="K131" s="4" t="n">
        <f aca="false">I131-J131</f>
        <v>397.15</v>
      </c>
      <c r="L131" s="5" t="n">
        <f aca="false">IFERROR(K131/I131,0)</f>
        <v>0.555555555555556</v>
      </c>
    </row>
    <row r="132" customFormat="false" ht="15" hidden="false" customHeight="false" outlineLevel="0" collapsed="false">
      <c r="A132" s="2" t="s">
        <v>50</v>
      </c>
      <c r="B132" s="2" t="s">
        <v>51</v>
      </c>
      <c r="C132" s="2" t="s">
        <v>20</v>
      </c>
      <c r="D132" s="2" t="s">
        <v>21</v>
      </c>
      <c r="E132" s="3" t="n">
        <v>45870</v>
      </c>
      <c r="F132" s="2" t="n">
        <v>9</v>
      </c>
      <c r="G132" s="4" t="n">
        <v>44.99</v>
      </c>
      <c r="H132" s="4" t="n">
        <v>19.81</v>
      </c>
      <c r="I132" s="4" t="n">
        <f aca="false">F132*G132</f>
        <v>404.91</v>
      </c>
      <c r="J132" s="4" t="n">
        <f aca="false">F132*H132</f>
        <v>178.29</v>
      </c>
      <c r="K132" s="4" t="n">
        <f aca="false">I132-J132</f>
        <v>226.62</v>
      </c>
      <c r="L132" s="5" t="n">
        <f aca="false">IFERROR(K132/I132,0)</f>
        <v>0.559679928873083</v>
      </c>
    </row>
    <row r="133" customFormat="false" ht="15" hidden="false" customHeight="false" outlineLevel="0" collapsed="false">
      <c r="A133" s="2" t="s">
        <v>50</v>
      </c>
      <c r="B133" s="2" t="s">
        <v>51</v>
      </c>
      <c r="C133" s="2" t="s">
        <v>20</v>
      </c>
      <c r="D133" s="2" t="s">
        <v>22</v>
      </c>
      <c r="E133" s="3" t="n">
        <v>45870</v>
      </c>
      <c r="F133" s="2" t="n">
        <v>8</v>
      </c>
      <c r="G133" s="4" t="n">
        <v>14.99</v>
      </c>
      <c r="H133" s="4" t="n">
        <v>5.86</v>
      </c>
      <c r="I133" s="4" t="n">
        <f aca="false">F133*G133</f>
        <v>119.92</v>
      </c>
      <c r="J133" s="4" t="n">
        <f aca="false">F133*H133</f>
        <v>46.88</v>
      </c>
      <c r="K133" s="4" t="n">
        <f aca="false">I133-J133</f>
        <v>73.04</v>
      </c>
      <c r="L133" s="5" t="n">
        <f aca="false">IFERROR(K133/I133,0)</f>
        <v>0.609072715143429</v>
      </c>
    </row>
    <row r="134" customFormat="false" ht="15" hidden="false" customHeight="false" outlineLevel="0" collapsed="false">
      <c r="A134" s="2" t="s">
        <v>50</v>
      </c>
      <c r="B134" s="2" t="s">
        <v>51</v>
      </c>
      <c r="C134" s="2" t="s">
        <v>20</v>
      </c>
      <c r="D134" s="2" t="s">
        <v>23</v>
      </c>
      <c r="E134" s="3" t="n">
        <v>45870</v>
      </c>
      <c r="F134" s="2" t="n">
        <v>13</v>
      </c>
      <c r="G134" s="4" t="n">
        <v>39.99</v>
      </c>
      <c r="H134" s="4" t="n">
        <v>17.2</v>
      </c>
      <c r="I134" s="4" t="n">
        <f aca="false">F134*G134</f>
        <v>519.87</v>
      </c>
      <c r="J134" s="4" t="n">
        <f aca="false">F134*H134</f>
        <v>223.6</v>
      </c>
      <c r="K134" s="4" t="n">
        <f aca="false">I134-J134</f>
        <v>296.27</v>
      </c>
      <c r="L134" s="5" t="n">
        <f aca="false">IFERROR(K134/I134,0)</f>
        <v>0.56989247311828</v>
      </c>
    </row>
    <row r="135" customFormat="false" ht="15" hidden="false" customHeight="false" outlineLevel="0" collapsed="false">
      <c r="A135" s="2" t="s">
        <v>50</v>
      </c>
      <c r="B135" s="2" t="s">
        <v>51</v>
      </c>
      <c r="C135" s="2" t="s">
        <v>20</v>
      </c>
      <c r="D135" s="2" t="s">
        <v>24</v>
      </c>
      <c r="E135" s="3" t="n">
        <v>45870</v>
      </c>
      <c r="F135" s="2" t="n">
        <v>9</v>
      </c>
      <c r="G135" s="4" t="n">
        <v>18.99</v>
      </c>
      <c r="H135" s="4" t="n">
        <v>7.65</v>
      </c>
      <c r="I135" s="4" t="n">
        <f aca="false">F135*G135</f>
        <v>170.91</v>
      </c>
      <c r="J135" s="4" t="n">
        <f aca="false">F135*H135</f>
        <v>68.85</v>
      </c>
      <c r="K135" s="4" t="n">
        <f aca="false">I135-J135</f>
        <v>102.06</v>
      </c>
      <c r="L135" s="5" t="n">
        <f aca="false">IFERROR(K135/I135,0)</f>
        <v>0.597156398104265</v>
      </c>
    </row>
    <row r="136" customFormat="false" ht="15" hidden="false" customHeight="false" outlineLevel="0" collapsed="false">
      <c r="A136" s="2" t="s">
        <v>50</v>
      </c>
      <c r="B136" s="2" t="s">
        <v>51</v>
      </c>
      <c r="C136" s="2" t="s">
        <v>20</v>
      </c>
      <c r="D136" s="2" t="s">
        <v>25</v>
      </c>
      <c r="E136" s="3" t="n">
        <v>45870</v>
      </c>
      <c r="F136" s="2" t="n">
        <v>17</v>
      </c>
      <c r="G136" s="4" t="n">
        <v>42.99</v>
      </c>
      <c r="H136" s="4" t="n">
        <v>15.52</v>
      </c>
      <c r="I136" s="4" t="n">
        <f aca="false">F136*G136</f>
        <v>730.83</v>
      </c>
      <c r="J136" s="4" t="n">
        <f aca="false">F136*H136</f>
        <v>263.84</v>
      </c>
      <c r="K136" s="4" t="n">
        <f aca="false">I136-J136</f>
        <v>466.99</v>
      </c>
      <c r="L136" s="5" t="n">
        <f aca="false">IFERROR(K136/I136,0)</f>
        <v>0.638985810653641</v>
      </c>
    </row>
    <row r="137" customFormat="false" ht="15" hidden="false" customHeight="false" outlineLevel="0" collapsed="false">
      <c r="A137" s="2" t="s">
        <v>50</v>
      </c>
      <c r="B137" s="2" t="s">
        <v>51</v>
      </c>
      <c r="C137" s="2" t="s">
        <v>26</v>
      </c>
      <c r="D137" s="2" t="s">
        <v>27</v>
      </c>
      <c r="E137" s="3" t="n">
        <v>45870</v>
      </c>
      <c r="F137" s="2" t="n">
        <v>14</v>
      </c>
      <c r="G137" s="4" t="n">
        <v>44.99</v>
      </c>
      <c r="H137" s="4" t="n">
        <v>28.06</v>
      </c>
      <c r="I137" s="4" t="n">
        <f aca="false">F137*G137</f>
        <v>629.86</v>
      </c>
      <c r="J137" s="4" t="n">
        <f aca="false">F137*H137</f>
        <v>392.84</v>
      </c>
      <c r="K137" s="4" t="n">
        <f aca="false">I137-J137</f>
        <v>237.02</v>
      </c>
      <c r="L137" s="5" t="n">
        <f aca="false">IFERROR(K137/I137,0)</f>
        <v>0.376305845743499</v>
      </c>
    </row>
    <row r="138" customFormat="false" ht="15" hidden="false" customHeight="false" outlineLevel="0" collapsed="false">
      <c r="A138" s="2" t="s">
        <v>50</v>
      </c>
      <c r="B138" s="2" t="s">
        <v>51</v>
      </c>
      <c r="C138" s="2" t="s">
        <v>26</v>
      </c>
      <c r="D138" s="2" t="s">
        <v>28</v>
      </c>
      <c r="E138" s="3" t="n">
        <v>45870</v>
      </c>
      <c r="F138" s="2" t="n">
        <v>16</v>
      </c>
      <c r="G138" s="4" t="n">
        <v>34.99</v>
      </c>
      <c r="H138" s="4" t="n">
        <v>22.44</v>
      </c>
      <c r="I138" s="4" t="n">
        <f aca="false">F138*G138</f>
        <v>559.84</v>
      </c>
      <c r="J138" s="4" t="n">
        <f aca="false">F138*H138</f>
        <v>359.04</v>
      </c>
      <c r="K138" s="4" t="n">
        <f aca="false">I138-J138</f>
        <v>200.8</v>
      </c>
      <c r="L138" s="5" t="n">
        <f aca="false">IFERROR(K138/I138,0)</f>
        <v>0.358673906830523</v>
      </c>
    </row>
    <row r="139" customFormat="false" ht="15" hidden="false" customHeight="false" outlineLevel="0" collapsed="false">
      <c r="A139" s="2" t="s">
        <v>50</v>
      </c>
      <c r="B139" s="2" t="s">
        <v>51</v>
      </c>
      <c r="C139" s="2" t="s">
        <v>26</v>
      </c>
      <c r="D139" s="2" t="s">
        <v>29</v>
      </c>
      <c r="E139" s="3" t="n">
        <v>45870</v>
      </c>
      <c r="F139" s="2" t="n">
        <v>17</v>
      </c>
      <c r="G139" s="4" t="n">
        <v>119.99</v>
      </c>
      <c r="H139" s="4" t="n">
        <v>81.44</v>
      </c>
      <c r="I139" s="4" t="n">
        <f aca="false">F139*G139</f>
        <v>2039.83</v>
      </c>
      <c r="J139" s="4" t="n">
        <f aca="false">F139*H139</f>
        <v>1384.48</v>
      </c>
      <c r="K139" s="4" t="n">
        <f aca="false">I139-J139</f>
        <v>655.35</v>
      </c>
      <c r="L139" s="5" t="n">
        <f aca="false">IFERROR(K139/I139,0)</f>
        <v>0.321276773064422</v>
      </c>
    </row>
    <row r="140" customFormat="false" ht="15" hidden="false" customHeight="false" outlineLevel="0" collapsed="false">
      <c r="A140" s="2" t="s">
        <v>50</v>
      </c>
      <c r="B140" s="2" t="s">
        <v>51</v>
      </c>
      <c r="C140" s="2" t="s">
        <v>26</v>
      </c>
      <c r="D140" s="2" t="s">
        <v>30</v>
      </c>
      <c r="E140" s="3" t="n">
        <v>45870</v>
      </c>
      <c r="F140" s="2" t="n">
        <v>14</v>
      </c>
      <c r="G140" s="4" t="n">
        <v>24.99</v>
      </c>
      <c r="H140" s="4" t="n">
        <v>14.75</v>
      </c>
      <c r="I140" s="4" t="n">
        <f aca="false">F140*G140</f>
        <v>349.86</v>
      </c>
      <c r="J140" s="4" t="n">
        <f aca="false">F140*H140</f>
        <v>206.5</v>
      </c>
      <c r="K140" s="4" t="n">
        <f aca="false">I140-J140</f>
        <v>143.36</v>
      </c>
      <c r="L140" s="5" t="n">
        <f aca="false">IFERROR(K140/I140,0)</f>
        <v>0.409763905562225</v>
      </c>
    </row>
    <row r="141" customFormat="false" ht="15" hidden="false" customHeight="false" outlineLevel="0" collapsed="false">
      <c r="A141" s="2" t="s">
        <v>50</v>
      </c>
      <c r="B141" s="2" t="s">
        <v>51</v>
      </c>
      <c r="C141" s="2" t="s">
        <v>26</v>
      </c>
      <c r="D141" s="2" t="s">
        <v>31</v>
      </c>
      <c r="E141" s="3" t="n">
        <v>45870</v>
      </c>
      <c r="F141" s="2" t="n">
        <v>17</v>
      </c>
      <c r="G141" s="4" t="n">
        <v>59.99</v>
      </c>
      <c r="H141" s="4" t="n">
        <v>38.78</v>
      </c>
      <c r="I141" s="4" t="n">
        <f aca="false">F141*G141</f>
        <v>1019.83</v>
      </c>
      <c r="J141" s="4" t="n">
        <f aca="false">F141*H141</f>
        <v>659.26</v>
      </c>
      <c r="K141" s="4" t="n">
        <f aca="false">I141-J141</f>
        <v>360.57</v>
      </c>
      <c r="L141" s="5" t="n">
        <f aca="false">IFERROR(K141/I141,0)</f>
        <v>0.353558926487748</v>
      </c>
    </row>
    <row r="142" customFormat="false" ht="15" hidden="false" customHeight="false" outlineLevel="0" collapsed="false">
      <c r="A142" s="2" t="s">
        <v>50</v>
      </c>
      <c r="B142" s="2" t="s">
        <v>51</v>
      </c>
      <c r="C142" s="2" t="s">
        <v>32</v>
      </c>
      <c r="D142" s="2" t="s">
        <v>33</v>
      </c>
      <c r="E142" s="3" t="n">
        <v>45870</v>
      </c>
      <c r="F142" s="2" t="n">
        <v>15</v>
      </c>
      <c r="G142" s="4" t="n">
        <v>49.99</v>
      </c>
      <c r="H142" s="4" t="n">
        <v>36.96</v>
      </c>
      <c r="I142" s="4" t="n">
        <f aca="false">F142*G142</f>
        <v>749.85</v>
      </c>
      <c r="J142" s="4" t="n">
        <f aca="false">F142*H142</f>
        <v>554.4</v>
      </c>
      <c r="K142" s="4" t="n">
        <f aca="false">I142-J142</f>
        <v>195.45</v>
      </c>
      <c r="L142" s="5" t="n">
        <f aca="false">IFERROR(K142/I142,0)</f>
        <v>0.260652130426085</v>
      </c>
    </row>
    <row r="143" customFormat="false" ht="15" hidden="false" customHeight="false" outlineLevel="0" collapsed="false">
      <c r="A143" s="2" t="s">
        <v>50</v>
      </c>
      <c r="B143" s="2" t="s">
        <v>51</v>
      </c>
      <c r="C143" s="2" t="s">
        <v>32</v>
      </c>
      <c r="D143" s="2" t="s">
        <v>34</v>
      </c>
      <c r="E143" s="3" t="n">
        <v>45870</v>
      </c>
      <c r="F143" s="2" t="n">
        <v>12</v>
      </c>
      <c r="G143" s="4" t="n">
        <v>27.99</v>
      </c>
      <c r="H143" s="4" t="n">
        <v>19.8</v>
      </c>
      <c r="I143" s="4" t="n">
        <f aca="false">F143*G143</f>
        <v>335.88</v>
      </c>
      <c r="J143" s="4" t="n">
        <f aca="false">F143*H143</f>
        <v>237.6</v>
      </c>
      <c r="K143" s="4" t="n">
        <f aca="false">I143-J143</f>
        <v>98.28</v>
      </c>
      <c r="L143" s="5" t="n">
        <f aca="false">IFERROR(K143/I143,0)</f>
        <v>0.292604501607717</v>
      </c>
    </row>
    <row r="144" customFormat="false" ht="15" hidden="false" customHeight="false" outlineLevel="0" collapsed="false">
      <c r="A144" s="2" t="s">
        <v>50</v>
      </c>
      <c r="B144" s="2" t="s">
        <v>51</v>
      </c>
      <c r="C144" s="2" t="s">
        <v>32</v>
      </c>
      <c r="D144" s="2" t="s">
        <v>35</v>
      </c>
      <c r="E144" s="3" t="n">
        <v>45870</v>
      </c>
      <c r="F144" s="2" t="n">
        <v>16</v>
      </c>
      <c r="G144" s="4" t="n">
        <v>64.99</v>
      </c>
      <c r="H144" s="4" t="n">
        <v>45.64</v>
      </c>
      <c r="I144" s="4" t="n">
        <f aca="false">F144*G144</f>
        <v>1039.84</v>
      </c>
      <c r="J144" s="4" t="n">
        <f aca="false">F144*H144</f>
        <v>730.24</v>
      </c>
      <c r="K144" s="4" t="n">
        <f aca="false">I144-J144</f>
        <v>309.6</v>
      </c>
      <c r="L144" s="5" t="n">
        <f aca="false">IFERROR(K144/I144,0)</f>
        <v>0.297738113555932</v>
      </c>
    </row>
    <row r="145" customFormat="false" ht="15" hidden="false" customHeight="false" outlineLevel="0" collapsed="false">
      <c r="A145" s="2" t="s">
        <v>50</v>
      </c>
      <c r="B145" s="2" t="s">
        <v>51</v>
      </c>
      <c r="C145" s="2" t="s">
        <v>32</v>
      </c>
      <c r="D145" s="2" t="s">
        <v>36</v>
      </c>
      <c r="E145" s="3" t="n">
        <v>45870</v>
      </c>
      <c r="F145" s="2" t="n">
        <v>11</v>
      </c>
      <c r="G145" s="4" t="n">
        <v>22.99</v>
      </c>
      <c r="H145" s="4" t="n">
        <v>16.65</v>
      </c>
      <c r="I145" s="4" t="n">
        <f aca="false">F145*G145</f>
        <v>252.89</v>
      </c>
      <c r="J145" s="4" t="n">
        <f aca="false">F145*H145</f>
        <v>183.15</v>
      </c>
      <c r="K145" s="4" t="n">
        <f aca="false">I145-J145</f>
        <v>69.74</v>
      </c>
      <c r="L145" s="5" t="n">
        <f aca="false">IFERROR(K145/I145,0)</f>
        <v>0.275772074815137</v>
      </c>
    </row>
    <row r="146" customFormat="false" ht="15" hidden="false" customHeight="false" outlineLevel="0" collapsed="false">
      <c r="A146" s="2" t="s">
        <v>50</v>
      </c>
      <c r="B146" s="2" t="s">
        <v>51</v>
      </c>
      <c r="C146" s="2" t="s">
        <v>32</v>
      </c>
      <c r="D146" s="2" t="s">
        <v>37</v>
      </c>
      <c r="E146" s="3" t="n">
        <v>45870</v>
      </c>
      <c r="F146" s="2" t="n">
        <v>11</v>
      </c>
      <c r="G146" s="4" t="n">
        <v>29.99</v>
      </c>
      <c r="H146" s="4" t="n">
        <v>20.02</v>
      </c>
      <c r="I146" s="4" t="n">
        <f aca="false">F146*G146</f>
        <v>329.89</v>
      </c>
      <c r="J146" s="4" t="n">
        <f aca="false">F146*H146</f>
        <v>220.22</v>
      </c>
      <c r="K146" s="4" t="n">
        <f aca="false">I146-J146</f>
        <v>109.67</v>
      </c>
      <c r="L146" s="5" t="n">
        <f aca="false">IFERROR(K146/I146,0)</f>
        <v>0.33244414804935</v>
      </c>
    </row>
    <row r="147" customFormat="false" ht="15" hidden="false" customHeight="false" outlineLevel="0" collapsed="false">
      <c r="A147" s="2" t="s">
        <v>50</v>
      </c>
      <c r="B147" s="2" t="s">
        <v>51</v>
      </c>
      <c r="C147" s="2" t="s">
        <v>38</v>
      </c>
      <c r="D147" s="2" t="s">
        <v>39</v>
      </c>
      <c r="E147" s="3" t="n">
        <v>45870</v>
      </c>
      <c r="F147" s="2" t="n">
        <v>2</v>
      </c>
      <c r="G147" s="4" t="n">
        <v>129.99</v>
      </c>
      <c r="H147" s="4" t="n">
        <v>73.42</v>
      </c>
      <c r="I147" s="4" t="n">
        <f aca="false">F147*G147</f>
        <v>259.98</v>
      </c>
      <c r="J147" s="4" t="n">
        <f aca="false">F147*H147</f>
        <v>146.84</v>
      </c>
      <c r="K147" s="4" t="n">
        <f aca="false">I147-J147</f>
        <v>113.14</v>
      </c>
      <c r="L147" s="5" t="n">
        <f aca="false">IFERROR(K147/I147,0)</f>
        <v>0.4351873221017</v>
      </c>
    </row>
    <row r="148" customFormat="false" ht="15" hidden="false" customHeight="false" outlineLevel="0" collapsed="false">
      <c r="A148" s="2" t="s">
        <v>50</v>
      </c>
      <c r="B148" s="2" t="s">
        <v>51</v>
      </c>
      <c r="C148" s="2" t="s">
        <v>38</v>
      </c>
      <c r="D148" s="2" t="s">
        <v>40</v>
      </c>
      <c r="E148" s="3" t="n">
        <v>45870</v>
      </c>
      <c r="F148" s="2" t="n">
        <v>5</v>
      </c>
      <c r="G148" s="4" t="n">
        <v>74.99</v>
      </c>
      <c r="H148" s="4" t="n">
        <v>41.78</v>
      </c>
      <c r="I148" s="4" t="n">
        <f aca="false">F148*G148</f>
        <v>374.95</v>
      </c>
      <c r="J148" s="4" t="n">
        <f aca="false">F148*H148</f>
        <v>208.9</v>
      </c>
      <c r="K148" s="4" t="n">
        <f aca="false">I148-J148</f>
        <v>166.05</v>
      </c>
      <c r="L148" s="5" t="n">
        <f aca="false">IFERROR(K148/I148,0)</f>
        <v>0.44285904787305</v>
      </c>
    </row>
    <row r="149" customFormat="false" ht="15" hidden="false" customHeight="false" outlineLevel="0" collapsed="false">
      <c r="A149" s="2" t="s">
        <v>50</v>
      </c>
      <c r="B149" s="2" t="s">
        <v>51</v>
      </c>
      <c r="C149" s="2" t="s">
        <v>38</v>
      </c>
      <c r="D149" s="2" t="s">
        <v>41</v>
      </c>
      <c r="E149" s="3" t="n">
        <v>45870</v>
      </c>
      <c r="F149" s="2" t="n">
        <v>4</v>
      </c>
      <c r="G149" s="4" t="n">
        <v>19.99</v>
      </c>
      <c r="H149" s="4" t="n">
        <v>9.49</v>
      </c>
      <c r="I149" s="4" t="n">
        <f aca="false">F149*G149</f>
        <v>79.96</v>
      </c>
      <c r="J149" s="4" t="n">
        <f aca="false">F149*H149</f>
        <v>37.96</v>
      </c>
      <c r="K149" s="4" t="n">
        <f aca="false">I149-J149</f>
        <v>42</v>
      </c>
      <c r="L149" s="5" t="n">
        <f aca="false">IFERROR(K149/I149,0)</f>
        <v>0.525262631315658</v>
      </c>
    </row>
    <row r="150" customFormat="false" ht="15" hidden="false" customHeight="false" outlineLevel="0" collapsed="false">
      <c r="A150" s="2" t="s">
        <v>50</v>
      </c>
      <c r="B150" s="2" t="s">
        <v>51</v>
      </c>
      <c r="C150" s="2" t="s">
        <v>38</v>
      </c>
      <c r="D150" s="2" t="s">
        <v>42</v>
      </c>
      <c r="E150" s="3" t="n">
        <v>45870</v>
      </c>
      <c r="F150" s="2" t="n">
        <v>8</v>
      </c>
      <c r="G150" s="4" t="n">
        <v>16.99</v>
      </c>
      <c r="H150" s="4" t="n">
        <v>8.47</v>
      </c>
      <c r="I150" s="4" t="n">
        <f aca="false">F150*G150</f>
        <v>135.92</v>
      </c>
      <c r="J150" s="4" t="n">
        <f aca="false">F150*H150</f>
        <v>67.76</v>
      </c>
      <c r="K150" s="4" t="n">
        <f aca="false">I150-J150</f>
        <v>68.16</v>
      </c>
      <c r="L150" s="5" t="n">
        <f aca="false">IFERROR(K150/I150,0)</f>
        <v>0.501471453796351</v>
      </c>
    </row>
    <row r="151" customFormat="false" ht="15" hidden="false" customHeight="false" outlineLevel="0" collapsed="false">
      <c r="A151" s="2" t="s">
        <v>50</v>
      </c>
      <c r="B151" s="2" t="s">
        <v>51</v>
      </c>
      <c r="C151" s="2" t="s">
        <v>38</v>
      </c>
      <c r="D151" s="2" t="s">
        <v>43</v>
      </c>
      <c r="E151" s="3" t="n">
        <v>45870</v>
      </c>
      <c r="F151" s="2" t="n">
        <v>4</v>
      </c>
      <c r="G151" s="4" t="n">
        <v>24.99</v>
      </c>
      <c r="H151" s="4" t="n">
        <v>12.77</v>
      </c>
      <c r="I151" s="4" t="n">
        <f aca="false">F151*G151</f>
        <v>99.96</v>
      </c>
      <c r="J151" s="4" t="n">
        <f aca="false">F151*H151</f>
        <v>51.08</v>
      </c>
      <c r="K151" s="4" t="n">
        <f aca="false">I151-J151</f>
        <v>48.88</v>
      </c>
      <c r="L151" s="5" t="n">
        <f aca="false">IFERROR(K151/I151,0)</f>
        <v>0.488995598239296</v>
      </c>
    </row>
    <row r="152" customFormat="false" ht="15" hidden="false" customHeight="false" outlineLevel="0" collapsed="false">
      <c r="A152" s="2" t="s">
        <v>52</v>
      </c>
      <c r="B152" s="2" t="s">
        <v>53</v>
      </c>
      <c r="C152" s="2" t="s">
        <v>14</v>
      </c>
      <c r="D152" s="2" t="s">
        <v>15</v>
      </c>
      <c r="E152" s="3" t="n">
        <v>45870</v>
      </c>
      <c r="F152" s="2" t="n">
        <v>11</v>
      </c>
      <c r="G152" s="4" t="n">
        <v>69.99</v>
      </c>
      <c r="H152" s="4" t="n">
        <v>33.58</v>
      </c>
      <c r="I152" s="4" t="n">
        <f aca="false">F152*G152</f>
        <v>769.89</v>
      </c>
      <c r="J152" s="4" t="n">
        <f aca="false">F152*H152</f>
        <v>369.38</v>
      </c>
      <c r="K152" s="4" t="n">
        <f aca="false">I152-J152</f>
        <v>400.51</v>
      </c>
      <c r="L152" s="5" t="n">
        <f aca="false">IFERROR(K152/I152,0)</f>
        <v>0.520217173881983</v>
      </c>
    </row>
    <row r="153" customFormat="false" ht="15" hidden="false" customHeight="false" outlineLevel="0" collapsed="false">
      <c r="A153" s="2" t="s">
        <v>52</v>
      </c>
      <c r="B153" s="2" t="s">
        <v>53</v>
      </c>
      <c r="C153" s="2" t="s">
        <v>14</v>
      </c>
      <c r="D153" s="2" t="s">
        <v>16</v>
      </c>
      <c r="E153" s="3" t="n">
        <v>45870</v>
      </c>
      <c r="F153" s="2" t="n">
        <v>11</v>
      </c>
      <c r="G153" s="4" t="n">
        <v>19.99</v>
      </c>
      <c r="H153" s="4" t="n">
        <v>8.94</v>
      </c>
      <c r="I153" s="4" t="n">
        <f aca="false">F153*G153</f>
        <v>219.89</v>
      </c>
      <c r="J153" s="4" t="n">
        <f aca="false">F153*H153</f>
        <v>98.34</v>
      </c>
      <c r="K153" s="4" t="n">
        <f aca="false">I153-J153</f>
        <v>121.55</v>
      </c>
      <c r="L153" s="5" t="n">
        <f aca="false">IFERROR(K153/I153,0)</f>
        <v>0.552776388194097</v>
      </c>
    </row>
    <row r="154" customFormat="false" ht="15" hidden="false" customHeight="false" outlineLevel="0" collapsed="false">
      <c r="A154" s="2" t="s">
        <v>52</v>
      </c>
      <c r="B154" s="2" t="s">
        <v>53</v>
      </c>
      <c r="C154" s="2" t="s">
        <v>14</v>
      </c>
      <c r="D154" s="2" t="s">
        <v>17</v>
      </c>
      <c r="E154" s="3" t="n">
        <v>45870</v>
      </c>
      <c r="F154" s="2" t="n">
        <v>17</v>
      </c>
      <c r="G154" s="4" t="n">
        <v>79.99</v>
      </c>
      <c r="H154" s="4" t="n">
        <v>38.81</v>
      </c>
      <c r="I154" s="4" t="n">
        <f aca="false">F154*G154</f>
        <v>1359.83</v>
      </c>
      <c r="J154" s="4" t="n">
        <f aca="false">F154*H154</f>
        <v>659.77</v>
      </c>
      <c r="K154" s="4" t="n">
        <f aca="false">I154-J154</f>
        <v>700.06</v>
      </c>
      <c r="L154" s="5" t="n">
        <f aca="false">IFERROR(K154/I154,0)</f>
        <v>0.514814351793974</v>
      </c>
    </row>
    <row r="155" customFormat="false" ht="15" hidden="false" customHeight="false" outlineLevel="0" collapsed="false">
      <c r="A155" s="2" t="s">
        <v>52</v>
      </c>
      <c r="B155" s="2" t="s">
        <v>53</v>
      </c>
      <c r="C155" s="2" t="s">
        <v>14</v>
      </c>
      <c r="D155" s="2" t="s">
        <v>18</v>
      </c>
      <c r="E155" s="3" t="n">
        <v>45870</v>
      </c>
      <c r="F155" s="2" t="n">
        <v>23</v>
      </c>
      <c r="G155" s="4" t="n">
        <v>34.99</v>
      </c>
      <c r="H155" s="4" t="n">
        <v>14.31</v>
      </c>
      <c r="I155" s="4" t="n">
        <f aca="false">F155*G155</f>
        <v>804.77</v>
      </c>
      <c r="J155" s="4" t="n">
        <f aca="false">F155*H155</f>
        <v>329.13</v>
      </c>
      <c r="K155" s="4" t="n">
        <f aca="false">I155-J155</f>
        <v>475.64</v>
      </c>
      <c r="L155" s="5" t="n">
        <f aca="false">IFERROR(K155/I155,0)</f>
        <v>0.591026007430695</v>
      </c>
    </row>
    <row r="156" customFormat="false" ht="15" hidden="false" customHeight="false" outlineLevel="0" collapsed="false">
      <c r="A156" s="2" t="s">
        <v>52</v>
      </c>
      <c r="B156" s="2" t="s">
        <v>53</v>
      </c>
      <c r="C156" s="2" t="s">
        <v>14</v>
      </c>
      <c r="D156" s="2" t="s">
        <v>19</v>
      </c>
      <c r="E156" s="3" t="n">
        <v>45870</v>
      </c>
      <c r="F156" s="2" t="n">
        <v>10</v>
      </c>
      <c r="G156" s="4" t="n">
        <v>54.99</v>
      </c>
      <c r="H156" s="4" t="n">
        <v>24.06</v>
      </c>
      <c r="I156" s="4" t="n">
        <f aca="false">F156*G156</f>
        <v>549.9</v>
      </c>
      <c r="J156" s="4" t="n">
        <f aca="false">F156*H156</f>
        <v>240.6</v>
      </c>
      <c r="K156" s="4" t="n">
        <f aca="false">I156-J156</f>
        <v>309.3</v>
      </c>
      <c r="L156" s="5" t="n">
        <f aca="false">IFERROR(K156/I156,0)</f>
        <v>0.562465902891435</v>
      </c>
    </row>
    <row r="157" customFormat="false" ht="15" hidden="false" customHeight="false" outlineLevel="0" collapsed="false">
      <c r="A157" s="2" t="s">
        <v>52</v>
      </c>
      <c r="B157" s="2" t="s">
        <v>53</v>
      </c>
      <c r="C157" s="2" t="s">
        <v>20</v>
      </c>
      <c r="D157" s="2" t="s">
        <v>21</v>
      </c>
      <c r="E157" s="3" t="n">
        <v>45870</v>
      </c>
      <c r="F157" s="2" t="n">
        <v>14</v>
      </c>
      <c r="G157" s="4" t="n">
        <v>44.99</v>
      </c>
      <c r="H157" s="4" t="n">
        <v>20.78</v>
      </c>
      <c r="I157" s="4" t="n">
        <f aca="false">F157*G157</f>
        <v>629.86</v>
      </c>
      <c r="J157" s="4" t="n">
        <f aca="false">F157*H157</f>
        <v>290.92</v>
      </c>
      <c r="K157" s="4" t="n">
        <f aca="false">I157-J157</f>
        <v>338.94</v>
      </c>
      <c r="L157" s="5" t="n">
        <f aca="false">IFERROR(K157/I157,0)</f>
        <v>0.538119582129362</v>
      </c>
    </row>
    <row r="158" customFormat="false" ht="15" hidden="false" customHeight="false" outlineLevel="0" collapsed="false">
      <c r="A158" s="2" t="s">
        <v>52</v>
      </c>
      <c r="B158" s="2" t="s">
        <v>53</v>
      </c>
      <c r="C158" s="2" t="s">
        <v>20</v>
      </c>
      <c r="D158" s="2" t="s">
        <v>22</v>
      </c>
      <c r="E158" s="3" t="n">
        <v>45870</v>
      </c>
      <c r="F158" s="2" t="n">
        <v>17</v>
      </c>
      <c r="G158" s="4" t="n">
        <v>14.99</v>
      </c>
      <c r="H158" s="4" t="n">
        <v>5.81</v>
      </c>
      <c r="I158" s="4" t="n">
        <f aca="false">F158*G158</f>
        <v>254.83</v>
      </c>
      <c r="J158" s="4" t="n">
        <f aca="false">F158*H158</f>
        <v>98.77</v>
      </c>
      <c r="K158" s="4" t="n">
        <f aca="false">I158-J158</f>
        <v>156.06</v>
      </c>
      <c r="L158" s="5" t="n">
        <f aca="false">IFERROR(K158/I158,0)</f>
        <v>0.612408272181454</v>
      </c>
    </row>
    <row r="159" customFormat="false" ht="15" hidden="false" customHeight="false" outlineLevel="0" collapsed="false">
      <c r="A159" s="2" t="s">
        <v>52</v>
      </c>
      <c r="B159" s="2" t="s">
        <v>53</v>
      </c>
      <c r="C159" s="2" t="s">
        <v>20</v>
      </c>
      <c r="D159" s="2" t="s">
        <v>23</v>
      </c>
      <c r="E159" s="3" t="n">
        <v>45870</v>
      </c>
      <c r="F159" s="2" t="n">
        <v>20</v>
      </c>
      <c r="G159" s="4" t="n">
        <v>39.99</v>
      </c>
      <c r="H159" s="4" t="n">
        <v>17.2</v>
      </c>
      <c r="I159" s="4" t="n">
        <f aca="false">F159*G159</f>
        <v>799.8</v>
      </c>
      <c r="J159" s="4" t="n">
        <f aca="false">F159*H159</f>
        <v>344</v>
      </c>
      <c r="K159" s="4" t="n">
        <f aca="false">I159-J159</f>
        <v>455.8</v>
      </c>
      <c r="L159" s="5" t="n">
        <f aca="false">IFERROR(K159/I159,0)</f>
        <v>0.56989247311828</v>
      </c>
    </row>
    <row r="160" customFormat="false" ht="15" hidden="false" customHeight="false" outlineLevel="0" collapsed="false">
      <c r="A160" s="2" t="s">
        <v>52</v>
      </c>
      <c r="B160" s="2" t="s">
        <v>53</v>
      </c>
      <c r="C160" s="2" t="s">
        <v>20</v>
      </c>
      <c r="D160" s="2" t="s">
        <v>24</v>
      </c>
      <c r="E160" s="3" t="n">
        <v>45870</v>
      </c>
      <c r="F160" s="2" t="n">
        <v>15</v>
      </c>
      <c r="G160" s="4" t="n">
        <v>18.99</v>
      </c>
      <c r="H160" s="4" t="n">
        <v>7.49</v>
      </c>
      <c r="I160" s="4" t="n">
        <f aca="false">F160*G160</f>
        <v>284.85</v>
      </c>
      <c r="J160" s="4" t="n">
        <f aca="false">F160*H160</f>
        <v>112.35</v>
      </c>
      <c r="K160" s="4" t="n">
        <f aca="false">I160-J160</f>
        <v>172.5</v>
      </c>
      <c r="L160" s="5" t="n">
        <f aca="false">IFERROR(K160/I160,0)</f>
        <v>0.605581885202738</v>
      </c>
    </row>
    <row r="161" customFormat="false" ht="15" hidden="false" customHeight="false" outlineLevel="0" collapsed="false">
      <c r="A161" s="2" t="s">
        <v>52</v>
      </c>
      <c r="B161" s="2" t="s">
        <v>53</v>
      </c>
      <c r="C161" s="2" t="s">
        <v>20</v>
      </c>
      <c r="D161" s="2" t="s">
        <v>25</v>
      </c>
      <c r="E161" s="3" t="n">
        <v>45870</v>
      </c>
      <c r="F161" s="2" t="n">
        <v>20</v>
      </c>
      <c r="G161" s="4" t="n">
        <v>42.99</v>
      </c>
      <c r="H161" s="4" t="n">
        <v>16.27</v>
      </c>
      <c r="I161" s="4" t="n">
        <f aca="false">F161*G161</f>
        <v>859.8</v>
      </c>
      <c r="J161" s="4" t="n">
        <f aca="false">F161*H161</f>
        <v>325.4</v>
      </c>
      <c r="K161" s="4" t="n">
        <f aca="false">I161-J161</f>
        <v>534.4</v>
      </c>
      <c r="L161" s="5" t="n">
        <f aca="false">IFERROR(K161/I161,0)</f>
        <v>0.621539892998372</v>
      </c>
    </row>
    <row r="162" customFormat="false" ht="15" hidden="false" customHeight="false" outlineLevel="0" collapsed="false">
      <c r="A162" s="2" t="s">
        <v>52</v>
      </c>
      <c r="B162" s="2" t="s">
        <v>53</v>
      </c>
      <c r="C162" s="2" t="s">
        <v>26</v>
      </c>
      <c r="D162" s="2" t="s">
        <v>27</v>
      </c>
      <c r="E162" s="3" t="n">
        <v>45870</v>
      </c>
      <c r="F162" s="2" t="n">
        <v>15</v>
      </c>
      <c r="G162" s="4" t="n">
        <v>44.99</v>
      </c>
      <c r="H162" s="4" t="n">
        <v>28.47</v>
      </c>
      <c r="I162" s="4" t="n">
        <f aca="false">F162*G162</f>
        <v>674.85</v>
      </c>
      <c r="J162" s="4" t="n">
        <f aca="false">F162*H162</f>
        <v>427.05</v>
      </c>
      <c r="K162" s="4" t="n">
        <f aca="false">I162-J162</f>
        <v>247.8</v>
      </c>
      <c r="L162" s="5" t="n">
        <f aca="false">IFERROR(K162/I162,0)</f>
        <v>0.367192709490998</v>
      </c>
    </row>
    <row r="163" customFormat="false" ht="15" hidden="false" customHeight="false" outlineLevel="0" collapsed="false">
      <c r="A163" s="2" t="s">
        <v>52</v>
      </c>
      <c r="B163" s="2" t="s">
        <v>53</v>
      </c>
      <c r="C163" s="2" t="s">
        <v>26</v>
      </c>
      <c r="D163" s="2" t="s">
        <v>28</v>
      </c>
      <c r="E163" s="3" t="n">
        <v>45870</v>
      </c>
      <c r="F163" s="2" t="n">
        <v>19</v>
      </c>
      <c r="G163" s="4" t="n">
        <v>34.99</v>
      </c>
      <c r="H163" s="4" t="n">
        <v>22.41</v>
      </c>
      <c r="I163" s="4" t="n">
        <f aca="false">F163*G163</f>
        <v>664.81</v>
      </c>
      <c r="J163" s="4" t="n">
        <f aca="false">F163*H163</f>
        <v>425.79</v>
      </c>
      <c r="K163" s="4" t="n">
        <f aca="false">I163-J163</f>
        <v>239.02</v>
      </c>
      <c r="L163" s="5" t="n">
        <f aca="false">IFERROR(K163/I163,0)</f>
        <v>0.359531294655616</v>
      </c>
    </row>
    <row r="164" customFormat="false" ht="15" hidden="false" customHeight="false" outlineLevel="0" collapsed="false">
      <c r="A164" s="2" t="s">
        <v>52</v>
      </c>
      <c r="B164" s="2" t="s">
        <v>53</v>
      </c>
      <c r="C164" s="2" t="s">
        <v>26</v>
      </c>
      <c r="D164" s="2" t="s">
        <v>29</v>
      </c>
      <c r="E164" s="3" t="n">
        <v>45870</v>
      </c>
      <c r="F164" s="2" t="n">
        <v>11</v>
      </c>
      <c r="G164" s="4" t="n">
        <v>119.99</v>
      </c>
      <c r="H164" s="4" t="n">
        <v>83.98</v>
      </c>
      <c r="I164" s="4" t="n">
        <f aca="false">F164*G164</f>
        <v>1319.89</v>
      </c>
      <c r="J164" s="4" t="n">
        <f aca="false">F164*H164</f>
        <v>923.78</v>
      </c>
      <c r="K164" s="4" t="n">
        <f aca="false">I164-J164</f>
        <v>396.11</v>
      </c>
      <c r="L164" s="5" t="n">
        <f aca="false">IFERROR(K164/I164,0)</f>
        <v>0.300108342361863</v>
      </c>
    </row>
    <row r="165" customFormat="false" ht="15" hidden="false" customHeight="false" outlineLevel="0" collapsed="false">
      <c r="A165" s="2" t="s">
        <v>52</v>
      </c>
      <c r="B165" s="2" t="s">
        <v>53</v>
      </c>
      <c r="C165" s="2" t="s">
        <v>26</v>
      </c>
      <c r="D165" s="2" t="s">
        <v>30</v>
      </c>
      <c r="E165" s="3" t="n">
        <v>45870</v>
      </c>
      <c r="F165" s="2" t="n">
        <v>15</v>
      </c>
      <c r="G165" s="4" t="n">
        <v>24.99</v>
      </c>
      <c r="H165" s="4" t="n">
        <v>14.89</v>
      </c>
      <c r="I165" s="4" t="n">
        <f aca="false">F165*G165</f>
        <v>374.85</v>
      </c>
      <c r="J165" s="4" t="n">
        <f aca="false">F165*H165</f>
        <v>223.35</v>
      </c>
      <c r="K165" s="4" t="n">
        <f aca="false">I165-J165</f>
        <v>151.5</v>
      </c>
      <c r="L165" s="5" t="n">
        <f aca="false">IFERROR(K165/I165,0)</f>
        <v>0.404161664665866</v>
      </c>
    </row>
    <row r="166" customFormat="false" ht="15" hidden="false" customHeight="false" outlineLevel="0" collapsed="false">
      <c r="A166" s="2" t="s">
        <v>52</v>
      </c>
      <c r="B166" s="2" t="s">
        <v>53</v>
      </c>
      <c r="C166" s="2" t="s">
        <v>26</v>
      </c>
      <c r="D166" s="2" t="s">
        <v>31</v>
      </c>
      <c r="E166" s="3" t="n">
        <v>45870</v>
      </c>
      <c r="F166" s="2" t="n">
        <v>14</v>
      </c>
      <c r="G166" s="4" t="n">
        <v>59.99</v>
      </c>
      <c r="H166" s="4" t="n">
        <v>38.57</v>
      </c>
      <c r="I166" s="4" t="n">
        <f aca="false">F166*G166</f>
        <v>839.86</v>
      </c>
      <c r="J166" s="4" t="n">
        <f aca="false">F166*H166</f>
        <v>539.98</v>
      </c>
      <c r="K166" s="4" t="n">
        <f aca="false">I166-J166</f>
        <v>299.88</v>
      </c>
      <c r="L166" s="5" t="n">
        <f aca="false">IFERROR(K166/I166,0)</f>
        <v>0.35705950991832</v>
      </c>
    </row>
    <row r="167" customFormat="false" ht="15" hidden="false" customHeight="false" outlineLevel="0" collapsed="false">
      <c r="A167" s="2" t="s">
        <v>52</v>
      </c>
      <c r="B167" s="2" t="s">
        <v>53</v>
      </c>
      <c r="C167" s="2" t="s">
        <v>32</v>
      </c>
      <c r="D167" s="2" t="s">
        <v>33</v>
      </c>
      <c r="E167" s="3" t="n">
        <v>45870</v>
      </c>
      <c r="F167" s="2" t="n">
        <v>18</v>
      </c>
      <c r="G167" s="4" t="n">
        <v>49.99</v>
      </c>
      <c r="H167" s="4" t="n">
        <v>35</v>
      </c>
      <c r="I167" s="4" t="n">
        <f aca="false">F167*G167</f>
        <v>899.82</v>
      </c>
      <c r="J167" s="4" t="n">
        <f aca="false">F167*H167</f>
        <v>630</v>
      </c>
      <c r="K167" s="4" t="n">
        <f aca="false">I167-J167</f>
        <v>269.82</v>
      </c>
      <c r="L167" s="5" t="n">
        <f aca="false">IFERROR(K167/I167,0)</f>
        <v>0.299859971994399</v>
      </c>
    </row>
    <row r="168" customFormat="false" ht="15" hidden="false" customHeight="false" outlineLevel="0" collapsed="false">
      <c r="A168" s="2" t="s">
        <v>52</v>
      </c>
      <c r="B168" s="2" t="s">
        <v>53</v>
      </c>
      <c r="C168" s="2" t="s">
        <v>32</v>
      </c>
      <c r="D168" s="2" t="s">
        <v>34</v>
      </c>
      <c r="E168" s="3" t="n">
        <v>45870</v>
      </c>
      <c r="F168" s="2" t="n">
        <v>17</v>
      </c>
      <c r="G168" s="4" t="n">
        <v>27.99</v>
      </c>
      <c r="H168" s="4" t="n">
        <v>19.42</v>
      </c>
      <c r="I168" s="4" t="n">
        <f aca="false">F168*G168</f>
        <v>475.83</v>
      </c>
      <c r="J168" s="4" t="n">
        <f aca="false">F168*H168</f>
        <v>330.14</v>
      </c>
      <c r="K168" s="4" t="n">
        <f aca="false">I168-J168</f>
        <v>145.69</v>
      </c>
      <c r="L168" s="5" t="n">
        <f aca="false">IFERROR(K168/I168,0)</f>
        <v>0.306180778849589</v>
      </c>
    </row>
    <row r="169" customFormat="false" ht="15" hidden="false" customHeight="false" outlineLevel="0" collapsed="false">
      <c r="A169" s="2" t="s">
        <v>52</v>
      </c>
      <c r="B169" s="2" t="s">
        <v>53</v>
      </c>
      <c r="C169" s="2" t="s">
        <v>32</v>
      </c>
      <c r="D169" s="2" t="s">
        <v>35</v>
      </c>
      <c r="E169" s="3" t="n">
        <v>45870</v>
      </c>
      <c r="F169" s="2" t="n">
        <v>16</v>
      </c>
      <c r="G169" s="4" t="n">
        <v>64.99</v>
      </c>
      <c r="H169" s="4" t="n">
        <v>45.98</v>
      </c>
      <c r="I169" s="4" t="n">
        <f aca="false">F169*G169</f>
        <v>1039.84</v>
      </c>
      <c r="J169" s="4" t="n">
        <f aca="false">F169*H169</f>
        <v>735.68</v>
      </c>
      <c r="K169" s="4" t="n">
        <f aca="false">I169-J169</f>
        <v>304.16</v>
      </c>
      <c r="L169" s="5" t="n">
        <f aca="false">IFERROR(K169/I169,0)</f>
        <v>0.29250653946761</v>
      </c>
    </row>
    <row r="170" customFormat="false" ht="15" hidden="false" customHeight="false" outlineLevel="0" collapsed="false">
      <c r="A170" s="2" t="s">
        <v>52</v>
      </c>
      <c r="B170" s="2" t="s">
        <v>53</v>
      </c>
      <c r="C170" s="2" t="s">
        <v>32</v>
      </c>
      <c r="D170" s="2" t="s">
        <v>36</v>
      </c>
      <c r="E170" s="3" t="n">
        <v>45870</v>
      </c>
      <c r="F170" s="2" t="n">
        <v>21</v>
      </c>
      <c r="G170" s="4" t="n">
        <v>22.99</v>
      </c>
      <c r="H170" s="4" t="n">
        <v>16.57</v>
      </c>
      <c r="I170" s="4" t="n">
        <f aca="false">F170*G170</f>
        <v>482.79</v>
      </c>
      <c r="J170" s="4" t="n">
        <f aca="false">F170*H170</f>
        <v>347.97</v>
      </c>
      <c r="K170" s="4" t="n">
        <f aca="false">I170-J170</f>
        <v>134.82</v>
      </c>
      <c r="L170" s="5" t="n">
        <f aca="false">IFERROR(K170/I170,0)</f>
        <v>0.279251848629839</v>
      </c>
    </row>
    <row r="171" customFormat="false" ht="15" hidden="false" customHeight="false" outlineLevel="0" collapsed="false">
      <c r="A171" s="2" t="s">
        <v>52</v>
      </c>
      <c r="B171" s="2" t="s">
        <v>53</v>
      </c>
      <c r="C171" s="2" t="s">
        <v>32</v>
      </c>
      <c r="D171" s="2" t="s">
        <v>37</v>
      </c>
      <c r="E171" s="3" t="n">
        <v>45870</v>
      </c>
      <c r="F171" s="2" t="n">
        <v>15</v>
      </c>
      <c r="G171" s="4" t="n">
        <v>29.99</v>
      </c>
      <c r="H171" s="4" t="n">
        <v>19.94</v>
      </c>
      <c r="I171" s="4" t="n">
        <f aca="false">F171*G171</f>
        <v>449.85</v>
      </c>
      <c r="J171" s="4" t="n">
        <f aca="false">F171*H171</f>
        <v>299.1</v>
      </c>
      <c r="K171" s="4" t="n">
        <f aca="false">I171-J171</f>
        <v>150.75</v>
      </c>
      <c r="L171" s="5" t="n">
        <f aca="false">IFERROR(K171/I171,0)</f>
        <v>0.3351117039013</v>
      </c>
    </row>
    <row r="172" customFormat="false" ht="15" hidden="false" customHeight="false" outlineLevel="0" collapsed="false">
      <c r="A172" s="2" t="s">
        <v>52</v>
      </c>
      <c r="B172" s="2" t="s">
        <v>53</v>
      </c>
      <c r="C172" s="2" t="s">
        <v>38</v>
      </c>
      <c r="D172" s="2" t="s">
        <v>39</v>
      </c>
      <c r="E172" s="3" t="n">
        <v>45870</v>
      </c>
      <c r="F172" s="2" t="n">
        <v>12</v>
      </c>
      <c r="G172" s="4" t="n">
        <v>129.99</v>
      </c>
      <c r="H172" s="4" t="n">
        <v>73.78</v>
      </c>
      <c r="I172" s="4" t="n">
        <f aca="false">F172*G172</f>
        <v>1559.88</v>
      </c>
      <c r="J172" s="4" t="n">
        <f aca="false">F172*H172</f>
        <v>885.36</v>
      </c>
      <c r="K172" s="4" t="n">
        <f aca="false">I172-J172</f>
        <v>674.52</v>
      </c>
      <c r="L172" s="5" t="n">
        <f aca="false">IFERROR(K172/I172,0)</f>
        <v>0.432417878298331</v>
      </c>
    </row>
    <row r="173" customFormat="false" ht="15" hidden="false" customHeight="false" outlineLevel="0" collapsed="false">
      <c r="A173" s="2" t="s">
        <v>52</v>
      </c>
      <c r="B173" s="2" t="s">
        <v>53</v>
      </c>
      <c r="C173" s="2" t="s">
        <v>38</v>
      </c>
      <c r="D173" s="2" t="s">
        <v>40</v>
      </c>
      <c r="E173" s="3" t="n">
        <v>45870</v>
      </c>
      <c r="F173" s="2" t="n">
        <v>20</v>
      </c>
      <c r="G173" s="4" t="n">
        <v>74.99</v>
      </c>
      <c r="H173" s="4" t="n">
        <v>40.24</v>
      </c>
      <c r="I173" s="4" t="n">
        <f aca="false">F173*G173</f>
        <v>1499.8</v>
      </c>
      <c r="J173" s="4" t="n">
        <f aca="false">F173*H173</f>
        <v>804.8</v>
      </c>
      <c r="K173" s="4" t="n">
        <f aca="false">I173-J173</f>
        <v>695</v>
      </c>
      <c r="L173" s="5" t="n">
        <f aca="false">IFERROR(K173/I173,0)</f>
        <v>0.463395119349247</v>
      </c>
    </row>
    <row r="174" customFormat="false" ht="15" hidden="false" customHeight="false" outlineLevel="0" collapsed="false">
      <c r="A174" s="2" t="s">
        <v>52</v>
      </c>
      <c r="B174" s="2" t="s">
        <v>53</v>
      </c>
      <c r="C174" s="2" t="s">
        <v>38</v>
      </c>
      <c r="D174" s="2" t="s">
        <v>41</v>
      </c>
      <c r="E174" s="3" t="n">
        <v>45870</v>
      </c>
      <c r="F174" s="2" t="n">
        <v>15</v>
      </c>
      <c r="G174" s="4" t="n">
        <v>19.99</v>
      </c>
      <c r="H174" s="4" t="n">
        <v>9.56</v>
      </c>
      <c r="I174" s="4" t="n">
        <f aca="false">F174*G174</f>
        <v>299.85</v>
      </c>
      <c r="J174" s="4" t="n">
        <f aca="false">F174*H174</f>
        <v>143.4</v>
      </c>
      <c r="K174" s="4" t="n">
        <f aca="false">I174-J174</f>
        <v>156.45</v>
      </c>
      <c r="L174" s="5" t="n">
        <f aca="false">IFERROR(K174/I174,0)</f>
        <v>0.52176088044022</v>
      </c>
    </row>
    <row r="175" customFormat="false" ht="15" hidden="false" customHeight="false" outlineLevel="0" collapsed="false">
      <c r="A175" s="2" t="s">
        <v>52</v>
      </c>
      <c r="B175" s="2" t="s">
        <v>53</v>
      </c>
      <c r="C175" s="2" t="s">
        <v>38</v>
      </c>
      <c r="D175" s="2" t="s">
        <v>42</v>
      </c>
      <c r="E175" s="3" t="n">
        <v>45870</v>
      </c>
      <c r="F175" s="2" t="n">
        <v>11</v>
      </c>
      <c r="G175" s="4" t="n">
        <v>16.99</v>
      </c>
      <c r="H175" s="4" t="n">
        <v>8.58</v>
      </c>
      <c r="I175" s="4" t="n">
        <f aca="false">F175*G175</f>
        <v>186.89</v>
      </c>
      <c r="J175" s="4" t="n">
        <f aca="false">F175*H175</f>
        <v>94.38</v>
      </c>
      <c r="K175" s="4" t="n">
        <f aca="false">I175-J175</f>
        <v>92.51</v>
      </c>
      <c r="L175" s="5" t="n">
        <f aca="false">IFERROR(K175/I175,0)</f>
        <v>0.494997057092407</v>
      </c>
    </row>
    <row r="176" customFormat="false" ht="15" hidden="false" customHeight="false" outlineLevel="0" collapsed="false">
      <c r="A176" s="2" t="s">
        <v>52</v>
      </c>
      <c r="B176" s="2" t="s">
        <v>53</v>
      </c>
      <c r="C176" s="2" t="s">
        <v>38</v>
      </c>
      <c r="D176" s="2" t="s">
        <v>43</v>
      </c>
      <c r="E176" s="3" t="n">
        <v>45870</v>
      </c>
      <c r="F176" s="2" t="n">
        <v>21</v>
      </c>
      <c r="G176" s="4" t="n">
        <v>24.99</v>
      </c>
      <c r="H176" s="4" t="n">
        <v>12.8</v>
      </c>
      <c r="I176" s="4" t="n">
        <f aca="false">F176*G176</f>
        <v>524.79</v>
      </c>
      <c r="J176" s="4" t="n">
        <f aca="false">F176*H176</f>
        <v>268.8</v>
      </c>
      <c r="K176" s="4" t="n">
        <f aca="false">I176-J176</f>
        <v>255.99</v>
      </c>
      <c r="L176" s="5" t="n">
        <f aca="false">IFERROR(K176/I176,0)</f>
        <v>0.487795118047219</v>
      </c>
    </row>
    <row r="177" customFormat="false" ht="15" hidden="false" customHeight="false" outlineLevel="0" collapsed="false">
      <c r="A177" s="2" t="s">
        <v>52</v>
      </c>
      <c r="B177" s="2" t="s">
        <v>54</v>
      </c>
      <c r="C177" s="2" t="s">
        <v>14</v>
      </c>
      <c r="D177" s="2" t="s">
        <v>15</v>
      </c>
      <c r="E177" s="3" t="n">
        <v>45870</v>
      </c>
      <c r="F177" s="2" t="n">
        <v>14</v>
      </c>
      <c r="G177" s="4" t="n">
        <v>69.99</v>
      </c>
      <c r="H177" s="4" t="n">
        <v>33.59</v>
      </c>
      <c r="I177" s="4" t="n">
        <f aca="false">F177*G177</f>
        <v>979.86</v>
      </c>
      <c r="J177" s="4" t="n">
        <f aca="false">F177*H177</f>
        <v>470.26</v>
      </c>
      <c r="K177" s="4" t="n">
        <f aca="false">I177-J177</f>
        <v>509.6</v>
      </c>
      <c r="L177" s="5" t="n">
        <f aca="false">IFERROR(K177/I177,0)</f>
        <v>0.520074296328047</v>
      </c>
    </row>
    <row r="178" customFormat="false" ht="15" hidden="false" customHeight="false" outlineLevel="0" collapsed="false">
      <c r="A178" s="2" t="s">
        <v>52</v>
      </c>
      <c r="B178" s="2" t="s">
        <v>54</v>
      </c>
      <c r="C178" s="2" t="s">
        <v>14</v>
      </c>
      <c r="D178" s="2" t="s">
        <v>16</v>
      </c>
      <c r="E178" s="3" t="n">
        <v>45870</v>
      </c>
      <c r="F178" s="2" t="n">
        <v>18</v>
      </c>
      <c r="G178" s="4" t="n">
        <v>19.99</v>
      </c>
      <c r="H178" s="4" t="n">
        <v>9.23</v>
      </c>
      <c r="I178" s="4" t="n">
        <f aca="false">F178*G178</f>
        <v>359.82</v>
      </c>
      <c r="J178" s="4" t="n">
        <f aca="false">F178*H178</f>
        <v>166.14</v>
      </c>
      <c r="K178" s="4" t="n">
        <f aca="false">I178-J178</f>
        <v>193.68</v>
      </c>
      <c r="L178" s="5" t="n">
        <f aca="false">IFERROR(K178/I178,0)</f>
        <v>0.538269134567284</v>
      </c>
    </row>
    <row r="179" customFormat="false" ht="15" hidden="false" customHeight="false" outlineLevel="0" collapsed="false">
      <c r="A179" s="2" t="s">
        <v>52</v>
      </c>
      <c r="B179" s="2" t="s">
        <v>54</v>
      </c>
      <c r="C179" s="2" t="s">
        <v>14</v>
      </c>
      <c r="D179" s="2" t="s">
        <v>17</v>
      </c>
      <c r="E179" s="3" t="n">
        <v>45870</v>
      </c>
      <c r="F179" s="2" t="n">
        <v>17</v>
      </c>
      <c r="G179" s="4" t="n">
        <v>79.99</v>
      </c>
      <c r="H179" s="4" t="n">
        <v>40</v>
      </c>
      <c r="I179" s="4" t="n">
        <f aca="false">F179*G179</f>
        <v>1359.83</v>
      </c>
      <c r="J179" s="4" t="n">
        <f aca="false">F179*H179</f>
        <v>680</v>
      </c>
      <c r="K179" s="4" t="n">
        <f aca="false">I179-J179</f>
        <v>679.83</v>
      </c>
      <c r="L179" s="5" t="n">
        <f aca="false">IFERROR(K179/I179,0)</f>
        <v>0.499937492186523</v>
      </c>
    </row>
    <row r="180" customFormat="false" ht="15" hidden="false" customHeight="false" outlineLevel="0" collapsed="false">
      <c r="A180" s="2" t="s">
        <v>52</v>
      </c>
      <c r="B180" s="2" t="s">
        <v>54</v>
      </c>
      <c r="C180" s="2" t="s">
        <v>14</v>
      </c>
      <c r="D180" s="2" t="s">
        <v>18</v>
      </c>
      <c r="E180" s="3" t="n">
        <v>45870</v>
      </c>
      <c r="F180" s="2" t="n">
        <v>14</v>
      </c>
      <c r="G180" s="4" t="n">
        <v>34.99</v>
      </c>
      <c r="H180" s="4" t="n">
        <v>14.37</v>
      </c>
      <c r="I180" s="4" t="n">
        <f aca="false">F180*G180</f>
        <v>489.86</v>
      </c>
      <c r="J180" s="4" t="n">
        <f aca="false">F180*H180</f>
        <v>201.18</v>
      </c>
      <c r="K180" s="4" t="n">
        <f aca="false">I180-J180</f>
        <v>288.68</v>
      </c>
      <c r="L180" s="5" t="n">
        <f aca="false">IFERROR(K180/I180,0)</f>
        <v>0.589311231780509</v>
      </c>
    </row>
    <row r="181" customFormat="false" ht="15" hidden="false" customHeight="false" outlineLevel="0" collapsed="false">
      <c r="A181" s="2" t="s">
        <v>52</v>
      </c>
      <c r="B181" s="2" t="s">
        <v>54</v>
      </c>
      <c r="C181" s="2" t="s">
        <v>14</v>
      </c>
      <c r="D181" s="2" t="s">
        <v>19</v>
      </c>
      <c r="E181" s="3" t="n">
        <v>45870</v>
      </c>
      <c r="F181" s="2" t="n">
        <v>17</v>
      </c>
      <c r="G181" s="4" t="n">
        <v>54.99</v>
      </c>
      <c r="H181" s="4" t="n">
        <v>24.27</v>
      </c>
      <c r="I181" s="4" t="n">
        <f aca="false">F181*G181</f>
        <v>934.83</v>
      </c>
      <c r="J181" s="4" t="n">
        <f aca="false">F181*H181</f>
        <v>412.59</v>
      </c>
      <c r="K181" s="4" t="n">
        <f aca="false">I181-J181</f>
        <v>522.24</v>
      </c>
      <c r="L181" s="5" t="n">
        <f aca="false">IFERROR(K181/I181,0)</f>
        <v>0.558647026732133</v>
      </c>
    </row>
    <row r="182" customFormat="false" ht="15" hidden="false" customHeight="false" outlineLevel="0" collapsed="false">
      <c r="A182" s="2" t="s">
        <v>52</v>
      </c>
      <c r="B182" s="2" t="s">
        <v>54</v>
      </c>
      <c r="C182" s="2" t="s">
        <v>20</v>
      </c>
      <c r="D182" s="2" t="s">
        <v>21</v>
      </c>
      <c r="E182" s="3" t="n">
        <v>45870</v>
      </c>
      <c r="F182" s="2" t="n">
        <v>10</v>
      </c>
      <c r="G182" s="4" t="n">
        <v>44.99</v>
      </c>
      <c r="H182" s="4" t="n">
        <v>20.52</v>
      </c>
      <c r="I182" s="4" t="n">
        <f aca="false">F182*G182</f>
        <v>449.9</v>
      </c>
      <c r="J182" s="4" t="n">
        <f aca="false">F182*H182</f>
        <v>205.2</v>
      </c>
      <c r="K182" s="4" t="n">
        <f aca="false">I182-J182</f>
        <v>244.7</v>
      </c>
      <c r="L182" s="5" t="n">
        <f aca="false">IFERROR(K182/I182,0)</f>
        <v>0.543898644143143</v>
      </c>
    </row>
    <row r="183" customFormat="false" ht="15" hidden="false" customHeight="false" outlineLevel="0" collapsed="false">
      <c r="A183" s="2" t="s">
        <v>52</v>
      </c>
      <c r="B183" s="2" t="s">
        <v>54</v>
      </c>
      <c r="C183" s="2" t="s">
        <v>20</v>
      </c>
      <c r="D183" s="2" t="s">
        <v>22</v>
      </c>
      <c r="E183" s="3" t="n">
        <v>45870</v>
      </c>
      <c r="F183" s="2" t="n">
        <v>13</v>
      </c>
      <c r="G183" s="4" t="n">
        <v>14.99</v>
      </c>
      <c r="H183" s="4" t="n">
        <v>5.65</v>
      </c>
      <c r="I183" s="4" t="n">
        <f aca="false">F183*G183</f>
        <v>194.87</v>
      </c>
      <c r="J183" s="4" t="n">
        <f aca="false">F183*H183</f>
        <v>73.45</v>
      </c>
      <c r="K183" s="4" t="n">
        <f aca="false">I183-J183</f>
        <v>121.42</v>
      </c>
      <c r="L183" s="5" t="n">
        <f aca="false">IFERROR(K183/I183,0)</f>
        <v>0.623082054703135</v>
      </c>
    </row>
    <row r="184" customFormat="false" ht="15" hidden="false" customHeight="false" outlineLevel="0" collapsed="false">
      <c r="A184" s="2" t="s">
        <v>52</v>
      </c>
      <c r="B184" s="2" t="s">
        <v>54</v>
      </c>
      <c r="C184" s="2" t="s">
        <v>20</v>
      </c>
      <c r="D184" s="2" t="s">
        <v>23</v>
      </c>
      <c r="E184" s="3" t="n">
        <v>45870</v>
      </c>
      <c r="F184" s="2" t="n">
        <v>18</v>
      </c>
      <c r="G184" s="4" t="n">
        <v>39.99</v>
      </c>
      <c r="H184" s="4" t="n">
        <v>16.47</v>
      </c>
      <c r="I184" s="4" t="n">
        <f aca="false">F184*G184</f>
        <v>719.82</v>
      </c>
      <c r="J184" s="4" t="n">
        <f aca="false">F184*H184</f>
        <v>296.46</v>
      </c>
      <c r="K184" s="4" t="n">
        <f aca="false">I184-J184</f>
        <v>423.36</v>
      </c>
      <c r="L184" s="5" t="n">
        <f aca="false">IFERROR(K184/I184,0)</f>
        <v>0.58814703675919</v>
      </c>
    </row>
    <row r="185" customFormat="false" ht="15" hidden="false" customHeight="false" outlineLevel="0" collapsed="false">
      <c r="A185" s="2" t="s">
        <v>52</v>
      </c>
      <c r="B185" s="2" t="s">
        <v>54</v>
      </c>
      <c r="C185" s="2" t="s">
        <v>20</v>
      </c>
      <c r="D185" s="2" t="s">
        <v>24</v>
      </c>
      <c r="E185" s="3" t="n">
        <v>45870</v>
      </c>
      <c r="F185" s="2" t="n">
        <v>22</v>
      </c>
      <c r="G185" s="4" t="n">
        <v>18.99</v>
      </c>
      <c r="H185" s="4" t="n">
        <v>7.52</v>
      </c>
      <c r="I185" s="4" t="n">
        <f aca="false">F185*G185</f>
        <v>417.78</v>
      </c>
      <c r="J185" s="4" t="n">
        <f aca="false">F185*H185</f>
        <v>165.44</v>
      </c>
      <c r="K185" s="4" t="n">
        <f aca="false">I185-J185</f>
        <v>252.34</v>
      </c>
      <c r="L185" s="5" t="n">
        <f aca="false">IFERROR(K185/I185,0)</f>
        <v>0.604002106371775</v>
      </c>
    </row>
    <row r="186" customFormat="false" ht="15" hidden="false" customHeight="false" outlineLevel="0" collapsed="false">
      <c r="A186" s="2" t="s">
        <v>52</v>
      </c>
      <c r="B186" s="2" t="s">
        <v>54</v>
      </c>
      <c r="C186" s="2" t="s">
        <v>20</v>
      </c>
      <c r="D186" s="2" t="s">
        <v>25</v>
      </c>
      <c r="E186" s="3" t="n">
        <v>45870</v>
      </c>
      <c r="F186" s="2" t="n">
        <v>13</v>
      </c>
      <c r="G186" s="4" t="n">
        <v>42.99</v>
      </c>
      <c r="H186" s="4" t="n">
        <v>16.11</v>
      </c>
      <c r="I186" s="4" t="n">
        <f aca="false">F186*G186</f>
        <v>558.87</v>
      </c>
      <c r="J186" s="4" t="n">
        <f aca="false">F186*H186</f>
        <v>209.43</v>
      </c>
      <c r="K186" s="4" t="n">
        <f aca="false">I186-J186</f>
        <v>349.44</v>
      </c>
      <c r="L186" s="5" t="n">
        <f aca="false">IFERROR(K186/I186,0)</f>
        <v>0.625261688764829</v>
      </c>
    </row>
    <row r="187" customFormat="false" ht="15" hidden="false" customHeight="false" outlineLevel="0" collapsed="false">
      <c r="A187" s="2" t="s">
        <v>52</v>
      </c>
      <c r="B187" s="2" t="s">
        <v>54</v>
      </c>
      <c r="C187" s="2" t="s">
        <v>26</v>
      </c>
      <c r="D187" s="2" t="s">
        <v>27</v>
      </c>
      <c r="E187" s="3" t="n">
        <v>45870</v>
      </c>
      <c r="F187" s="2" t="n">
        <v>22</v>
      </c>
      <c r="G187" s="4" t="n">
        <v>44.99</v>
      </c>
      <c r="H187" s="4" t="n">
        <v>27.62</v>
      </c>
      <c r="I187" s="4" t="n">
        <f aca="false">F187*G187</f>
        <v>989.78</v>
      </c>
      <c r="J187" s="4" t="n">
        <f aca="false">F187*H187</f>
        <v>607.64</v>
      </c>
      <c r="K187" s="4" t="n">
        <f aca="false">I187-J187</f>
        <v>382.14</v>
      </c>
      <c r="L187" s="5" t="n">
        <f aca="false">IFERROR(K187/I187,0)</f>
        <v>0.386085796843743</v>
      </c>
    </row>
    <row r="188" customFormat="false" ht="15" hidden="false" customHeight="false" outlineLevel="0" collapsed="false">
      <c r="A188" s="2" t="s">
        <v>52</v>
      </c>
      <c r="B188" s="2" t="s">
        <v>54</v>
      </c>
      <c r="C188" s="2" t="s">
        <v>26</v>
      </c>
      <c r="D188" s="2" t="s">
        <v>28</v>
      </c>
      <c r="E188" s="3" t="n">
        <v>45870</v>
      </c>
      <c r="F188" s="2" t="n">
        <v>14</v>
      </c>
      <c r="G188" s="4" t="n">
        <v>34.99</v>
      </c>
      <c r="H188" s="4" t="n">
        <v>22.52</v>
      </c>
      <c r="I188" s="4" t="n">
        <f aca="false">F188*G188</f>
        <v>489.86</v>
      </c>
      <c r="J188" s="4" t="n">
        <f aca="false">F188*H188</f>
        <v>315.28</v>
      </c>
      <c r="K188" s="4" t="n">
        <f aca="false">I188-J188</f>
        <v>174.58</v>
      </c>
      <c r="L188" s="5" t="n">
        <f aca="false">IFERROR(K188/I188,0)</f>
        <v>0.356387539296942</v>
      </c>
    </row>
    <row r="189" customFormat="false" ht="15" hidden="false" customHeight="false" outlineLevel="0" collapsed="false">
      <c r="A189" s="2" t="s">
        <v>52</v>
      </c>
      <c r="B189" s="2" t="s">
        <v>54</v>
      </c>
      <c r="C189" s="2" t="s">
        <v>26</v>
      </c>
      <c r="D189" s="2" t="s">
        <v>29</v>
      </c>
      <c r="E189" s="3" t="n">
        <v>45870</v>
      </c>
      <c r="F189" s="2" t="n">
        <v>14</v>
      </c>
      <c r="G189" s="4" t="n">
        <v>119.99</v>
      </c>
      <c r="H189" s="4" t="n">
        <v>81.71</v>
      </c>
      <c r="I189" s="4" t="n">
        <f aca="false">F189*G189</f>
        <v>1679.86</v>
      </c>
      <c r="J189" s="4" t="n">
        <f aca="false">F189*H189</f>
        <v>1143.94</v>
      </c>
      <c r="K189" s="4" t="n">
        <f aca="false">I189-J189</f>
        <v>535.92</v>
      </c>
      <c r="L189" s="5" t="n">
        <f aca="false">IFERROR(K189/I189,0)</f>
        <v>0.319026585548796</v>
      </c>
    </row>
    <row r="190" customFormat="false" ht="15" hidden="false" customHeight="false" outlineLevel="0" collapsed="false">
      <c r="A190" s="2" t="s">
        <v>52</v>
      </c>
      <c r="B190" s="2" t="s">
        <v>54</v>
      </c>
      <c r="C190" s="2" t="s">
        <v>26</v>
      </c>
      <c r="D190" s="2" t="s">
        <v>30</v>
      </c>
      <c r="E190" s="3" t="n">
        <v>45870</v>
      </c>
      <c r="F190" s="2" t="n">
        <v>13</v>
      </c>
      <c r="G190" s="4" t="n">
        <v>24.99</v>
      </c>
      <c r="H190" s="4" t="n">
        <v>15.13</v>
      </c>
      <c r="I190" s="4" t="n">
        <f aca="false">F190*G190</f>
        <v>324.87</v>
      </c>
      <c r="J190" s="4" t="n">
        <f aca="false">F190*H190</f>
        <v>196.69</v>
      </c>
      <c r="K190" s="4" t="n">
        <f aca="false">I190-J190</f>
        <v>128.18</v>
      </c>
      <c r="L190" s="5" t="n">
        <f aca="false">IFERROR(K190/I190,0)</f>
        <v>0.394557823129252</v>
      </c>
    </row>
    <row r="191" customFormat="false" ht="15" hidden="false" customHeight="false" outlineLevel="0" collapsed="false">
      <c r="A191" s="2" t="s">
        <v>52</v>
      </c>
      <c r="B191" s="2" t="s">
        <v>54</v>
      </c>
      <c r="C191" s="2" t="s">
        <v>26</v>
      </c>
      <c r="D191" s="2" t="s">
        <v>31</v>
      </c>
      <c r="E191" s="3" t="n">
        <v>45870</v>
      </c>
      <c r="F191" s="2" t="n">
        <v>23</v>
      </c>
      <c r="G191" s="4" t="n">
        <v>59.99</v>
      </c>
      <c r="H191" s="4" t="n">
        <v>39.47</v>
      </c>
      <c r="I191" s="4" t="n">
        <f aca="false">F191*G191</f>
        <v>1379.77</v>
      </c>
      <c r="J191" s="4" t="n">
        <f aca="false">F191*H191</f>
        <v>907.81</v>
      </c>
      <c r="K191" s="4" t="n">
        <f aca="false">I191-J191</f>
        <v>471.96</v>
      </c>
      <c r="L191" s="5" t="n">
        <f aca="false">IFERROR(K191/I191,0)</f>
        <v>0.342057009501584</v>
      </c>
    </row>
    <row r="192" customFormat="false" ht="15" hidden="false" customHeight="false" outlineLevel="0" collapsed="false">
      <c r="A192" s="2" t="s">
        <v>52</v>
      </c>
      <c r="B192" s="2" t="s">
        <v>54</v>
      </c>
      <c r="C192" s="2" t="s">
        <v>32</v>
      </c>
      <c r="D192" s="2" t="s">
        <v>33</v>
      </c>
      <c r="E192" s="3" t="n">
        <v>45870</v>
      </c>
      <c r="F192" s="2" t="n">
        <v>19</v>
      </c>
      <c r="G192" s="4" t="n">
        <v>49.99</v>
      </c>
      <c r="H192" s="4" t="n">
        <v>36.8</v>
      </c>
      <c r="I192" s="4" t="n">
        <f aca="false">F192*G192</f>
        <v>949.81</v>
      </c>
      <c r="J192" s="4" t="n">
        <f aca="false">F192*H192</f>
        <v>699.2</v>
      </c>
      <c r="K192" s="4" t="n">
        <f aca="false">I192-J192</f>
        <v>250.61</v>
      </c>
      <c r="L192" s="5" t="n">
        <f aca="false">IFERROR(K192/I192,0)</f>
        <v>0.263852770554111</v>
      </c>
    </row>
    <row r="193" customFormat="false" ht="15" hidden="false" customHeight="false" outlineLevel="0" collapsed="false">
      <c r="A193" s="2" t="s">
        <v>52</v>
      </c>
      <c r="B193" s="2" t="s">
        <v>54</v>
      </c>
      <c r="C193" s="2" t="s">
        <v>32</v>
      </c>
      <c r="D193" s="2" t="s">
        <v>34</v>
      </c>
      <c r="E193" s="3" t="n">
        <v>45870</v>
      </c>
      <c r="F193" s="2" t="n">
        <v>14</v>
      </c>
      <c r="G193" s="4" t="n">
        <v>27.99</v>
      </c>
      <c r="H193" s="4" t="n">
        <v>20.01</v>
      </c>
      <c r="I193" s="4" t="n">
        <f aca="false">F193*G193</f>
        <v>391.86</v>
      </c>
      <c r="J193" s="4" t="n">
        <f aca="false">F193*H193</f>
        <v>280.14</v>
      </c>
      <c r="K193" s="4" t="n">
        <f aca="false">I193-J193</f>
        <v>111.72</v>
      </c>
      <c r="L193" s="5" t="n">
        <f aca="false">IFERROR(K193/I193,0)</f>
        <v>0.285101822079314</v>
      </c>
    </row>
    <row r="194" customFormat="false" ht="15" hidden="false" customHeight="false" outlineLevel="0" collapsed="false">
      <c r="A194" s="2" t="s">
        <v>52</v>
      </c>
      <c r="B194" s="2" t="s">
        <v>54</v>
      </c>
      <c r="C194" s="2" t="s">
        <v>32</v>
      </c>
      <c r="D194" s="2" t="s">
        <v>35</v>
      </c>
      <c r="E194" s="3" t="n">
        <v>45870</v>
      </c>
      <c r="F194" s="2" t="n">
        <v>17</v>
      </c>
      <c r="G194" s="4" t="n">
        <v>64.99</v>
      </c>
      <c r="H194" s="4" t="n">
        <v>46.52</v>
      </c>
      <c r="I194" s="4" t="n">
        <f aca="false">F194*G194</f>
        <v>1104.83</v>
      </c>
      <c r="J194" s="4" t="n">
        <f aca="false">F194*H194</f>
        <v>790.84</v>
      </c>
      <c r="K194" s="4" t="n">
        <f aca="false">I194-J194</f>
        <v>313.99</v>
      </c>
      <c r="L194" s="5" t="n">
        <f aca="false">IFERROR(K194/I194,0)</f>
        <v>0.284197568856747</v>
      </c>
    </row>
    <row r="195" customFormat="false" ht="15" hidden="false" customHeight="false" outlineLevel="0" collapsed="false">
      <c r="A195" s="2" t="s">
        <v>52</v>
      </c>
      <c r="B195" s="2" t="s">
        <v>54</v>
      </c>
      <c r="C195" s="2" t="s">
        <v>32</v>
      </c>
      <c r="D195" s="2" t="s">
        <v>36</v>
      </c>
      <c r="E195" s="3" t="n">
        <v>45870</v>
      </c>
      <c r="F195" s="2" t="n">
        <v>11</v>
      </c>
      <c r="G195" s="4" t="n">
        <v>22.99</v>
      </c>
      <c r="H195" s="4" t="n">
        <v>16.55</v>
      </c>
      <c r="I195" s="4" t="n">
        <f aca="false">F195*G195</f>
        <v>252.89</v>
      </c>
      <c r="J195" s="4" t="n">
        <f aca="false">F195*H195</f>
        <v>182.05</v>
      </c>
      <c r="K195" s="4" t="n">
        <f aca="false">I195-J195</f>
        <v>70.84</v>
      </c>
      <c r="L195" s="5" t="n">
        <f aca="false">IFERROR(K195/I195,0)</f>
        <v>0.280121792083515</v>
      </c>
    </row>
    <row r="196" customFormat="false" ht="15" hidden="false" customHeight="false" outlineLevel="0" collapsed="false">
      <c r="A196" s="2" t="s">
        <v>52</v>
      </c>
      <c r="B196" s="2" t="s">
        <v>54</v>
      </c>
      <c r="C196" s="2" t="s">
        <v>32</v>
      </c>
      <c r="D196" s="2" t="s">
        <v>37</v>
      </c>
      <c r="E196" s="3" t="n">
        <v>45870</v>
      </c>
      <c r="F196" s="2" t="n">
        <v>13</v>
      </c>
      <c r="G196" s="4" t="n">
        <v>29.99</v>
      </c>
      <c r="H196" s="4" t="n">
        <v>20.76</v>
      </c>
      <c r="I196" s="4" t="n">
        <f aca="false">F196*G196</f>
        <v>389.87</v>
      </c>
      <c r="J196" s="4" t="n">
        <f aca="false">F196*H196</f>
        <v>269.88</v>
      </c>
      <c r="K196" s="4" t="n">
        <f aca="false">I196-J196</f>
        <v>119.99</v>
      </c>
      <c r="L196" s="5" t="n">
        <f aca="false">IFERROR(K196/I196,0)</f>
        <v>0.307769256418806</v>
      </c>
    </row>
    <row r="197" customFormat="false" ht="15" hidden="false" customHeight="false" outlineLevel="0" collapsed="false">
      <c r="A197" s="2" t="s">
        <v>52</v>
      </c>
      <c r="B197" s="2" t="s">
        <v>54</v>
      </c>
      <c r="C197" s="2" t="s">
        <v>38</v>
      </c>
      <c r="D197" s="2" t="s">
        <v>39</v>
      </c>
      <c r="E197" s="3" t="n">
        <v>45870</v>
      </c>
      <c r="F197" s="2" t="n">
        <v>12</v>
      </c>
      <c r="G197" s="4" t="n">
        <v>129.99</v>
      </c>
      <c r="H197" s="4" t="n">
        <v>75.43</v>
      </c>
      <c r="I197" s="4" t="n">
        <f aca="false">F197*G197</f>
        <v>1559.88</v>
      </c>
      <c r="J197" s="4" t="n">
        <f aca="false">F197*H197</f>
        <v>905.16</v>
      </c>
      <c r="K197" s="4" t="n">
        <f aca="false">I197-J197</f>
        <v>654.72</v>
      </c>
      <c r="L197" s="5" t="n">
        <f aca="false">IFERROR(K197/I197,0)</f>
        <v>0.419724594199554</v>
      </c>
    </row>
    <row r="198" customFormat="false" ht="15" hidden="false" customHeight="false" outlineLevel="0" collapsed="false">
      <c r="A198" s="2" t="s">
        <v>52</v>
      </c>
      <c r="B198" s="2" t="s">
        <v>54</v>
      </c>
      <c r="C198" s="2" t="s">
        <v>38</v>
      </c>
      <c r="D198" s="2" t="s">
        <v>40</v>
      </c>
      <c r="E198" s="3" t="n">
        <v>45870</v>
      </c>
      <c r="F198" s="2" t="n">
        <v>29</v>
      </c>
      <c r="G198" s="4" t="n">
        <v>74.99</v>
      </c>
      <c r="H198" s="4" t="n">
        <v>40.45</v>
      </c>
      <c r="I198" s="4" t="n">
        <f aca="false">F198*G198</f>
        <v>2174.71</v>
      </c>
      <c r="J198" s="4" t="n">
        <f aca="false">F198*H198</f>
        <v>1173.05</v>
      </c>
      <c r="K198" s="4" t="n">
        <f aca="false">I198-J198</f>
        <v>1001.66</v>
      </c>
      <c r="L198" s="5" t="n">
        <f aca="false">IFERROR(K198/I198,0)</f>
        <v>0.460594745966129</v>
      </c>
    </row>
    <row r="199" customFormat="false" ht="15" hidden="false" customHeight="false" outlineLevel="0" collapsed="false">
      <c r="A199" s="2" t="s">
        <v>52</v>
      </c>
      <c r="B199" s="2" t="s">
        <v>54</v>
      </c>
      <c r="C199" s="2" t="s">
        <v>38</v>
      </c>
      <c r="D199" s="2" t="s">
        <v>41</v>
      </c>
      <c r="E199" s="3" t="n">
        <v>45870</v>
      </c>
      <c r="F199" s="2" t="n">
        <v>16</v>
      </c>
      <c r="G199" s="4" t="n">
        <v>19.99</v>
      </c>
      <c r="H199" s="4" t="n">
        <v>9.7</v>
      </c>
      <c r="I199" s="4" t="n">
        <f aca="false">F199*G199</f>
        <v>319.84</v>
      </c>
      <c r="J199" s="4" t="n">
        <f aca="false">F199*H199</f>
        <v>155.2</v>
      </c>
      <c r="K199" s="4" t="n">
        <f aca="false">I199-J199</f>
        <v>164.64</v>
      </c>
      <c r="L199" s="5" t="n">
        <f aca="false">IFERROR(K199/I199,0)</f>
        <v>0.514757378689345</v>
      </c>
    </row>
    <row r="200" customFormat="false" ht="15" hidden="false" customHeight="false" outlineLevel="0" collapsed="false">
      <c r="A200" s="2" t="s">
        <v>52</v>
      </c>
      <c r="B200" s="2" t="s">
        <v>54</v>
      </c>
      <c r="C200" s="2" t="s">
        <v>38</v>
      </c>
      <c r="D200" s="2" t="s">
        <v>42</v>
      </c>
      <c r="E200" s="3" t="n">
        <v>45870</v>
      </c>
      <c r="F200" s="2" t="n">
        <v>12</v>
      </c>
      <c r="G200" s="4" t="n">
        <v>16.99</v>
      </c>
      <c r="H200" s="4" t="n">
        <v>8.66</v>
      </c>
      <c r="I200" s="4" t="n">
        <f aca="false">F200*G200</f>
        <v>203.88</v>
      </c>
      <c r="J200" s="4" t="n">
        <f aca="false">F200*H200</f>
        <v>103.92</v>
      </c>
      <c r="K200" s="4" t="n">
        <f aca="false">I200-J200</f>
        <v>99.96</v>
      </c>
      <c r="L200" s="5" t="n">
        <f aca="false">IFERROR(K200/I200,0)</f>
        <v>0.490288404944085</v>
      </c>
    </row>
    <row r="201" customFormat="false" ht="15" hidden="false" customHeight="false" outlineLevel="0" collapsed="false">
      <c r="A201" s="2" t="s">
        <v>52</v>
      </c>
      <c r="B201" s="2" t="s">
        <v>54</v>
      </c>
      <c r="C201" s="2" t="s">
        <v>38</v>
      </c>
      <c r="D201" s="2" t="s">
        <v>43</v>
      </c>
      <c r="E201" s="3" t="n">
        <v>45870</v>
      </c>
      <c r="F201" s="2" t="n">
        <v>24</v>
      </c>
      <c r="G201" s="4" t="n">
        <v>24.99</v>
      </c>
      <c r="H201" s="4" t="n">
        <v>13.03</v>
      </c>
      <c r="I201" s="4" t="n">
        <f aca="false">F201*G201</f>
        <v>599.76</v>
      </c>
      <c r="J201" s="4" t="n">
        <f aca="false">F201*H201</f>
        <v>312.72</v>
      </c>
      <c r="K201" s="4" t="n">
        <f aca="false">I201-J201</f>
        <v>287.04</v>
      </c>
      <c r="L201" s="5" t="n">
        <f aca="false">IFERROR(K201/I201,0)</f>
        <v>0.47859143657463</v>
      </c>
    </row>
    <row r="202" customFormat="false" ht="15" hidden="false" customHeight="false" outlineLevel="0" collapsed="false">
      <c r="A202" s="2" t="s">
        <v>12</v>
      </c>
      <c r="B202" s="2" t="s">
        <v>13</v>
      </c>
      <c r="C202" s="2" t="s">
        <v>14</v>
      </c>
      <c r="D202" s="2" t="s">
        <v>15</v>
      </c>
      <c r="E202" s="3" t="n">
        <v>45901</v>
      </c>
      <c r="F202" s="2" t="n">
        <v>8</v>
      </c>
      <c r="G202" s="4" t="n">
        <v>69.99</v>
      </c>
      <c r="H202" s="4" t="n">
        <v>33.63</v>
      </c>
      <c r="I202" s="4" t="n">
        <f aca="false">F202*G202</f>
        <v>559.92</v>
      </c>
      <c r="J202" s="4" t="n">
        <f aca="false">F202*H202</f>
        <v>269.04</v>
      </c>
      <c r="K202" s="4" t="n">
        <f aca="false">I202-J202</f>
        <v>290.88</v>
      </c>
      <c r="L202" s="5" t="n">
        <f aca="false">IFERROR(K202/I202,0)</f>
        <v>0.519502786112302</v>
      </c>
    </row>
    <row r="203" customFormat="false" ht="15" hidden="false" customHeight="false" outlineLevel="0" collapsed="false">
      <c r="A203" s="2" t="s">
        <v>12</v>
      </c>
      <c r="B203" s="2" t="s">
        <v>13</v>
      </c>
      <c r="C203" s="2" t="s">
        <v>14</v>
      </c>
      <c r="D203" s="2" t="s">
        <v>16</v>
      </c>
      <c r="E203" s="3" t="n">
        <v>45901</v>
      </c>
      <c r="F203" s="2" t="n">
        <v>17</v>
      </c>
      <c r="G203" s="4" t="n">
        <v>19.99</v>
      </c>
      <c r="H203" s="4" t="n">
        <v>9.09</v>
      </c>
      <c r="I203" s="4" t="n">
        <f aca="false">F203*G203</f>
        <v>339.83</v>
      </c>
      <c r="J203" s="4" t="n">
        <f aca="false">F203*H203</f>
        <v>154.53</v>
      </c>
      <c r="K203" s="4" t="n">
        <f aca="false">I203-J203</f>
        <v>185.3</v>
      </c>
      <c r="L203" s="5" t="n">
        <f aca="false">IFERROR(K203/I203,0)</f>
        <v>0.545272636318159</v>
      </c>
    </row>
    <row r="204" customFormat="false" ht="15" hidden="false" customHeight="false" outlineLevel="0" collapsed="false">
      <c r="A204" s="2" t="s">
        <v>12</v>
      </c>
      <c r="B204" s="2" t="s">
        <v>13</v>
      </c>
      <c r="C204" s="2" t="s">
        <v>14</v>
      </c>
      <c r="D204" s="2" t="s">
        <v>17</v>
      </c>
      <c r="E204" s="3" t="n">
        <v>45901</v>
      </c>
      <c r="F204" s="2" t="n">
        <v>11</v>
      </c>
      <c r="G204" s="4" t="n">
        <v>79.99</v>
      </c>
      <c r="H204" s="4" t="n">
        <v>39.88</v>
      </c>
      <c r="I204" s="4" t="n">
        <f aca="false">F204*G204</f>
        <v>879.89</v>
      </c>
      <c r="J204" s="4" t="n">
        <f aca="false">F204*H204</f>
        <v>438.68</v>
      </c>
      <c r="K204" s="4" t="n">
        <f aca="false">I204-J204</f>
        <v>441.21</v>
      </c>
      <c r="L204" s="5" t="n">
        <f aca="false">IFERROR(K204/I204,0)</f>
        <v>0.501437679709964</v>
      </c>
    </row>
    <row r="205" customFormat="false" ht="15" hidden="false" customHeight="false" outlineLevel="0" collapsed="false">
      <c r="A205" s="2" t="s">
        <v>12</v>
      </c>
      <c r="B205" s="2" t="s">
        <v>13</v>
      </c>
      <c r="C205" s="2" t="s">
        <v>14</v>
      </c>
      <c r="D205" s="2" t="s">
        <v>18</v>
      </c>
      <c r="E205" s="3" t="n">
        <v>45901</v>
      </c>
      <c r="F205" s="2" t="n">
        <v>12</v>
      </c>
      <c r="G205" s="4" t="n">
        <v>34.99</v>
      </c>
      <c r="H205" s="4" t="n">
        <v>14.33</v>
      </c>
      <c r="I205" s="4" t="n">
        <f aca="false">F205*G205</f>
        <v>419.88</v>
      </c>
      <c r="J205" s="4" t="n">
        <f aca="false">F205*H205</f>
        <v>171.96</v>
      </c>
      <c r="K205" s="4" t="n">
        <f aca="false">I205-J205</f>
        <v>247.92</v>
      </c>
      <c r="L205" s="5" t="n">
        <f aca="false">IFERROR(K205/I205,0)</f>
        <v>0.590454415547299</v>
      </c>
    </row>
    <row r="206" customFormat="false" ht="15" hidden="false" customHeight="false" outlineLevel="0" collapsed="false">
      <c r="A206" s="2" t="s">
        <v>12</v>
      </c>
      <c r="B206" s="2" t="s">
        <v>13</v>
      </c>
      <c r="C206" s="2" t="s">
        <v>14</v>
      </c>
      <c r="D206" s="2" t="s">
        <v>19</v>
      </c>
      <c r="E206" s="3" t="n">
        <v>45901</v>
      </c>
      <c r="F206" s="2" t="n">
        <v>21</v>
      </c>
      <c r="G206" s="4" t="n">
        <v>54.99</v>
      </c>
      <c r="H206" s="4" t="n">
        <v>24.18</v>
      </c>
      <c r="I206" s="4" t="n">
        <f aca="false">F206*G206</f>
        <v>1154.79</v>
      </c>
      <c r="J206" s="4" t="n">
        <f aca="false">F206*H206</f>
        <v>507.78</v>
      </c>
      <c r="K206" s="4" t="n">
        <f aca="false">I206-J206</f>
        <v>647.01</v>
      </c>
      <c r="L206" s="5" t="n">
        <f aca="false">IFERROR(K206/I206,0)</f>
        <v>0.560283687943262</v>
      </c>
    </row>
    <row r="207" customFormat="false" ht="15" hidden="false" customHeight="false" outlineLevel="0" collapsed="false">
      <c r="A207" s="2" t="s">
        <v>12</v>
      </c>
      <c r="B207" s="2" t="s">
        <v>13</v>
      </c>
      <c r="C207" s="2" t="s">
        <v>20</v>
      </c>
      <c r="D207" s="2" t="s">
        <v>21</v>
      </c>
      <c r="E207" s="3" t="n">
        <v>45901</v>
      </c>
      <c r="F207" s="2" t="n">
        <v>17</v>
      </c>
      <c r="G207" s="4" t="n">
        <v>44.99</v>
      </c>
      <c r="H207" s="4" t="n">
        <v>19.96</v>
      </c>
      <c r="I207" s="4" t="n">
        <f aca="false">F207*G207</f>
        <v>764.83</v>
      </c>
      <c r="J207" s="4" t="n">
        <f aca="false">F207*H207</f>
        <v>339.32</v>
      </c>
      <c r="K207" s="4" t="n">
        <f aca="false">I207-J207</f>
        <v>425.51</v>
      </c>
      <c r="L207" s="5" t="n">
        <f aca="false">IFERROR(K207/I207,0)</f>
        <v>0.556345854634363</v>
      </c>
    </row>
    <row r="208" customFormat="false" ht="15" hidden="false" customHeight="false" outlineLevel="0" collapsed="false">
      <c r="A208" s="2" t="s">
        <v>12</v>
      </c>
      <c r="B208" s="2" t="s">
        <v>13</v>
      </c>
      <c r="C208" s="2" t="s">
        <v>20</v>
      </c>
      <c r="D208" s="2" t="s">
        <v>22</v>
      </c>
      <c r="E208" s="3" t="n">
        <v>45901</v>
      </c>
      <c r="F208" s="2" t="n">
        <v>19</v>
      </c>
      <c r="G208" s="4" t="n">
        <v>14.99</v>
      </c>
      <c r="H208" s="4" t="n">
        <v>5.61</v>
      </c>
      <c r="I208" s="4" t="n">
        <f aca="false">F208*G208</f>
        <v>284.81</v>
      </c>
      <c r="J208" s="4" t="n">
        <f aca="false">F208*H208</f>
        <v>106.59</v>
      </c>
      <c r="K208" s="4" t="n">
        <f aca="false">I208-J208</f>
        <v>178.22</v>
      </c>
      <c r="L208" s="5" t="n">
        <f aca="false">IFERROR(K208/I208,0)</f>
        <v>0.625750500333556</v>
      </c>
    </row>
    <row r="209" customFormat="false" ht="15" hidden="false" customHeight="false" outlineLevel="0" collapsed="false">
      <c r="A209" s="2" t="s">
        <v>12</v>
      </c>
      <c r="B209" s="2" t="s">
        <v>13</v>
      </c>
      <c r="C209" s="2" t="s">
        <v>20</v>
      </c>
      <c r="D209" s="2" t="s">
        <v>23</v>
      </c>
      <c r="E209" s="3" t="n">
        <v>45901</v>
      </c>
      <c r="F209" s="2" t="n">
        <v>16</v>
      </c>
      <c r="G209" s="4" t="n">
        <v>39.99</v>
      </c>
      <c r="H209" s="4" t="n">
        <v>17.09</v>
      </c>
      <c r="I209" s="4" t="n">
        <f aca="false">F209*G209</f>
        <v>639.84</v>
      </c>
      <c r="J209" s="4" t="n">
        <f aca="false">F209*H209</f>
        <v>273.44</v>
      </c>
      <c r="K209" s="4" t="n">
        <f aca="false">I209-J209</f>
        <v>366.4</v>
      </c>
      <c r="L209" s="5" t="n">
        <f aca="false">IFERROR(K209/I209,0)</f>
        <v>0.572643160790198</v>
      </c>
    </row>
    <row r="210" customFormat="false" ht="15" hidden="false" customHeight="false" outlineLevel="0" collapsed="false">
      <c r="A210" s="2" t="s">
        <v>12</v>
      </c>
      <c r="B210" s="2" t="s">
        <v>13</v>
      </c>
      <c r="C210" s="2" t="s">
        <v>20</v>
      </c>
      <c r="D210" s="2" t="s">
        <v>24</v>
      </c>
      <c r="E210" s="3" t="n">
        <v>45901</v>
      </c>
      <c r="F210" s="2" t="n">
        <v>18</v>
      </c>
      <c r="G210" s="4" t="n">
        <v>18.99</v>
      </c>
      <c r="H210" s="4" t="n">
        <v>7.62</v>
      </c>
      <c r="I210" s="4" t="n">
        <f aca="false">F210*G210</f>
        <v>341.82</v>
      </c>
      <c r="J210" s="4" t="n">
        <f aca="false">F210*H210</f>
        <v>137.16</v>
      </c>
      <c r="K210" s="4" t="n">
        <f aca="false">I210-J210</f>
        <v>204.66</v>
      </c>
      <c r="L210" s="5" t="n">
        <f aca="false">IFERROR(K210/I210,0)</f>
        <v>0.598736176935229</v>
      </c>
    </row>
    <row r="211" customFormat="false" ht="15" hidden="false" customHeight="false" outlineLevel="0" collapsed="false">
      <c r="A211" s="2" t="s">
        <v>12</v>
      </c>
      <c r="B211" s="2" t="s">
        <v>13</v>
      </c>
      <c r="C211" s="2" t="s">
        <v>20</v>
      </c>
      <c r="D211" s="2" t="s">
        <v>25</v>
      </c>
      <c r="E211" s="3" t="n">
        <v>45901</v>
      </c>
      <c r="F211" s="2" t="n">
        <v>18</v>
      </c>
      <c r="G211" s="4" t="n">
        <v>42.99</v>
      </c>
      <c r="H211" s="4" t="n">
        <v>16.01</v>
      </c>
      <c r="I211" s="4" t="n">
        <f aca="false">F211*G211</f>
        <v>773.82</v>
      </c>
      <c r="J211" s="4" t="n">
        <f aca="false">F211*H211</f>
        <v>288.18</v>
      </c>
      <c r="K211" s="4" t="n">
        <f aca="false">I211-J211</f>
        <v>485.64</v>
      </c>
      <c r="L211" s="5" t="n">
        <f aca="false">IFERROR(K211/I211,0)</f>
        <v>0.627587811118865</v>
      </c>
    </row>
    <row r="212" customFormat="false" ht="15" hidden="false" customHeight="false" outlineLevel="0" collapsed="false">
      <c r="A212" s="2" t="s">
        <v>12</v>
      </c>
      <c r="B212" s="2" t="s">
        <v>13</v>
      </c>
      <c r="C212" s="2" t="s">
        <v>26</v>
      </c>
      <c r="D212" s="2" t="s">
        <v>27</v>
      </c>
      <c r="E212" s="3" t="n">
        <v>45901</v>
      </c>
      <c r="F212" s="2" t="n">
        <v>14</v>
      </c>
      <c r="G212" s="4" t="n">
        <v>44.99</v>
      </c>
      <c r="H212" s="4" t="n">
        <v>27.13</v>
      </c>
      <c r="I212" s="4" t="n">
        <f aca="false">F212*G212</f>
        <v>629.86</v>
      </c>
      <c r="J212" s="4" t="n">
        <f aca="false">F212*H212</f>
        <v>379.82</v>
      </c>
      <c r="K212" s="4" t="n">
        <f aca="false">I212-J212</f>
        <v>250.04</v>
      </c>
      <c r="L212" s="5" t="n">
        <f aca="false">IFERROR(K212/I212,0)</f>
        <v>0.396977106023561</v>
      </c>
    </row>
    <row r="213" customFormat="false" ht="15" hidden="false" customHeight="false" outlineLevel="0" collapsed="false">
      <c r="A213" s="2" t="s">
        <v>12</v>
      </c>
      <c r="B213" s="2" t="s">
        <v>13</v>
      </c>
      <c r="C213" s="2" t="s">
        <v>26</v>
      </c>
      <c r="D213" s="2" t="s">
        <v>28</v>
      </c>
      <c r="E213" s="3" t="n">
        <v>45901</v>
      </c>
      <c r="F213" s="2" t="n">
        <v>21</v>
      </c>
      <c r="G213" s="4" t="n">
        <v>34.99</v>
      </c>
      <c r="H213" s="4" t="n">
        <v>22.06</v>
      </c>
      <c r="I213" s="4" t="n">
        <f aca="false">F213*G213</f>
        <v>734.79</v>
      </c>
      <c r="J213" s="4" t="n">
        <f aca="false">F213*H213</f>
        <v>463.26</v>
      </c>
      <c r="K213" s="4" t="n">
        <f aca="false">I213-J213</f>
        <v>271.53</v>
      </c>
      <c r="L213" s="5" t="n">
        <f aca="false">IFERROR(K213/I213,0)</f>
        <v>0.369534152615033</v>
      </c>
    </row>
    <row r="214" customFormat="false" ht="15" hidden="false" customHeight="false" outlineLevel="0" collapsed="false">
      <c r="A214" s="2" t="s">
        <v>12</v>
      </c>
      <c r="B214" s="2" t="s">
        <v>13</v>
      </c>
      <c r="C214" s="2" t="s">
        <v>26</v>
      </c>
      <c r="D214" s="2" t="s">
        <v>29</v>
      </c>
      <c r="E214" s="3" t="n">
        <v>45901</v>
      </c>
      <c r="F214" s="2" t="n">
        <v>21</v>
      </c>
      <c r="G214" s="4" t="n">
        <v>119.99</v>
      </c>
      <c r="H214" s="4" t="n">
        <v>80.65</v>
      </c>
      <c r="I214" s="4" t="n">
        <f aca="false">F214*G214</f>
        <v>2519.79</v>
      </c>
      <c r="J214" s="4" t="n">
        <f aca="false">F214*H214</f>
        <v>1693.65</v>
      </c>
      <c r="K214" s="4" t="n">
        <f aca="false">I214-J214</f>
        <v>826.14</v>
      </c>
      <c r="L214" s="5" t="n">
        <f aca="false">IFERROR(K214/I214,0)</f>
        <v>0.327860655054588</v>
      </c>
    </row>
    <row r="215" customFormat="false" ht="15" hidden="false" customHeight="false" outlineLevel="0" collapsed="false">
      <c r="A215" s="2" t="s">
        <v>12</v>
      </c>
      <c r="B215" s="2" t="s">
        <v>13</v>
      </c>
      <c r="C215" s="2" t="s">
        <v>26</v>
      </c>
      <c r="D215" s="2" t="s">
        <v>30</v>
      </c>
      <c r="E215" s="3" t="n">
        <v>45901</v>
      </c>
      <c r="F215" s="2" t="n">
        <v>19</v>
      </c>
      <c r="G215" s="4" t="n">
        <v>24.99</v>
      </c>
      <c r="H215" s="4" t="n">
        <v>14.69</v>
      </c>
      <c r="I215" s="4" t="n">
        <f aca="false">F215*G215</f>
        <v>474.81</v>
      </c>
      <c r="J215" s="4" t="n">
        <f aca="false">F215*H215</f>
        <v>279.11</v>
      </c>
      <c r="K215" s="4" t="n">
        <f aca="false">I215-J215</f>
        <v>195.7</v>
      </c>
      <c r="L215" s="5" t="n">
        <f aca="false">IFERROR(K215/I215,0)</f>
        <v>0.412164865946378</v>
      </c>
    </row>
    <row r="216" customFormat="false" ht="15" hidden="false" customHeight="false" outlineLevel="0" collapsed="false">
      <c r="A216" s="2" t="s">
        <v>12</v>
      </c>
      <c r="B216" s="2" t="s">
        <v>13</v>
      </c>
      <c r="C216" s="2" t="s">
        <v>26</v>
      </c>
      <c r="D216" s="2" t="s">
        <v>31</v>
      </c>
      <c r="E216" s="3" t="n">
        <v>45901</v>
      </c>
      <c r="F216" s="2" t="n">
        <v>26</v>
      </c>
      <c r="G216" s="4" t="n">
        <v>59.99</v>
      </c>
      <c r="H216" s="4" t="n">
        <v>39.91</v>
      </c>
      <c r="I216" s="4" t="n">
        <f aca="false">F216*G216</f>
        <v>1559.74</v>
      </c>
      <c r="J216" s="4" t="n">
        <f aca="false">F216*H216</f>
        <v>1037.66</v>
      </c>
      <c r="K216" s="4" t="n">
        <f aca="false">I216-J216</f>
        <v>522.08</v>
      </c>
      <c r="L216" s="5" t="n">
        <f aca="false">IFERROR(K216/I216,0)</f>
        <v>0.334722453742291</v>
      </c>
    </row>
    <row r="217" customFormat="false" ht="15" hidden="false" customHeight="false" outlineLevel="0" collapsed="false">
      <c r="A217" s="2" t="s">
        <v>12</v>
      </c>
      <c r="B217" s="2" t="s">
        <v>13</v>
      </c>
      <c r="C217" s="2" t="s">
        <v>32</v>
      </c>
      <c r="D217" s="2" t="s">
        <v>33</v>
      </c>
      <c r="E217" s="3" t="n">
        <v>45901</v>
      </c>
      <c r="F217" s="2" t="n">
        <v>20</v>
      </c>
      <c r="G217" s="4" t="n">
        <v>49.99</v>
      </c>
      <c r="H217" s="4" t="n">
        <v>35.85</v>
      </c>
      <c r="I217" s="4" t="n">
        <f aca="false">F217*G217</f>
        <v>999.8</v>
      </c>
      <c r="J217" s="4" t="n">
        <f aca="false">F217*H217</f>
        <v>717</v>
      </c>
      <c r="K217" s="4" t="n">
        <f aca="false">I217-J217</f>
        <v>282.8</v>
      </c>
      <c r="L217" s="5" t="n">
        <f aca="false">IFERROR(K217/I217,0)</f>
        <v>0.282856571314263</v>
      </c>
    </row>
    <row r="218" customFormat="false" ht="15" hidden="false" customHeight="false" outlineLevel="0" collapsed="false">
      <c r="A218" s="2" t="s">
        <v>12</v>
      </c>
      <c r="B218" s="2" t="s">
        <v>13</v>
      </c>
      <c r="C218" s="2" t="s">
        <v>32</v>
      </c>
      <c r="D218" s="2" t="s">
        <v>34</v>
      </c>
      <c r="E218" s="3" t="n">
        <v>45901</v>
      </c>
      <c r="F218" s="2" t="n">
        <v>7</v>
      </c>
      <c r="G218" s="4" t="n">
        <v>27.99</v>
      </c>
      <c r="H218" s="4" t="n">
        <v>19.47</v>
      </c>
      <c r="I218" s="4" t="n">
        <f aca="false">F218*G218</f>
        <v>195.93</v>
      </c>
      <c r="J218" s="4" t="n">
        <f aca="false">F218*H218</f>
        <v>136.29</v>
      </c>
      <c r="K218" s="4" t="n">
        <f aca="false">I218-J218</f>
        <v>59.64</v>
      </c>
      <c r="L218" s="5" t="n">
        <f aca="false">IFERROR(K218/I218,0)</f>
        <v>0.304394426580922</v>
      </c>
    </row>
    <row r="219" customFormat="false" ht="15" hidden="false" customHeight="false" outlineLevel="0" collapsed="false">
      <c r="A219" s="2" t="s">
        <v>12</v>
      </c>
      <c r="B219" s="2" t="s">
        <v>13</v>
      </c>
      <c r="C219" s="2" t="s">
        <v>32</v>
      </c>
      <c r="D219" s="2" t="s">
        <v>35</v>
      </c>
      <c r="E219" s="3" t="n">
        <v>45901</v>
      </c>
      <c r="F219" s="2" t="n">
        <v>18</v>
      </c>
      <c r="G219" s="4" t="n">
        <v>64.99</v>
      </c>
      <c r="H219" s="4" t="n">
        <v>45.85</v>
      </c>
      <c r="I219" s="4" t="n">
        <f aca="false">F219*G219</f>
        <v>1169.82</v>
      </c>
      <c r="J219" s="4" t="n">
        <f aca="false">F219*H219</f>
        <v>825.3</v>
      </c>
      <c r="K219" s="4" t="n">
        <f aca="false">I219-J219</f>
        <v>344.52</v>
      </c>
      <c r="L219" s="5" t="n">
        <f aca="false">IFERROR(K219/I219,0)</f>
        <v>0.294506847207263</v>
      </c>
    </row>
    <row r="220" customFormat="false" ht="15" hidden="false" customHeight="false" outlineLevel="0" collapsed="false">
      <c r="A220" s="2" t="s">
        <v>12</v>
      </c>
      <c r="B220" s="2" t="s">
        <v>13</v>
      </c>
      <c r="C220" s="2" t="s">
        <v>32</v>
      </c>
      <c r="D220" s="2" t="s">
        <v>36</v>
      </c>
      <c r="E220" s="3" t="n">
        <v>45901</v>
      </c>
      <c r="F220" s="2" t="n">
        <v>11</v>
      </c>
      <c r="G220" s="4" t="n">
        <v>22.99</v>
      </c>
      <c r="H220" s="4" t="n">
        <v>17.16</v>
      </c>
      <c r="I220" s="4" t="n">
        <f aca="false">F220*G220</f>
        <v>252.89</v>
      </c>
      <c r="J220" s="4" t="n">
        <f aca="false">F220*H220</f>
        <v>188.76</v>
      </c>
      <c r="K220" s="4" t="n">
        <f aca="false">I220-J220</f>
        <v>64.13</v>
      </c>
      <c r="L220" s="5" t="n">
        <f aca="false">IFERROR(K220/I220,0)</f>
        <v>0.253588516746412</v>
      </c>
    </row>
    <row r="221" customFormat="false" ht="15" hidden="false" customHeight="false" outlineLevel="0" collapsed="false">
      <c r="A221" s="2" t="s">
        <v>12</v>
      </c>
      <c r="B221" s="2" t="s">
        <v>13</v>
      </c>
      <c r="C221" s="2" t="s">
        <v>32</v>
      </c>
      <c r="D221" s="2" t="s">
        <v>37</v>
      </c>
      <c r="E221" s="3" t="n">
        <v>45901</v>
      </c>
      <c r="F221" s="2" t="n">
        <v>17</v>
      </c>
      <c r="G221" s="4" t="n">
        <v>29.99</v>
      </c>
      <c r="H221" s="4" t="n">
        <v>19.85</v>
      </c>
      <c r="I221" s="4" t="n">
        <f aca="false">F221*G221</f>
        <v>509.83</v>
      </c>
      <c r="J221" s="4" t="n">
        <f aca="false">F221*H221</f>
        <v>337.45</v>
      </c>
      <c r="K221" s="4" t="n">
        <f aca="false">I221-J221</f>
        <v>172.38</v>
      </c>
      <c r="L221" s="5" t="n">
        <f aca="false">IFERROR(K221/I221,0)</f>
        <v>0.338112704234745</v>
      </c>
    </row>
    <row r="222" customFormat="false" ht="15" hidden="false" customHeight="false" outlineLevel="0" collapsed="false">
      <c r="A222" s="2" t="s">
        <v>12</v>
      </c>
      <c r="B222" s="2" t="s">
        <v>13</v>
      </c>
      <c r="C222" s="2" t="s">
        <v>38</v>
      </c>
      <c r="D222" s="2" t="s">
        <v>39</v>
      </c>
      <c r="E222" s="3" t="n">
        <v>45901</v>
      </c>
      <c r="F222" s="2" t="n">
        <v>14</v>
      </c>
      <c r="G222" s="4" t="n">
        <v>129.99</v>
      </c>
      <c r="H222" s="4" t="n">
        <v>75.69</v>
      </c>
      <c r="I222" s="4" t="n">
        <f aca="false">F222*G222</f>
        <v>1819.86</v>
      </c>
      <c r="J222" s="4" t="n">
        <f aca="false">F222*H222</f>
        <v>1059.66</v>
      </c>
      <c r="K222" s="4" t="n">
        <f aca="false">I222-J222</f>
        <v>760.2</v>
      </c>
      <c r="L222" s="5" t="n">
        <f aca="false">IFERROR(K222/I222,0)</f>
        <v>0.417724440341565</v>
      </c>
    </row>
    <row r="223" customFormat="false" ht="15" hidden="false" customHeight="false" outlineLevel="0" collapsed="false">
      <c r="A223" s="2" t="s">
        <v>12</v>
      </c>
      <c r="B223" s="2" t="s">
        <v>13</v>
      </c>
      <c r="C223" s="2" t="s">
        <v>38</v>
      </c>
      <c r="D223" s="2" t="s">
        <v>40</v>
      </c>
      <c r="E223" s="3" t="n">
        <v>45901</v>
      </c>
      <c r="F223" s="2" t="n">
        <v>20</v>
      </c>
      <c r="G223" s="4" t="n">
        <v>74.99</v>
      </c>
      <c r="H223" s="4" t="n">
        <v>40.89</v>
      </c>
      <c r="I223" s="4" t="n">
        <f aca="false">F223*G223</f>
        <v>1499.8</v>
      </c>
      <c r="J223" s="4" t="n">
        <f aca="false">F223*H223</f>
        <v>817.8</v>
      </c>
      <c r="K223" s="4" t="n">
        <f aca="false">I223-J223</f>
        <v>682</v>
      </c>
      <c r="L223" s="5" t="n">
        <f aca="false">IFERROR(K223/I223,0)</f>
        <v>0.45472729697293</v>
      </c>
    </row>
    <row r="224" customFormat="false" ht="15" hidden="false" customHeight="false" outlineLevel="0" collapsed="false">
      <c r="A224" s="2" t="s">
        <v>12</v>
      </c>
      <c r="B224" s="2" t="s">
        <v>13</v>
      </c>
      <c r="C224" s="2" t="s">
        <v>38</v>
      </c>
      <c r="D224" s="2" t="s">
        <v>41</v>
      </c>
      <c r="E224" s="3" t="n">
        <v>45901</v>
      </c>
      <c r="F224" s="2" t="n">
        <v>22</v>
      </c>
      <c r="G224" s="4" t="n">
        <v>19.99</v>
      </c>
      <c r="H224" s="4" t="n">
        <v>9.35</v>
      </c>
      <c r="I224" s="4" t="n">
        <f aca="false">F224*G224</f>
        <v>439.78</v>
      </c>
      <c r="J224" s="4" t="n">
        <f aca="false">F224*H224</f>
        <v>205.7</v>
      </c>
      <c r="K224" s="4" t="n">
        <f aca="false">I224-J224</f>
        <v>234.08</v>
      </c>
      <c r="L224" s="5" t="n">
        <f aca="false">IFERROR(K224/I224,0)</f>
        <v>0.532266133066533</v>
      </c>
    </row>
    <row r="225" customFormat="false" ht="15" hidden="false" customHeight="false" outlineLevel="0" collapsed="false">
      <c r="A225" s="2" t="s">
        <v>12</v>
      </c>
      <c r="B225" s="2" t="s">
        <v>13</v>
      </c>
      <c r="C225" s="2" t="s">
        <v>38</v>
      </c>
      <c r="D225" s="2" t="s">
        <v>42</v>
      </c>
      <c r="E225" s="3" t="n">
        <v>45901</v>
      </c>
      <c r="F225" s="2" t="n">
        <v>17</v>
      </c>
      <c r="G225" s="4" t="n">
        <v>16.99</v>
      </c>
      <c r="H225" s="4" t="n">
        <v>8.73</v>
      </c>
      <c r="I225" s="4" t="n">
        <f aca="false">F225*G225</f>
        <v>288.83</v>
      </c>
      <c r="J225" s="4" t="n">
        <f aca="false">F225*H225</f>
        <v>148.41</v>
      </c>
      <c r="K225" s="4" t="n">
        <f aca="false">I225-J225</f>
        <v>140.42</v>
      </c>
      <c r="L225" s="5" t="n">
        <f aca="false">IFERROR(K225/I225,0)</f>
        <v>0.486168334314303</v>
      </c>
    </row>
    <row r="226" customFormat="false" ht="15" hidden="false" customHeight="false" outlineLevel="0" collapsed="false">
      <c r="A226" s="2" t="s">
        <v>12</v>
      </c>
      <c r="B226" s="2" t="s">
        <v>13</v>
      </c>
      <c r="C226" s="2" t="s">
        <v>38</v>
      </c>
      <c r="D226" s="2" t="s">
        <v>43</v>
      </c>
      <c r="E226" s="3" t="n">
        <v>45901</v>
      </c>
      <c r="F226" s="2" t="n">
        <v>17</v>
      </c>
      <c r="G226" s="4" t="n">
        <v>24.99</v>
      </c>
      <c r="H226" s="4" t="n">
        <v>13.3</v>
      </c>
      <c r="I226" s="4" t="n">
        <f aca="false">F226*G226</f>
        <v>424.83</v>
      </c>
      <c r="J226" s="4" t="n">
        <f aca="false">F226*H226</f>
        <v>226.1</v>
      </c>
      <c r="K226" s="4" t="n">
        <f aca="false">I226-J226</f>
        <v>198.73</v>
      </c>
      <c r="L226" s="5" t="n">
        <f aca="false">IFERROR(K226/I226,0)</f>
        <v>0.467787114845938</v>
      </c>
    </row>
    <row r="227" customFormat="false" ht="15" hidden="false" customHeight="false" outlineLevel="0" collapsed="false">
      <c r="A227" s="2" t="s">
        <v>44</v>
      </c>
      <c r="B227" s="2" t="s">
        <v>45</v>
      </c>
      <c r="C227" s="2" t="s">
        <v>14</v>
      </c>
      <c r="D227" s="2" t="s">
        <v>15</v>
      </c>
      <c r="E227" s="3" t="n">
        <v>45901</v>
      </c>
      <c r="F227" s="2" t="n">
        <v>30</v>
      </c>
      <c r="G227" s="4" t="n">
        <v>69.99</v>
      </c>
      <c r="H227" s="4" t="n">
        <v>33.35</v>
      </c>
      <c r="I227" s="4" t="n">
        <f aca="false">F227*G227</f>
        <v>2099.7</v>
      </c>
      <c r="J227" s="4" t="n">
        <f aca="false">F227*H227</f>
        <v>1000.5</v>
      </c>
      <c r="K227" s="4" t="n">
        <f aca="false">I227-J227</f>
        <v>1099.2</v>
      </c>
      <c r="L227" s="5" t="n">
        <f aca="false">IFERROR(K227/I227,0)</f>
        <v>0.523503357622517</v>
      </c>
    </row>
    <row r="228" customFormat="false" ht="15" hidden="false" customHeight="false" outlineLevel="0" collapsed="false">
      <c r="A228" s="2" t="s">
        <v>44</v>
      </c>
      <c r="B228" s="2" t="s">
        <v>45</v>
      </c>
      <c r="C228" s="2" t="s">
        <v>14</v>
      </c>
      <c r="D228" s="2" t="s">
        <v>16</v>
      </c>
      <c r="E228" s="3" t="n">
        <v>45901</v>
      </c>
      <c r="F228" s="2" t="n">
        <v>21</v>
      </c>
      <c r="G228" s="4" t="n">
        <v>19.99</v>
      </c>
      <c r="H228" s="4" t="n">
        <v>9.08</v>
      </c>
      <c r="I228" s="4" t="n">
        <f aca="false">F228*G228</f>
        <v>419.79</v>
      </c>
      <c r="J228" s="4" t="n">
        <f aca="false">F228*H228</f>
        <v>190.68</v>
      </c>
      <c r="K228" s="4" t="n">
        <f aca="false">I228-J228</f>
        <v>229.11</v>
      </c>
      <c r="L228" s="5" t="n">
        <f aca="false">IFERROR(K228/I228,0)</f>
        <v>0.545772886443222</v>
      </c>
    </row>
    <row r="229" customFormat="false" ht="15" hidden="false" customHeight="false" outlineLevel="0" collapsed="false">
      <c r="A229" s="2" t="s">
        <v>44</v>
      </c>
      <c r="B229" s="2" t="s">
        <v>45</v>
      </c>
      <c r="C229" s="2" t="s">
        <v>14</v>
      </c>
      <c r="D229" s="2" t="s">
        <v>17</v>
      </c>
      <c r="E229" s="3" t="n">
        <v>45901</v>
      </c>
      <c r="F229" s="2" t="n">
        <v>17</v>
      </c>
      <c r="G229" s="4" t="n">
        <v>79.99</v>
      </c>
      <c r="H229" s="4" t="n">
        <v>39.44</v>
      </c>
      <c r="I229" s="4" t="n">
        <f aca="false">F229*G229</f>
        <v>1359.83</v>
      </c>
      <c r="J229" s="4" t="n">
        <f aca="false">F229*H229</f>
        <v>670.48</v>
      </c>
      <c r="K229" s="4" t="n">
        <f aca="false">I229-J229</f>
        <v>689.35</v>
      </c>
      <c r="L229" s="5" t="n">
        <f aca="false">IFERROR(K229/I229,0)</f>
        <v>0.506938367295912</v>
      </c>
    </row>
    <row r="230" customFormat="false" ht="15" hidden="false" customHeight="false" outlineLevel="0" collapsed="false">
      <c r="A230" s="2" t="s">
        <v>44</v>
      </c>
      <c r="B230" s="2" t="s">
        <v>45</v>
      </c>
      <c r="C230" s="2" t="s">
        <v>14</v>
      </c>
      <c r="D230" s="2" t="s">
        <v>18</v>
      </c>
      <c r="E230" s="3" t="n">
        <v>45901</v>
      </c>
      <c r="F230" s="2" t="n">
        <v>21</v>
      </c>
      <c r="G230" s="4" t="n">
        <v>34.99</v>
      </c>
      <c r="H230" s="4" t="n">
        <v>14.87</v>
      </c>
      <c r="I230" s="4" t="n">
        <f aca="false">F230*G230</f>
        <v>734.79</v>
      </c>
      <c r="J230" s="4" t="n">
        <f aca="false">F230*H230</f>
        <v>312.27</v>
      </c>
      <c r="K230" s="4" t="n">
        <f aca="false">I230-J230</f>
        <v>422.52</v>
      </c>
      <c r="L230" s="5" t="n">
        <f aca="false">IFERROR(K230/I230,0)</f>
        <v>0.575021434695627</v>
      </c>
    </row>
    <row r="231" customFormat="false" ht="15" hidden="false" customHeight="false" outlineLevel="0" collapsed="false">
      <c r="A231" s="2" t="s">
        <v>44</v>
      </c>
      <c r="B231" s="2" t="s">
        <v>45</v>
      </c>
      <c r="C231" s="2" t="s">
        <v>14</v>
      </c>
      <c r="D231" s="2" t="s">
        <v>19</v>
      </c>
      <c r="E231" s="3" t="n">
        <v>45901</v>
      </c>
      <c r="F231" s="2" t="n">
        <v>16</v>
      </c>
      <c r="G231" s="4" t="n">
        <v>54.99</v>
      </c>
      <c r="H231" s="4" t="n">
        <v>24.63</v>
      </c>
      <c r="I231" s="4" t="n">
        <f aca="false">F231*G231</f>
        <v>879.84</v>
      </c>
      <c r="J231" s="4" t="n">
        <f aca="false">F231*H231</f>
        <v>394.08</v>
      </c>
      <c r="K231" s="4" t="n">
        <f aca="false">I231-J231</f>
        <v>485.76</v>
      </c>
      <c r="L231" s="5" t="n">
        <f aca="false">IFERROR(K231/I231,0)</f>
        <v>0.552100381887616</v>
      </c>
    </row>
    <row r="232" customFormat="false" ht="15" hidden="false" customHeight="false" outlineLevel="0" collapsed="false">
      <c r="A232" s="2" t="s">
        <v>44</v>
      </c>
      <c r="B232" s="2" t="s">
        <v>45</v>
      </c>
      <c r="C232" s="2" t="s">
        <v>20</v>
      </c>
      <c r="D232" s="2" t="s">
        <v>21</v>
      </c>
      <c r="E232" s="3" t="n">
        <v>45901</v>
      </c>
      <c r="F232" s="2" t="n">
        <v>17</v>
      </c>
      <c r="G232" s="4" t="n">
        <v>44.99</v>
      </c>
      <c r="H232" s="4" t="n">
        <v>20.49</v>
      </c>
      <c r="I232" s="4" t="n">
        <f aca="false">F232*G232</f>
        <v>764.83</v>
      </c>
      <c r="J232" s="4" t="n">
        <f aca="false">F232*H232</f>
        <v>348.33</v>
      </c>
      <c r="K232" s="4" t="n">
        <f aca="false">I232-J232</f>
        <v>416.5</v>
      </c>
      <c r="L232" s="5" t="n">
        <f aca="false">IFERROR(K232/I232,0)</f>
        <v>0.544565458990887</v>
      </c>
    </row>
    <row r="233" customFormat="false" ht="15" hidden="false" customHeight="false" outlineLevel="0" collapsed="false">
      <c r="A233" s="2" t="s">
        <v>44</v>
      </c>
      <c r="B233" s="2" t="s">
        <v>45</v>
      </c>
      <c r="C233" s="2" t="s">
        <v>20</v>
      </c>
      <c r="D233" s="2" t="s">
        <v>22</v>
      </c>
      <c r="E233" s="3" t="n">
        <v>45901</v>
      </c>
      <c r="F233" s="2" t="n">
        <v>19</v>
      </c>
      <c r="G233" s="4" t="n">
        <v>14.99</v>
      </c>
      <c r="H233" s="4" t="n">
        <v>5.58</v>
      </c>
      <c r="I233" s="4" t="n">
        <f aca="false">F233*G233</f>
        <v>284.81</v>
      </c>
      <c r="J233" s="4" t="n">
        <f aca="false">F233*H233</f>
        <v>106.02</v>
      </c>
      <c r="K233" s="4" t="n">
        <f aca="false">I233-J233</f>
        <v>178.79</v>
      </c>
      <c r="L233" s="5" t="n">
        <f aca="false">IFERROR(K233/I233,0)</f>
        <v>0.627751834556371</v>
      </c>
    </row>
    <row r="234" customFormat="false" ht="15" hidden="false" customHeight="false" outlineLevel="0" collapsed="false">
      <c r="A234" s="2" t="s">
        <v>44</v>
      </c>
      <c r="B234" s="2" t="s">
        <v>45</v>
      </c>
      <c r="C234" s="2" t="s">
        <v>20</v>
      </c>
      <c r="D234" s="2" t="s">
        <v>23</v>
      </c>
      <c r="E234" s="3" t="n">
        <v>45901</v>
      </c>
      <c r="F234" s="2" t="n">
        <v>9</v>
      </c>
      <c r="G234" s="4" t="n">
        <v>39.99</v>
      </c>
      <c r="H234" s="4" t="n">
        <v>16.51</v>
      </c>
      <c r="I234" s="4" t="n">
        <f aca="false">F234*G234</f>
        <v>359.91</v>
      </c>
      <c r="J234" s="4" t="n">
        <f aca="false">F234*H234</f>
        <v>148.59</v>
      </c>
      <c r="K234" s="4" t="n">
        <f aca="false">I234-J234</f>
        <v>211.32</v>
      </c>
      <c r="L234" s="5" t="n">
        <f aca="false">IFERROR(K234/I234,0)</f>
        <v>0.587146786696674</v>
      </c>
    </row>
    <row r="235" customFormat="false" ht="15" hidden="false" customHeight="false" outlineLevel="0" collapsed="false">
      <c r="A235" s="2" t="s">
        <v>44</v>
      </c>
      <c r="B235" s="2" t="s">
        <v>45</v>
      </c>
      <c r="C235" s="2" t="s">
        <v>20</v>
      </c>
      <c r="D235" s="2" t="s">
        <v>24</v>
      </c>
      <c r="E235" s="3" t="n">
        <v>45901</v>
      </c>
      <c r="F235" s="2" t="n">
        <v>19</v>
      </c>
      <c r="G235" s="4" t="n">
        <v>18.99</v>
      </c>
      <c r="H235" s="4" t="n">
        <v>7.76</v>
      </c>
      <c r="I235" s="4" t="n">
        <f aca="false">F235*G235</f>
        <v>360.81</v>
      </c>
      <c r="J235" s="4" t="n">
        <f aca="false">F235*H235</f>
        <v>147.44</v>
      </c>
      <c r="K235" s="4" t="n">
        <f aca="false">I235-J235</f>
        <v>213.37</v>
      </c>
      <c r="L235" s="5" t="n">
        <f aca="false">IFERROR(K235/I235,0)</f>
        <v>0.591363875724065</v>
      </c>
    </row>
    <row r="236" customFormat="false" ht="15" hidden="false" customHeight="false" outlineLevel="0" collapsed="false">
      <c r="A236" s="2" t="s">
        <v>44</v>
      </c>
      <c r="B236" s="2" t="s">
        <v>45</v>
      </c>
      <c r="C236" s="2" t="s">
        <v>20</v>
      </c>
      <c r="D236" s="2" t="s">
        <v>25</v>
      </c>
      <c r="E236" s="3" t="n">
        <v>45901</v>
      </c>
      <c r="F236" s="2" t="n">
        <v>13</v>
      </c>
      <c r="G236" s="4" t="n">
        <v>42.99</v>
      </c>
      <c r="H236" s="4" t="n">
        <v>15.57</v>
      </c>
      <c r="I236" s="4" t="n">
        <f aca="false">F236*G236</f>
        <v>558.87</v>
      </c>
      <c r="J236" s="4" t="n">
        <f aca="false">F236*H236</f>
        <v>202.41</v>
      </c>
      <c r="K236" s="4" t="n">
        <f aca="false">I236-J236</f>
        <v>356.46</v>
      </c>
      <c r="L236" s="5" t="n">
        <f aca="false">IFERROR(K236/I236,0)</f>
        <v>0.637822749476623</v>
      </c>
    </row>
    <row r="237" customFormat="false" ht="15" hidden="false" customHeight="false" outlineLevel="0" collapsed="false">
      <c r="A237" s="2" t="s">
        <v>44</v>
      </c>
      <c r="B237" s="2" t="s">
        <v>45</v>
      </c>
      <c r="C237" s="2" t="s">
        <v>26</v>
      </c>
      <c r="D237" s="2" t="s">
        <v>27</v>
      </c>
      <c r="E237" s="3" t="n">
        <v>45901</v>
      </c>
      <c r="F237" s="2" t="n">
        <v>24</v>
      </c>
      <c r="G237" s="4" t="n">
        <v>44.99</v>
      </c>
      <c r="H237" s="4" t="n">
        <v>28.57</v>
      </c>
      <c r="I237" s="4" t="n">
        <f aca="false">F237*G237</f>
        <v>1079.76</v>
      </c>
      <c r="J237" s="4" t="n">
        <f aca="false">F237*H237</f>
        <v>685.68</v>
      </c>
      <c r="K237" s="4" t="n">
        <f aca="false">I237-J237</f>
        <v>394.08</v>
      </c>
      <c r="L237" s="5" t="n">
        <f aca="false">IFERROR(K237/I237,0)</f>
        <v>0.364969993331852</v>
      </c>
    </row>
    <row r="238" customFormat="false" ht="15" hidden="false" customHeight="false" outlineLevel="0" collapsed="false">
      <c r="A238" s="2" t="s">
        <v>44</v>
      </c>
      <c r="B238" s="2" t="s">
        <v>45</v>
      </c>
      <c r="C238" s="2" t="s">
        <v>26</v>
      </c>
      <c r="D238" s="2" t="s">
        <v>28</v>
      </c>
      <c r="E238" s="3" t="n">
        <v>45901</v>
      </c>
      <c r="F238" s="2" t="n">
        <v>19</v>
      </c>
      <c r="G238" s="4" t="n">
        <v>34.99</v>
      </c>
      <c r="H238" s="4" t="n">
        <v>23.06</v>
      </c>
      <c r="I238" s="4" t="n">
        <f aca="false">F238*G238</f>
        <v>664.81</v>
      </c>
      <c r="J238" s="4" t="n">
        <f aca="false">F238*H238</f>
        <v>438.14</v>
      </c>
      <c r="K238" s="4" t="n">
        <f aca="false">I238-J238</f>
        <v>226.67</v>
      </c>
      <c r="L238" s="5" t="n">
        <f aca="false">IFERROR(K238/I238,0)</f>
        <v>0.34095455844527</v>
      </c>
    </row>
    <row r="239" customFormat="false" ht="15" hidden="false" customHeight="false" outlineLevel="0" collapsed="false">
      <c r="A239" s="2" t="s">
        <v>44</v>
      </c>
      <c r="B239" s="2" t="s">
        <v>45</v>
      </c>
      <c r="C239" s="2" t="s">
        <v>26</v>
      </c>
      <c r="D239" s="2" t="s">
        <v>29</v>
      </c>
      <c r="E239" s="3" t="n">
        <v>45901</v>
      </c>
      <c r="F239" s="2" t="n">
        <v>15</v>
      </c>
      <c r="G239" s="4" t="n">
        <v>119.99</v>
      </c>
      <c r="H239" s="4" t="n">
        <v>82.35</v>
      </c>
      <c r="I239" s="4" t="n">
        <f aca="false">F239*G239</f>
        <v>1799.85</v>
      </c>
      <c r="J239" s="4" t="n">
        <f aca="false">F239*H239</f>
        <v>1235.25</v>
      </c>
      <c r="K239" s="4" t="n">
        <f aca="false">I239-J239</f>
        <v>564.6</v>
      </c>
      <c r="L239" s="5" t="n">
        <f aca="false">IFERROR(K239/I239,0)</f>
        <v>0.313692807733978</v>
      </c>
    </row>
    <row r="240" customFormat="false" ht="15" hidden="false" customHeight="false" outlineLevel="0" collapsed="false">
      <c r="A240" s="2" t="s">
        <v>44</v>
      </c>
      <c r="B240" s="2" t="s">
        <v>45</v>
      </c>
      <c r="C240" s="2" t="s">
        <v>26</v>
      </c>
      <c r="D240" s="2" t="s">
        <v>30</v>
      </c>
      <c r="E240" s="3" t="n">
        <v>45901</v>
      </c>
      <c r="F240" s="2" t="n">
        <v>26</v>
      </c>
      <c r="G240" s="4" t="n">
        <v>24.99</v>
      </c>
      <c r="H240" s="4" t="n">
        <v>14.6</v>
      </c>
      <c r="I240" s="4" t="n">
        <f aca="false">F240*G240</f>
        <v>649.74</v>
      </c>
      <c r="J240" s="4" t="n">
        <f aca="false">F240*H240</f>
        <v>379.6</v>
      </c>
      <c r="K240" s="4" t="n">
        <f aca="false">I240-J240</f>
        <v>270.14</v>
      </c>
      <c r="L240" s="5" t="n">
        <f aca="false">IFERROR(K240/I240,0)</f>
        <v>0.415766306522609</v>
      </c>
    </row>
    <row r="241" customFormat="false" ht="15" hidden="false" customHeight="false" outlineLevel="0" collapsed="false">
      <c r="A241" s="2" t="s">
        <v>44</v>
      </c>
      <c r="B241" s="2" t="s">
        <v>45</v>
      </c>
      <c r="C241" s="2" t="s">
        <v>26</v>
      </c>
      <c r="D241" s="2" t="s">
        <v>31</v>
      </c>
      <c r="E241" s="3" t="n">
        <v>45901</v>
      </c>
      <c r="F241" s="2" t="n">
        <v>9</v>
      </c>
      <c r="G241" s="4" t="n">
        <v>59.99</v>
      </c>
      <c r="H241" s="4" t="n">
        <v>40.01</v>
      </c>
      <c r="I241" s="4" t="n">
        <f aca="false">F241*G241</f>
        <v>539.91</v>
      </c>
      <c r="J241" s="4" t="n">
        <f aca="false">F241*H241</f>
        <v>360.09</v>
      </c>
      <c r="K241" s="4" t="n">
        <f aca="false">I241-J241</f>
        <v>179.82</v>
      </c>
      <c r="L241" s="5" t="n">
        <f aca="false">IFERROR(K241/I241,0)</f>
        <v>0.333055509251542</v>
      </c>
    </row>
    <row r="242" customFormat="false" ht="15" hidden="false" customHeight="false" outlineLevel="0" collapsed="false">
      <c r="A242" s="2" t="s">
        <v>44</v>
      </c>
      <c r="B242" s="2" t="s">
        <v>45</v>
      </c>
      <c r="C242" s="2" t="s">
        <v>32</v>
      </c>
      <c r="D242" s="2" t="s">
        <v>33</v>
      </c>
      <c r="E242" s="3" t="n">
        <v>45901</v>
      </c>
      <c r="F242" s="2" t="n">
        <v>20</v>
      </c>
      <c r="G242" s="4" t="n">
        <v>49.99</v>
      </c>
      <c r="H242" s="4" t="n">
        <v>36.16</v>
      </c>
      <c r="I242" s="4" t="n">
        <f aca="false">F242*G242</f>
        <v>999.8</v>
      </c>
      <c r="J242" s="4" t="n">
        <f aca="false">F242*H242</f>
        <v>723.2</v>
      </c>
      <c r="K242" s="4" t="n">
        <f aca="false">I242-J242</f>
        <v>276.6</v>
      </c>
      <c r="L242" s="5" t="n">
        <f aca="false">IFERROR(K242/I242,0)</f>
        <v>0.276655331066213</v>
      </c>
    </row>
    <row r="243" customFormat="false" ht="15" hidden="false" customHeight="false" outlineLevel="0" collapsed="false">
      <c r="A243" s="2" t="s">
        <v>44</v>
      </c>
      <c r="B243" s="2" t="s">
        <v>45</v>
      </c>
      <c r="C243" s="2" t="s">
        <v>32</v>
      </c>
      <c r="D243" s="2" t="s">
        <v>34</v>
      </c>
      <c r="E243" s="3" t="n">
        <v>45901</v>
      </c>
      <c r="F243" s="2" t="n">
        <v>23</v>
      </c>
      <c r="G243" s="4" t="n">
        <v>27.99</v>
      </c>
      <c r="H243" s="4" t="n">
        <v>20.22</v>
      </c>
      <c r="I243" s="4" t="n">
        <f aca="false">F243*G243</f>
        <v>643.77</v>
      </c>
      <c r="J243" s="4" t="n">
        <f aca="false">F243*H243</f>
        <v>465.06</v>
      </c>
      <c r="K243" s="4" t="n">
        <f aca="false">I243-J243</f>
        <v>178.71</v>
      </c>
      <c r="L243" s="5" t="n">
        <f aca="false">IFERROR(K243/I243,0)</f>
        <v>0.277599142550911</v>
      </c>
    </row>
    <row r="244" customFormat="false" ht="15" hidden="false" customHeight="false" outlineLevel="0" collapsed="false">
      <c r="A244" s="2" t="s">
        <v>44</v>
      </c>
      <c r="B244" s="2" t="s">
        <v>45</v>
      </c>
      <c r="C244" s="2" t="s">
        <v>32</v>
      </c>
      <c r="D244" s="2" t="s">
        <v>35</v>
      </c>
      <c r="E244" s="3" t="n">
        <v>45901</v>
      </c>
      <c r="F244" s="2" t="n">
        <v>21</v>
      </c>
      <c r="G244" s="4" t="n">
        <v>64.99</v>
      </c>
      <c r="H244" s="4" t="n">
        <v>44.84</v>
      </c>
      <c r="I244" s="4" t="n">
        <f aca="false">F244*G244</f>
        <v>1364.79</v>
      </c>
      <c r="J244" s="4" t="n">
        <f aca="false">F244*H244</f>
        <v>941.64</v>
      </c>
      <c r="K244" s="4" t="n">
        <f aca="false">I244-J244</f>
        <v>423.15</v>
      </c>
      <c r="L244" s="5" t="n">
        <f aca="false">IFERROR(K244/I244,0)</f>
        <v>0.310047699646099</v>
      </c>
    </row>
    <row r="245" customFormat="false" ht="15" hidden="false" customHeight="false" outlineLevel="0" collapsed="false">
      <c r="A245" s="2" t="s">
        <v>44</v>
      </c>
      <c r="B245" s="2" t="s">
        <v>45</v>
      </c>
      <c r="C245" s="2" t="s">
        <v>32</v>
      </c>
      <c r="D245" s="2" t="s">
        <v>36</v>
      </c>
      <c r="E245" s="3" t="n">
        <v>45901</v>
      </c>
      <c r="F245" s="2" t="n">
        <v>28</v>
      </c>
      <c r="G245" s="4" t="n">
        <v>22.99</v>
      </c>
      <c r="H245" s="4" t="n">
        <v>16.6</v>
      </c>
      <c r="I245" s="4" t="n">
        <f aca="false">F245*G245</f>
        <v>643.72</v>
      </c>
      <c r="J245" s="4" t="n">
        <f aca="false">F245*H245</f>
        <v>464.8</v>
      </c>
      <c r="K245" s="4" t="n">
        <f aca="false">I245-J245</f>
        <v>178.92</v>
      </c>
      <c r="L245" s="5" t="n">
        <f aca="false">IFERROR(K245/I245,0)</f>
        <v>0.277946933449326</v>
      </c>
    </row>
    <row r="246" customFormat="false" ht="15" hidden="false" customHeight="false" outlineLevel="0" collapsed="false">
      <c r="A246" s="2" t="s">
        <v>44</v>
      </c>
      <c r="B246" s="2" t="s">
        <v>45</v>
      </c>
      <c r="C246" s="2" t="s">
        <v>32</v>
      </c>
      <c r="D246" s="2" t="s">
        <v>37</v>
      </c>
      <c r="E246" s="3" t="n">
        <v>45901</v>
      </c>
      <c r="F246" s="2" t="n">
        <v>15</v>
      </c>
      <c r="G246" s="4" t="n">
        <v>29.99</v>
      </c>
      <c r="H246" s="4" t="n">
        <v>20.83</v>
      </c>
      <c r="I246" s="4" t="n">
        <f aca="false">F246*G246</f>
        <v>449.85</v>
      </c>
      <c r="J246" s="4" t="n">
        <f aca="false">F246*H246</f>
        <v>312.45</v>
      </c>
      <c r="K246" s="4" t="n">
        <f aca="false">I246-J246</f>
        <v>137.4</v>
      </c>
      <c r="L246" s="5" t="n">
        <f aca="false">IFERROR(K246/I246,0)</f>
        <v>0.305435145048349</v>
      </c>
    </row>
    <row r="247" customFormat="false" ht="15" hidden="false" customHeight="false" outlineLevel="0" collapsed="false">
      <c r="A247" s="2" t="s">
        <v>44</v>
      </c>
      <c r="B247" s="2" t="s">
        <v>45</v>
      </c>
      <c r="C247" s="2" t="s">
        <v>38</v>
      </c>
      <c r="D247" s="2" t="s">
        <v>39</v>
      </c>
      <c r="E247" s="3" t="n">
        <v>45901</v>
      </c>
      <c r="F247" s="2" t="n">
        <v>20</v>
      </c>
      <c r="G247" s="4" t="n">
        <v>129.99</v>
      </c>
      <c r="H247" s="4" t="n">
        <v>74.82</v>
      </c>
      <c r="I247" s="4" t="n">
        <f aca="false">F247*G247</f>
        <v>2599.8</v>
      </c>
      <c r="J247" s="4" t="n">
        <f aca="false">F247*H247</f>
        <v>1496.4</v>
      </c>
      <c r="K247" s="4" t="n">
        <f aca="false">I247-J247</f>
        <v>1103.4</v>
      </c>
      <c r="L247" s="5" t="n">
        <f aca="false">IFERROR(K247/I247,0)</f>
        <v>0.424417262866374</v>
      </c>
    </row>
    <row r="248" customFormat="false" ht="15" hidden="false" customHeight="false" outlineLevel="0" collapsed="false">
      <c r="A248" s="2" t="s">
        <v>44</v>
      </c>
      <c r="B248" s="2" t="s">
        <v>45</v>
      </c>
      <c r="C248" s="2" t="s">
        <v>38</v>
      </c>
      <c r="D248" s="2" t="s">
        <v>40</v>
      </c>
      <c r="E248" s="3" t="n">
        <v>45901</v>
      </c>
      <c r="F248" s="2" t="n">
        <v>9</v>
      </c>
      <c r="G248" s="4" t="n">
        <v>74.99</v>
      </c>
      <c r="H248" s="4" t="n">
        <v>42.44</v>
      </c>
      <c r="I248" s="4" t="n">
        <f aca="false">F248*G248</f>
        <v>674.91</v>
      </c>
      <c r="J248" s="4" t="n">
        <f aca="false">F248*H248</f>
        <v>381.96</v>
      </c>
      <c r="K248" s="4" t="n">
        <f aca="false">I248-J248</f>
        <v>292.95</v>
      </c>
      <c r="L248" s="5" t="n">
        <f aca="false">IFERROR(K248/I248,0)</f>
        <v>0.434057874383251</v>
      </c>
    </row>
    <row r="249" customFormat="false" ht="15" hidden="false" customHeight="false" outlineLevel="0" collapsed="false">
      <c r="A249" s="2" t="s">
        <v>44</v>
      </c>
      <c r="B249" s="2" t="s">
        <v>45</v>
      </c>
      <c r="C249" s="2" t="s">
        <v>38</v>
      </c>
      <c r="D249" s="2" t="s">
        <v>41</v>
      </c>
      <c r="E249" s="3" t="n">
        <v>45901</v>
      </c>
      <c r="F249" s="2" t="n">
        <v>8</v>
      </c>
      <c r="G249" s="4" t="n">
        <v>19.99</v>
      </c>
      <c r="H249" s="4" t="n">
        <v>9.61</v>
      </c>
      <c r="I249" s="4" t="n">
        <f aca="false">F249*G249</f>
        <v>159.92</v>
      </c>
      <c r="J249" s="4" t="n">
        <f aca="false">F249*H249</f>
        <v>76.88</v>
      </c>
      <c r="K249" s="4" t="n">
        <f aca="false">I249-J249</f>
        <v>83.04</v>
      </c>
      <c r="L249" s="5" t="n">
        <f aca="false">IFERROR(K249/I249,0)</f>
        <v>0.519259629814908</v>
      </c>
    </row>
    <row r="250" customFormat="false" ht="15" hidden="false" customHeight="false" outlineLevel="0" collapsed="false">
      <c r="A250" s="2" t="s">
        <v>44</v>
      </c>
      <c r="B250" s="2" t="s">
        <v>45</v>
      </c>
      <c r="C250" s="2" t="s">
        <v>38</v>
      </c>
      <c r="D250" s="2" t="s">
        <v>42</v>
      </c>
      <c r="E250" s="3" t="n">
        <v>45901</v>
      </c>
      <c r="F250" s="2" t="n">
        <v>20</v>
      </c>
      <c r="G250" s="4" t="n">
        <v>16.99</v>
      </c>
      <c r="H250" s="4" t="n">
        <v>8.39</v>
      </c>
      <c r="I250" s="4" t="n">
        <f aca="false">F250*G250</f>
        <v>339.8</v>
      </c>
      <c r="J250" s="4" t="n">
        <f aca="false">F250*H250</f>
        <v>167.8</v>
      </c>
      <c r="K250" s="4" t="n">
        <f aca="false">I250-J250</f>
        <v>172</v>
      </c>
      <c r="L250" s="5" t="n">
        <f aca="false">IFERROR(K250/I250,0)</f>
        <v>0.506180105944673</v>
      </c>
    </row>
    <row r="251" customFormat="false" ht="15" hidden="false" customHeight="false" outlineLevel="0" collapsed="false">
      <c r="A251" s="2" t="s">
        <v>44</v>
      </c>
      <c r="B251" s="2" t="s">
        <v>45</v>
      </c>
      <c r="C251" s="2" t="s">
        <v>38</v>
      </c>
      <c r="D251" s="2" t="s">
        <v>43</v>
      </c>
      <c r="E251" s="3" t="n">
        <v>45901</v>
      </c>
      <c r="F251" s="2" t="n">
        <v>20</v>
      </c>
      <c r="G251" s="4" t="n">
        <v>24.99</v>
      </c>
      <c r="H251" s="4" t="n">
        <v>13.02</v>
      </c>
      <c r="I251" s="4" t="n">
        <f aca="false">F251*G251</f>
        <v>499.8</v>
      </c>
      <c r="J251" s="4" t="n">
        <f aca="false">F251*H251</f>
        <v>260.4</v>
      </c>
      <c r="K251" s="4" t="n">
        <f aca="false">I251-J251</f>
        <v>239.4</v>
      </c>
      <c r="L251" s="5" t="n">
        <f aca="false">IFERROR(K251/I251,0)</f>
        <v>0.478991596638656</v>
      </c>
    </row>
    <row r="252" customFormat="false" ht="15" hidden="false" customHeight="false" outlineLevel="0" collapsed="false">
      <c r="A252" s="2" t="s">
        <v>44</v>
      </c>
      <c r="B252" s="2" t="s">
        <v>46</v>
      </c>
      <c r="C252" s="2" t="s">
        <v>14</v>
      </c>
      <c r="D252" s="2" t="s">
        <v>15</v>
      </c>
      <c r="E252" s="3" t="n">
        <v>45901</v>
      </c>
      <c r="F252" s="2" t="n">
        <v>8</v>
      </c>
      <c r="G252" s="4" t="n">
        <v>69.99</v>
      </c>
      <c r="H252" s="4" t="n">
        <v>34.49</v>
      </c>
      <c r="I252" s="4" t="n">
        <f aca="false">F252*G252</f>
        <v>559.92</v>
      </c>
      <c r="J252" s="4" t="n">
        <f aca="false">F252*H252</f>
        <v>275.92</v>
      </c>
      <c r="K252" s="4" t="n">
        <f aca="false">I252-J252</f>
        <v>284</v>
      </c>
      <c r="L252" s="5" t="n">
        <f aca="false">IFERROR(K252/I252,0)</f>
        <v>0.507215316473782</v>
      </c>
    </row>
    <row r="253" customFormat="false" ht="15" hidden="false" customHeight="false" outlineLevel="0" collapsed="false">
      <c r="A253" s="2" t="s">
        <v>44</v>
      </c>
      <c r="B253" s="2" t="s">
        <v>46</v>
      </c>
      <c r="C253" s="2" t="s">
        <v>14</v>
      </c>
      <c r="D253" s="2" t="s">
        <v>16</v>
      </c>
      <c r="E253" s="3" t="n">
        <v>45901</v>
      </c>
      <c r="F253" s="2" t="n">
        <v>13</v>
      </c>
      <c r="G253" s="4" t="n">
        <v>19.99</v>
      </c>
      <c r="H253" s="4" t="n">
        <v>8.95</v>
      </c>
      <c r="I253" s="4" t="n">
        <f aca="false">F253*G253</f>
        <v>259.87</v>
      </c>
      <c r="J253" s="4" t="n">
        <f aca="false">F253*H253</f>
        <v>116.35</v>
      </c>
      <c r="K253" s="4" t="n">
        <f aca="false">I253-J253</f>
        <v>143.52</v>
      </c>
      <c r="L253" s="5" t="n">
        <f aca="false">IFERROR(K253/I253,0)</f>
        <v>0.552276138069035</v>
      </c>
    </row>
    <row r="254" customFormat="false" ht="15" hidden="false" customHeight="false" outlineLevel="0" collapsed="false">
      <c r="A254" s="2" t="s">
        <v>44</v>
      </c>
      <c r="B254" s="2" t="s">
        <v>46</v>
      </c>
      <c r="C254" s="2" t="s">
        <v>14</v>
      </c>
      <c r="D254" s="2" t="s">
        <v>17</v>
      </c>
      <c r="E254" s="3" t="n">
        <v>45901</v>
      </c>
      <c r="F254" s="2" t="n">
        <v>8</v>
      </c>
      <c r="G254" s="4" t="n">
        <v>79.99</v>
      </c>
      <c r="H254" s="4" t="n">
        <v>40.38</v>
      </c>
      <c r="I254" s="4" t="n">
        <f aca="false">F254*G254</f>
        <v>639.92</v>
      </c>
      <c r="J254" s="4" t="n">
        <f aca="false">F254*H254</f>
        <v>323.04</v>
      </c>
      <c r="K254" s="4" t="n">
        <f aca="false">I254-J254</f>
        <v>316.88</v>
      </c>
      <c r="L254" s="5" t="n">
        <f aca="false">IFERROR(K254/I254,0)</f>
        <v>0.495186898362295</v>
      </c>
    </row>
    <row r="255" customFormat="false" ht="15" hidden="false" customHeight="false" outlineLevel="0" collapsed="false">
      <c r="A255" s="2" t="s">
        <v>44</v>
      </c>
      <c r="B255" s="2" t="s">
        <v>46</v>
      </c>
      <c r="C255" s="2" t="s">
        <v>14</v>
      </c>
      <c r="D255" s="2" t="s">
        <v>18</v>
      </c>
      <c r="E255" s="3" t="n">
        <v>45901</v>
      </c>
      <c r="F255" s="2" t="n">
        <v>13</v>
      </c>
      <c r="G255" s="4" t="n">
        <v>34.99</v>
      </c>
      <c r="H255" s="4" t="n">
        <v>14.73</v>
      </c>
      <c r="I255" s="4" t="n">
        <f aca="false">F255*G255</f>
        <v>454.87</v>
      </c>
      <c r="J255" s="4" t="n">
        <f aca="false">F255*H255</f>
        <v>191.49</v>
      </c>
      <c r="K255" s="4" t="n">
        <f aca="false">I255-J255</f>
        <v>263.38</v>
      </c>
      <c r="L255" s="5" t="n">
        <f aca="false">IFERROR(K255/I255,0)</f>
        <v>0.579022577879394</v>
      </c>
    </row>
    <row r="256" customFormat="false" ht="15" hidden="false" customHeight="false" outlineLevel="0" collapsed="false">
      <c r="A256" s="2" t="s">
        <v>44</v>
      </c>
      <c r="B256" s="2" t="s">
        <v>46</v>
      </c>
      <c r="C256" s="2" t="s">
        <v>14</v>
      </c>
      <c r="D256" s="2" t="s">
        <v>19</v>
      </c>
      <c r="E256" s="3" t="n">
        <v>45901</v>
      </c>
      <c r="F256" s="2" t="n">
        <v>9</v>
      </c>
      <c r="G256" s="4" t="n">
        <v>54.99</v>
      </c>
      <c r="H256" s="4" t="n">
        <v>24.3</v>
      </c>
      <c r="I256" s="4" t="n">
        <f aca="false">F256*G256</f>
        <v>494.91</v>
      </c>
      <c r="J256" s="4" t="n">
        <f aca="false">F256*H256</f>
        <v>218.7</v>
      </c>
      <c r="K256" s="4" t="n">
        <f aca="false">I256-J256</f>
        <v>276.21</v>
      </c>
      <c r="L256" s="5" t="n">
        <f aca="false">IFERROR(K256/I256,0)</f>
        <v>0.55810147299509</v>
      </c>
    </row>
    <row r="257" customFormat="false" ht="15" hidden="false" customHeight="false" outlineLevel="0" collapsed="false">
      <c r="A257" s="2" t="s">
        <v>44</v>
      </c>
      <c r="B257" s="2" t="s">
        <v>46</v>
      </c>
      <c r="C257" s="2" t="s">
        <v>20</v>
      </c>
      <c r="D257" s="2" t="s">
        <v>21</v>
      </c>
      <c r="E257" s="3" t="n">
        <v>45901</v>
      </c>
      <c r="F257" s="2" t="n">
        <v>19</v>
      </c>
      <c r="G257" s="4" t="n">
        <v>44.99</v>
      </c>
      <c r="H257" s="4" t="n">
        <v>20.36</v>
      </c>
      <c r="I257" s="4" t="n">
        <f aca="false">F257*G257</f>
        <v>854.81</v>
      </c>
      <c r="J257" s="4" t="n">
        <f aca="false">F257*H257</f>
        <v>386.84</v>
      </c>
      <c r="K257" s="4" t="n">
        <f aca="false">I257-J257</f>
        <v>467.97</v>
      </c>
      <c r="L257" s="5" t="n">
        <f aca="false">IFERROR(K257/I257,0)</f>
        <v>0.547454989997777</v>
      </c>
    </row>
    <row r="258" customFormat="false" ht="15" hidden="false" customHeight="false" outlineLevel="0" collapsed="false">
      <c r="A258" s="2" t="s">
        <v>44</v>
      </c>
      <c r="B258" s="2" t="s">
        <v>46</v>
      </c>
      <c r="C258" s="2" t="s">
        <v>20</v>
      </c>
      <c r="D258" s="2" t="s">
        <v>22</v>
      </c>
      <c r="E258" s="3" t="n">
        <v>45901</v>
      </c>
      <c r="F258" s="2" t="n">
        <v>6</v>
      </c>
      <c r="G258" s="4" t="n">
        <v>14.99</v>
      </c>
      <c r="H258" s="4" t="n">
        <v>5.54</v>
      </c>
      <c r="I258" s="4" t="n">
        <f aca="false">F258*G258</f>
        <v>89.94</v>
      </c>
      <c r="J258" s="4" t="n">
        <f aca="false">F258*H258</f>
        <v>33.24</v>
      </c>
      <c r="K258" s="4" t="n">
        <f aca="false">I258-J258</f>
        <v>56.7</v>
      </c>
      <c r="L258" s="5" t="n">
        <f aca="false">IFERROR(K258/I258,0)</f>
        <v>0.630420280186791</v>
      </c>
    </row>
    <row r="259" customFormat="false" ht="15" hidden="false" customHeight="false" outlineLevel="0" collapsed="false">
      <c r="A259" s="2" t="s">
        <v>44</v>
      </c>
      <c r="B259" s="2" t="s">
        <v>46</v>
      </c>
      <c r="C259" s="2" t="s">
        <v>20</v>
      </c>
      <c r="D259" s="2" t="s">
        <v>23</v>
      </c>
      <c r="E259" s="3" t="n">
        <v>45901</v>
      </c>
      <c r="F259" s="2" t="n">
        <v>8</v>
      </c>
      <c r="G259" s="4" t="n">
        <v>39.99</v>
      </c>
      <c r="H259" s="4" t="n">
        <v>16.72</v>
      </c>
      <c r="I259" s="4" t="n">
        <f aca="false">F259*G259</f>
        <v>319.92</v>
      </c>
      <c r="J259" s="4" t="n">
        <f aca="false">F259*H259</f>
        <v>133.76</v>
      </c>
      <c r="K259" s="4" t="n">
        <f aca="false">I259-J259</f>
        <v>186.16</v>
      </c>
      <c r="L259" s="5" t="n">
        <f aca="false">IFERROR(K259/I259,0)</f>
        <v>0.581895473868467</v>
      </c>
    </row>
    <row r="260" customFormat="false" ht="15" hidden="false" customHeight="false" outlineLevel="0" collapsed="false">
      <c r="A260" s="2" t="s">
        <v>44</v>
      </c>
      <c r="B260" s="2" t="s">
        <v>46</v>
      </c>
      <c r="C260" s="2" t="s">
        <v>20</v>
      </c>
      <c r="D260" s="2" t="s">
        <v>24</v>
      </c>
      <c r="E260" s="3" t="n">
        <v>45901</v>
      </c>
      <c r="F260" s="2" t="n">
        <v>13</v>
      </c>
      <c r="G260" s="4" t="n">
        <v>18.99</v>
      </c>
      <c r="H260" s="4" t="n">
        <v>7.38</v>
      </c>
      <c r="I260" s="4" t="n">
        <f aca="false">F260*G260</f>
        <v>246.87</v>
      </c>
      <c r="J260" s="4" t="n">
        <f aca="false">F260*H260</f>
        <v>95.94</v>
      </c>
      <c r="K260" s="4" t="n">
        <f aca="false">I260-J260</f>
        <v>150.93</v>
      </c>
      <c r="L260" s="5" t="n">
        <f aca="false">IFERROR(K260/I260,0)</f>
        <v>0.611374407582938</v>
      </c>
    </row>
    <row r="261" customFormat="false" ht="15" hidden="false" customHeight="false" outlineLevel="0" collapsed="false">
      <c r="A261" s="2" t="s">
        <v>44</v>
      </c>
      <c r="B261" s="2" t="s">
        <v>46</v>
      </c>
      <c r="C261" s="2" t="s">
        <v>20</v>
      </c>
      <c r="D261" s="2" t="s">
        <v>25</v>
      </c>
      <c r="E261" s="3" t="n">
        <v>45901</v>
      </c>
      <c r="F261" s="2" t="n">
        <v>19</v>
      </c>
      <c r="G261" s="4" t="n">
        <v>42.99</v>
      </c>
      <c r="H261" s="4" t="n">
        <v>15.66</v>
      </c>
      <c r="I261" s="4" t="n">
        <f aca="false">F261*G261</f>
        <v>816.81</v>
      </c>
      <c r="J261" s="4" t="n">
        <f aca="false">F261*H261</f>
        <v>297.54</v>
      </c>
      <c r="K261" s="4" t="n">
        <f aca="false">I261-J261</f>
        <v>519.27</v>
      </c>
      <c r="L261" s="5" t="n">
        <f aca="false">IFERROR(K261/I261,0)</f>
        <v>0.63572923935799</v>
      </c>
    </row>
    <row r="262" customFormat="false" ht="15" hidden="false" customHeight="false" outlineLevel="0" collapsed="false">
      <c r="A262" s="2" t="s">
        <v>44</v>
      </c>
      <c r="B262" s="2" t="s">
        <v>46</v>
      </c>
      <c r="C262" s="2" t="s">
        <v>26</v>
      </c>
      <c r="D262" s="2" t="s">
        <v>27</v>
      </c>
      <c r="E262" s="3" t="n">
        <v>45901</v>
      </c>
      <c r="F262" s="2" t="n">
        <v>8</v>
      </c>
      <c r="G262" s="4" t="n">
        <v>44.99</v>
      </c>
      <c r="H262" s="4" t="n">
        <v>27.85</v>
      </c>
      <c r="I262" s="4" t="n">
        <f aca="false">F262*G262</f>
        <v>359.92</v>
      </c>
      <c r="J262" s="4" t="n">
        <f aca="false">F262*H262</f>
        <v>222.8</v>
      </c>
      <c r="K262" s="4" t="n">
        <f aca="false">I262-J262</f>
        <v>137.12</v>
      </c>
      <c r="L262" s="5" t="n">
        <f aca="false">IFERROR(K262/I262,0)</f>
        <v>0.380973549677706</v>
      </c>
    </row>
    <row r="263" customFormat="false" ht="15" hidden="false" customHeight="false" outlineLevel="0" collapsed="false">
      <c r="A263" s="2" t="s">
        <v>44</v>
      </c>
      <c r="B263" s="2" t="s">
        <v>46</v>
      </c>
      <c r="C263" s="2" t="s">
        <v>26</v>
      </c>
      <c r="D263" s="2" t="s">
        <v>28</v>
      </c>
      <c r="E263" s="3" t="n">
        <v>45901</v>
      </c>
      <c r="F263" s="2" t="n">
        <v>15</v>
      </c>
      <c r="G263" s="4" t="n">
        <v>34.99</v>
      </c>
      <c r="H263" s="4" t="n">
        <v>22.83</v>
      </c>
      <c r="I263" s="4" t="n">
        <f aca="false">F263*G263</f>
        <v>524.85</v>
      </c>
      <c r="J263" s="4" t="n">
        <f aca="false">F263*H263</f>
        <v>342.45</v>
      </c>
      <c r="K263" s="4" t="n">
        <f aca="false">I263-J263</f>
        <v>182.4</v>
      </c>
      <c r="L263" s="5" t="n">
        <f aca="false">IFERROR(K263/I263,0)</f>
        <v>0.347527865104316</v>
      </c>
    </row>
    <row r="264" customFormat="false" ht="15" hidden="false" customHeight="false" outlineLevel="0" collapsed="false">
      <c r="A264" s="2" t="s">
        <v>44</v>
      </c>
      <c r="B264" s="2" t="s">
        <v>46</v>
      </c>
      <c r="C264" s="2" t="s">
        <v>26</v>
      </c>
      <c r="D264" s="2" t="s">
        <v>29</v>
      </c>
      <c r="E264" s="3" t="n">
        <v>45901</v>
      </c>
      <c r="F264" s="2" t="n">
        <v>11</v>
      </c>
      <c r="G264" s="4" t="n">
        <v>119.99</v>
      </c>
      <c r="H264" s="4" t="n">
        <v>79.48</v>
      </c>
      <c r="I264" s="4" t="n">
        <f aca="false">F264*G264</f>
        <v>1319.89</v>
      </c>
      <c r="J264" s="4" t="n">
        <f aca="false">F264*H264</f>
        <v>874.28</v>
      </c>
      <c r="K264" s="4" t="n">
        <f aca="false">I264-J264</f>
        <v>445.61</v>
      </c>
      <c r="L264" s="5" t="n">
        <f aca="false">IFERROR(K264/I264,0)</f>
        <v>0.337611467622302</v>
      </c>
    </row>
    <row r="265" customFormat="false" ht="15" hidden="false" customHeight="false" outlineLevel="0" collapsed="false">
      <c r="A265" s="2" t="s">
        <v>44</v>
      </c>
      <c r="B265" s="2" t="s">
        <v>46</v>
      </c>
      <c r="C265" s="2" t="s">
        <v>26</v>
      </c>
      <c r="D265" s="2" t="s">
        <v>30</v>
      </c>
      <c r="E265" s="3" t="n">
        <v>45901</v>
      </c>
      <c r="F265" s="2" t="n">
        <v>13</v>
      </c>
      <c r="G265" s="4" t="n">
        <v>24.99</v>
      </c>
      <c r="H265" s="4" t="n">
        <v>14.93</v>
      </c>
      <c r="I265" s="4" t="n">
        <f aca="false">F265*G265</f>
        <v>324.87</v>
      </c>
      <c r="J265" s="4" t="n">
        <f aca="false">F265*H265</f>
        <v>194.09</v>
      </c>
      <c r="K265" s="4" t="n">
        <f aca="false">I265-J265</f>
        <v>130.78</v>
      </c>
      <c r="L265" s="5" t="n">
        <f aca="false">IFERROR(K265/I265,0)</f>
        <v>0.402561024409764</v>
      </c>
    </row>
    <row r="266" customFormat="false" ht="15" hidden="false" customHeight="false" outlineLevel="0" collapsed="false">
      <c r="A266" s="2" t="s">
        <v>44</v>
      </c>
      <c r="B266" s="2" t="s">
        <v>46</v>
      </c>
      <c r="C266" s="2" t="s">
        <v>26</v>
      </c>
      <c r="D266" s="2" t="s">
        <v>31</v>
      </c>
      <c r="E266" s="3" t="n">
        <v>45901</v>
      </c>
      <c r="F266" s="2" t="n">
        <v>17</v>
      </c>
      <c r="G266" s="4" t="n">
        <v>59.99</v>
      </c>
      <c r="H266" s="4" t="n">
        <v>37.92</v>
      </c>
      <c r="I266" s="4" t="n">
        <f aca="false">F266*G266</f>
        <v>1019.83</v>
      </c>
      <c r="J266" s="4" t="n">
        <f aca="false">F266*H266</f>
        <v>644.64</v>
      </c>
      <c r="K266" s="4" t="n">
        <f aca="false">I266-J266</f>
        <v>375.19</v>
      </c>
      <c r="L266" s="5" t="n">
        <f aca="false">IFERROR(K266/I266,0)</f>
        <v>0.367894649108185</v>
      </c>
    </row>
    <row r="267" customFormat="false" ht="15" hidden="false" customHeight="false" outlineLevel="0" collapsed="false">
      <c r="A267" s="2" t="s">
        <v>44</v>
      </c>
      <c r="B267" s="2" t="s">
        <v>46</v>
      </c>
      <c r="C267" s="2" t="s">
        <v>32</v>
      </c>
      <c r="D267" s="2" t="s">
        <v>33</v>
      </c>
      <c r="E267" s="3" t="n">
        <v>45901</v>
      </c>
      <c r="F267" s="2" t="n">
        <v>10</v>
      </c>
      <c r="G267" s="4" t="n">
        <v>49.99</v>
      </c>
      <c r="H267" s="4" t="n">
        <v>36.76</v>
      </c>
      <c r="I267" s="4" t="n">
        <f aca="false">F267*G267</f>
        <v>499.9</v>
      </c>
      <c r="J267" s="4" t="n">
        <f aca="false">F267*H267</f>
        <v>367.6</v>
      </c>
      <c r="K267" s="4" t="n">
        <f aca="false">I267-J267</f>
        <v>132.3</v>
      </c>
      <c r="L267" s="5" t="n">
        <f aca="false">IFERROR(K267/I267,0)</f>
        <v>0.264652930586117</v>
      </c>
    </row>
    <row r="268" customFormat="false" ht="15" hidden="false" customHeight="false" outlineLevel="0" collapsed="false">
      <c r="A268" s="2" t="s">
        <v>44</v>
      </c>
      <c r="B268" s="2" t="s">
        <v>46</v>
      </c>
      <c r="C268" s="2" t="s">
        <v>32</v>
      </c>
      <c r="D268" s="2" t="s">
        <v>34</v>
      </c>
      <c r="E268" s="3" t="n">
        <v>45901</v>
      </c>
      <c r="F268" s="2" t="n">
        <v>13</v>
      </c>
      <c r="G268" s="4" t="n">
        <v>27.99</v>
      </c>
      <c r="H268" s="4" t="n">
        <v>20.24</v>
      </c>
      <c r="I268" s="4" t="n">
        <f aca="false">F268*G268</f>
        <v>363.87</v>
      </c>
      <c r="J268" s="4" t="n">
        <f aca="false">F268*H268</f>
        <v>263.12</v>
      </c>
      <c r="K268" s="4" t="n">
        <f aca="false">I268-J268</f>
        <v>100.75</v>
      </c>
      <c r="L268" s="5" t="n">
        <f aca="false">IFERROR(K268/I268,0)</f>
        <v>0.276884601643444</v>
      </c>
    </row>
    <row r="269" customFormat="false" ht="15" hidden="false" customHeight="false" outlineLevel="0" collapsed="false">
      <c r="A269" s="2" t="s">
        <v>44</v>
      </c>
      <c r="B269" s="2" t="s">
        <v>46</v>
      </c>
      <c r="C269" s="2" t="s">
        <v>32</v>
      </c>
      <c r="D269" s="2" t="s">
        <v>35</v>
      </c>
      <c r="E269" s="3" t="n">
        <v>45901</v>
      </c>
      <c r="F269" s="2" t="n">
        <v>18</v>
      </c>
      <c r="G269" s="4" t="n">
        <v>64.99</v>
      </c>
      <c r="H269" s="4" t="n">
        <v>46.52</v>
      </c>
      <c r="I269" s="4" t="n">
        <f aca="false">F269*G269</f>
        <v>1169.82</v>
      </c>
      <c r="J269" s="4" t="n">
        <f aca="false">F269*H269</f>
        <v>837.36</v>
      </c>
      <c r="K269" s="4" t="n">
        <f aca="false">I269-J269</f>
        <v>332.46</v>
      </c>
      <c r="L269" s="5" t="n">
        <f aca="false">IFERROR(K269/I269,0)</f>
        <v>0.284197568856747</v>
      </c>
    </row>
    <row r="270" customFormat="false" ht="15" hidden="false" customHeight="false" outlineLevel="0" collapsed="false">
      <c r="A270" s="2" t="s">
        <v>44</v>
      </c>
      <c r="B270" s="2" t="s">
        <v>46</v>
      </c>
      <c r="C270" s="2" t="s">
        <v>32</v>
      </c>
      <c r="D270" s="2" t="s">
        <v>36</v>
      </c>
      <c r="E270" s="3" t="n">
        <v>45901</v>
      </c>
      <c r="F270" s="2" t="n">
        <v>10</v>
      </c>
      <c r="G270" s="4" t="n">
        <v>22.99</v>
      </c>
      <c r="H270" s="4" t="n">
        <v>16.31</v>
      </c>
      <c r="I270" s="4" t="n">
        <f aca="false">F270*G270</f>
        <v>229.9</v>
      </c>
      <c r="J270" s="4" t="n">
        <f aca="false">F270*H270</f>
        <v>163.1</v>
      </c>
      <c r="K270" s="4" t="n">
        <f aca="false">I270-J270</f>
        <v>66.8</v>
      </c>
      <c r="L270" s="5" t="n">
        <f aca="false">IFERROR(K270/I270,0)</f>
        <v>0.290561113527621</v>
      </c>
    </row>
    <row r="271" customFormat="false" ht="15" hidden="false" customHeight="false" outlineLevel="0" collapsed="false">
      <c r="A271" s="2" t="s">
        <v>44</v>
      </c>
      <c r="B271" s="2" t="s">
        <v>46</v>
      </c>
      <c r="C271" s="2" t="s">
        <v>32</v>
      </c>
      <c r="D271" s="2" t="s">
        <v>37</v>
      </c>
      <c r="E271" s="3" t="n">
        <v>45901</v>
      </c>
      <c r="F271" s="2" t="n">
        <v>9</v>
      </c>
      <c r="G271" s="4" t="n">
        <v>29.99</v>
      </c>
      <c r="H271" s="4" t="n">
        <v>20.32</v>
      </c>
      <c r="I271" s="4" t="n">
        <f aca="false">F271*G271</f>
        <v>269.91</v>
      </c>
      <c r="J271" s="4" t="n">
        <f aca="false">F271*H271</f>
        <v>182.88</v>
      </c>
      <c r="K271" s="4" t="n">
        <f aca="false">I271-J271</f>
        <v>87.03</v>
      </c>
      <c r="L271" s="5" t="n">
        <f aca="false">IFERROR(K271/I271,0)</f>
        <v>0.322440813604535</v>
      </c>
    </row>
    <row r="272" customFormat="false" ht="15" hidden="false" customHeight="false" outlineLevel="0" collapsed="false">
      <c r="A272" s="2" t="s">
        <v>44</v>
      </c>
      <c r="B272" s="2" t="s">
        <v>46</v>
      </c>
      <c r="C272" s="2" t="s">
        <v>38</v>
      </c>
      <c r="D272" s="2" t="s">
        <v>39</v>
      </c>
      <c r="E272" s="3" t="n">
        <v>45901</v>
      </c>
      <c r="F272" s="2" t="n">
        <v>10</v>
      </c>
      <c r="G272" s="4" t="n">
        <v>129.99</v>
      </c>
      <c r="H272" s="4" t="n">
        <v>77.08</v>
      </c>
      <c r="I272" s="4" t="n">
        <f aca="false">F272*G272</f>
        <v>1299.9</v>
      </c>
      <c r="J272" s="4" t="n">
        <f aca="false">F272*H272</f>
        <v>770.8</v>
      </c>
      <c r="K272" s="4" t="n">
        <f aca="false">I272-J272</f>
        <v>529.1</v>
      </c>
      <c r="L272" s="5" t="n">
        <f aca="false">IFERROR(K272/I272,0)</f>
        <v>0.407031310100777</v>
      </c>
    </row>
    <row r="273" customFormat="false" ht="15" hidden="false" customHeight="false" outlineLevel="0" collapsed="false">
      <c r="A273" s="2" t="s">
        <v>44</v>
      </c>
      <c r="B273" s="2" t="s">
        <v>46</v>
      </c>
      <c r="C273" s="2" t="s">
        <v>38</v>
      </c>
      <c r="D273" s="2" t="s">
        <v>40</v>
      </c>
      <c r="E273" s="3" t="n">
        <v>45901</v>
      </c>
      <c r="F273" s="2" t="n">
        <v>11</v>
      </c>
      <c r="G273" s="4" t="n">
        <v>74.99</v>
      </c>
      <c r="H273" s="4" t="n">
        <v>41.33</v>
      </c>
      <c r="I273" s="4" t="n">
        <f aca="false">F273*G273</f>
        <v>824.89</v>
      </c>
      <c r="J273" s="4" t="n">
        <f aca="false">F273*H273</f>
        <v>454.63</v>
      </c>
      <c r="K273" s="4" t="n">
        <f aca="false">I273-J273</f>
        <v>370.26</v>
      </c>
      <c r="L273" s="5" t="n">
        <f aca="false">IFERROR(K273/I273,0)</f>
        <v>0.448859847979731</v>
      </c>
    </row>
    <row r="274" customFormat="false" ht="15" hidden="false" customHeight="false" outlineLevel="0" collapsed="false">
      <c r="A274" s="2" t="s">
        <v>44</v>
      </c>
      <c r="B274" s="2" t="s">
        <v>46</v>
      </c>
      <c r="C274" s="2" t="s">
        <v>38</v>
      </c>
      <c r="D274" s="2" t="s">
        <v>41</v>
      </c>
      <c r="E274" s="3" t="n">
        <v>45901</v>
      </c>
      <c r="F274" s="2" t="n">
        <v>9</v>
      </c>
      <c r="G274" s="4" t="n">
        <v>19.99</v>
      </c>
      <c r="H274" s="4" t="n">
        <v>9.55</v>
      </c>
      <c r="I274" s="4" t="n">
        <f aca="false">F274*G274</f>
        <v>179.91</v>
      </c>
      <c r="J274" s="4" t="n">
        <f aca="false">F274*H274</f>
        <v>85.95</v>
      </c>
      <c r="K274" s="4" t="n">
        <f aca="false">I274-J274</f>
        <v>93.96</v>
      </c>
      <c r="L274" s="5" t="n">
        <f aca="false">IFERROR(K274/I274,0)</f>
        <v>0.522261130565283</v>
      </c>
    </row>
    <row r="275" customFormat="false" ht="15" hidden="false" customHeight="false" outlineLevel="0" collapsed="false">
      <c r="A275" s="2" t="s">
        <v>44</v>
      </c>
      <c r="B275" s="2" t="s">
        <v>46</v>
      </c>
      <c r="C275" s="2" t="s">
        <v>38</v>
      </c>
      <c r="D275" s="2" t="s">
        <v>42</v>
      </c>
      <c r="E275" s="3" t="n">
        <v>45901</v>
      </c>
      <c r="F275" s="2" t="n">
        <v>6</v>
      </c>
      <c r="G275" s="4" t="n">
        <v>16.99</v>
      </c>
      <c r="H275" s="4" t="n">
        <v>8.7</v>
      </c>
      <c r="I275" s="4" t="n">
        <f aca="false">F275*G275</f>
        <v>101.94</v>
      </c>
      <c r="J275" s="4" t="n">
        <f aca="false">F275*H275</f>
        <v>52.2</v>
      </c>
      <c r="K275" s="4" t="n">
        <f aca="false">I275-J275</f>
        <v>49.74</v>
      </c>
      <c r="L275" s="5" t="n">
        <f aca="false">IFERROR(K275/I275,0)</f>
        <v>0.487934078869924</v>
      </c>
    </row>
    <row r="276" customFormat="false" ht="15" hidden="false" customHeight="false" outlineLevel="0" collapsed="false">
      <c r="A276" s="2" t="s">
        <v>44</v>
      </c>
      <c r="B276" s="2" t="s">
        <v>46</v>
      </c>
      <c r="C276" s="2" t="s">
        <v>38</v>
      </c>
      <c r="D276" s="2" t="s">
        <v>43</v>
      </c>
      <c r="E276" s="3" t="n">
        <v>45901</v>
      </c>
      <c r="F276" s="2" t="n">
        <v>17</v>
      </c>
      <c r="G276" s="4" t="n">
        <v>24.99</v>
      </c>
      <c r="H276" s="4" t="n">
        <v>13.21</v>
      </c>
      <c r="I276" s="4" t="n">
        <f aca="false">F276*G276</f>
        <v>424.83</v>
      </c>
      <c r="J276" s="4" t="n">
        <f aca="false">F276*H276</f>
        <v>224.57</v>
      </c>
      <c r="K276" s="4" t="n">
        <f aca="false">I276-J276</f>
        <v>200.26</v>
      </c>
      <c r="L276" s="5" t="n">
        <f aca="false">IFERROR(K276/I276,0)</f>
        <v>0.471388555422169</v>
      </c>
    </row>
    <row r="277" customFormat="false" ht="15" hidden="false" customHeight="false" outlineLevel="0" collapsed="false">
      <c r="A277" s="2" t="s">
        <v>47</v>
      </c>
      <c r="B277" s="2" t="s">
        <v>48</v>
      </c>
      <c r="C277" s="2" t="s">
        <v>14</v>
      </c>
      <c r="D277" s="2" t="s">
        <v>15</v>
      </c>
      <c r="E277" s="3" t="n">
        <v>45901</v>
      </c>
      <c r="F277" s="2" t="n">
        <v>8</v>
      </c>
      <c r="G277" s="4" t="n">
        <v>69.99</v>
      </c>
      <c r="H277" s="4" t="n">
        <v>33.84</v>
      </c>
      <c r="I277" s="4" t="n">
        <f aca="false">F277*G277</f>
        <v>559.92</v>
      </c>
      <c r="J277" s="4" t="n">
        <f aca="false">F277*H277</f>
        <v>270.72</v>
      </c>
      <c r="K277" s="4" t="n">
        <f aca="false">I277-J277</f>
        <v>289.2</v>
      </c>
      <c r="L277" s="5" t="n">
        <f aca="false">IFERROR(K277/I277,0)</f>
        <v>0.51650235747964</v>
      </c>
    </row>
    <row r="278" customFormat="false" ht="15" hidden="false" customHeight="false" outlineLevel="0" collapsed="false">
      <c r="A278" s="2" t="s">
        <v>47</v>
      </c>
      <c r="B278" s="2" t="s">
        <v>48</v>
      </c>
      <c r="C278" s="2" t="s">
        <v>14</v>
      </c>
      <c r="D278" s="2" t="s">
        <v>16</v>
      </c>
      <c r="E278" s="3" t="n">
        <v>45901</v>
      </c>
      <c r="F278" s="2" t="n">
        <v>13</v>
      </c>
      <c r="G278" s="4" t="n">
        <v>19.99</v>
      </c>
      <c r="H278" s="4" t="n">
        <v>9.04</v>
      </c>
      <c r="I278" s="4" t="n">
        <f aca="false">F278*G278</f>
        <v>259.87</v>
      </c>
      <c r="J278" s="4" t="n">
        <f aca="false">F278*H278</f>
        <v>117.52</v>
      </c>
      <c r="K278" s="4" t="n">
        <f aca="false">I278-J278</f>
        <v>142.35</v>
      </c>
      <c r="L278" s="5" t="n">
        <f aca="false">IFERROR(K278/I278,0)</f>
        <v>0.547773886943472</v>
      </c>
    </row>
    <row r="279" customFormat="false" ht="15" hidden="false" customHeight="false" outlineLevel="0" collapsed="false">
      <c r="A279" s="2" t="s">
        <v>47</v>
      </c>
      <c r="B279" s="2" t="s">
        <v>48</v>
      </c>
      <c r="C279" s="2" t="s">
        <v>14</v>
      </c>
      <c r="D279" s="2" t="s">
        <v>17</v>
      </c>
      <c r="E279" s="3" t="n">
        <v>45901</v>
      </c>
      <c r="F279" s="2" t="n">
        <v>14</v>
      </c>
      <c r="G279" s="4" t="n">
        <v>79.99</v>
      </c>
      <c r="H279" s="4" t="n">
        <v>40.86</v>
      </c>
      <c r="I279" s="4" t="n">
        <f aca="false">F279*G279</f>
        <v>1119.86</v>
      </c>
      <c r="J279" s="4" t="n">
        <f aca="false">F279*H279</f>
        <v>572.04</v>
      </c>
      <c r="K279" s="4" t="n">
        <f aca="false">I279-J279</f>
        <v>547.82</v>
      </c>
      <c r="L279" s="5" t="n">
        <f aca="false">IFERROR(K279/I279,0)</f>
        <v>0.489186148268534</v>
      </c>
    </row>
    <row r="280" customFormat="false" ht="15" hidden="false" customHeight="false" outlineLevel="0" collapsed="false">
      <c r="A280" s="2" t="s">
        <v>47</v>
      </c>
      <c r="B280" s="2" t="s">
        <v>48</v>
      </c>
      <c r="C280" s="2" t="s">
        <v>14</v>
      </c>
      <c r="D280" s="2" t="s">
        <v>18</v>
      </c>
      <c r="E280" s="3" t="n">
        <v>45901</v>
      </c>
      <c r="F280" s="2" t="n">
        <v>10</v>
      </c>
      <c r="G280" s="4" t="n">
        <v>34.99</v>
      </c>
      <c r="H280" s="4" t="n">
        <v>14.35</v>
      </c>
      <c r="I280" s="4" t="n">
        <f aca="false">F280*G280</f>
        <v>349.9</v>
      </c>
      <c r="J280" s="4" t="n">
        <f aca="false">F280*H280</f>
        <v>143.5</v>
      </c>
      <c r="K280" s="4" t="n">
        <f aca="false">I280-J280</f>
        <v>206.4</v>
      </c>
      <c r="L280" s="5" t="n">
        <f aca="false">IFERROR(K280/I280,0)</f>
        <v>0.589882823663904</v>
      </c>
    </row>
    <row r="281" customFormat="false" ht="15" hidden="false" customHeight="false" outlineLevel="0" collapsed="false">
      <c r="A281" s="2" t="s">
        <v>47</v>
      </c>
      <c r="B281" s="2" t="s">
        <v>48</v>
      </c>
      <c r="C281" s="2" t="s">
        <v>14</v>
      </c>
      <c r="D281" s="2" t="s">
        <v>19</v>
      </c>
      <c r="E281" s="3" t="n">
        <v>45901</v>
      </c>
      <c r="F281" s="2" t="n">
        <v>12</v>
      </c>
      <c r="G281" s="4" t="n">
        <v>54.99</v>
      </c>
      <c r="H281" s="4" t="n">
        <v>24.53</v>
      </c>
      <c r="I281" s="4" t="n">
        <f aca="false">F281*G281</f>
        <v>659.88</v>
      </c>
      <c r="J281" s="4" t="n">
        <f aca="false">F281*H281</f>
        <v>294.36</v>
      </c>
      <c r="K281" s="4" t="n">
        <f aca="false">I281-J281</f>
        <v>365.52</v>
      </c>
      <c r="L281" s="5" t="n">
        <f aca="false">IFERROR(K281/I281,0)</f>
        <v>0.553918894344426</v>
      </c>
    </row>
    <row r="282" customFormat="false" ht="15" hidden="false" customHeight="false" outlineLevel="0" collapsed="false">
      <c r="A282" s="2" t="s">
        <v>47</v>
      </c>
      <c r="B282" s="2" t="s">
        <v>48</v>
      </c>
      <c r="C282" s="2" t="s">
        <v>20</v>
      </c>
      <c r="D282" s="2" t="s">
        <v>21</v>
      </c>
      <c r="E282" s="3" t="n">
        <v>45901</v>
      </c>
      <c r="F282" s="2" t="n">
        <v>5</v>
      </c>
      <c r="G282" s="4" t="n">
        <v>44.99</v>
      </c>
      <c r="H282" s="4" t="n">
        <v>20.02</v>
      </c>
      <c r="I282" s="4" t="n">
        <f aca="false">F282*G282</f>
        <v>224.95</v>
      </c>
      <c r="J282" s="4" t="n">
        <f aca="false">F282*H282</f>
        <v>100.1</v>
      </c>
      <c r="K282" s="4" t="n">
        <f aca="false">I282-J282</f>
        <v>124.85</v>
      </c>
      <c r="L282" s="5" t="n">
        <f aca="false">IFERROR(K282/I282,0)</f>
        <v>0.555012224938875</v>
      </c>
    </row>
    <row r="283" customFormat="false" ht="15" hidden="false" customHeight="false" outlineLevel="0" collapsed="false">
      <c r="A283" s="2" t="s">
        <v>47</v>
      </c>
      <c r="B283" s="2" t="s">
        <v>48</v>
      </c>
      <c r="C283" s="2" t="s">
        <v>20</v>
      </c>
      <c r="D283" s="2" t="s">
        <v>22</v>
      </c>
      <c r="E283" s="3" t="n">
        <v>45901</v>
      </c>
      <c r="F283" s="2" t="n">
        <v>14</v>
      </c>
      <c r="G283" s="4" t="n">
        <v>14.99</v>
      </c>
      <c r="H283" s="4" t="n">
        <v>5.62</v>
      </c>
      <c r="I283" s="4" t="n">
        <f aca="false">F283*G283</f>
        <v>209.86</v>
      </c>
      <c r="J283" s="4" t="n">
        <f aca="false">F283*H283</f>
        <v>78.68</v>
      </c>
      <c r="K283" s="4" t="n">
        <f aca="false">I283-J283</f>
        <v>131.18</v>
      </c>
      <c r="L283" s="5" t="n">
        <f aca="false">IFERROR(K283/I283,0)</f>
        <v>0.625083388925951</v>
      </c>
    </row>
    <row r="284" customFormat="false" ht="15" hidden="false" customHeight="false" outlineLevel="0" collapsed="false">
      <c r="A284" s="2" t="s">
        <v>47</v>
      </c>
      <c r="B284" s="2" t="s">
        <v>48</v>
      </c>
      <c r="C284" s="2" t="s">
        <v>20</v>
      </c>
      <c r="D284" s="2" t="s">
        <v>23</v>
      </c>
      <c r="E284" s="3" t="n">
        <v>45901</v>
      </c>
      <c r="F284" s="2" t="n">
        <v>17</v>
      </c>
      <c r="G284" s="4" t="n">
        <v>39.99</v>
      </c>
      <c r="H284" s="4" t="n">
        <v>17.26</v>
      </c>
      <c r="I284" s="4" t="n">
        <f aca="false">F284*G284</f>
        <v>679.83</v>
      </c>
      <c r="J284" s="4" t="n">
        <f aca="false">F284*H284</f>
        <v>293.42</v>
      </c>
      <c r="K284" s="4" t="n">
        <f aca="false">I284-J284</f>
        <v>386.41</v>
      </c>
      <c r="L284" s="5" t="n">
        <f aca="false">IFERROR(K284/I284,0)</f>
        <v>0.568392098024506</v>
      </c>
    </row>
    <row r="285" customFormat="false" ht="15" hidden="false" customHeight="false" outlineLevel="0" collapsed="false">
      <c r="A285" s="2" t="s">
        <v>47</v>
      </c>
      <c r="B285" s="2" t="s">
        <v>48</v>
      </c>
      <c r="C285" s="2" t="s">
        <v>20</v>
      </c>
      <c r="D285" s="2" t="s">
        <v>24</v>
      </c>
      <c r="E285" s="3" t="n">
        <v>45901</v>
      </c>
      <c r="F285" s="2" t="n">
        <v>14</v>
      </c>
      <c r="G285" s="4" t="n">
        <v>18.99</v>
      </c>
      <c r="H285" s="4" t="n">
        <v>7.37</v>
      </c>
      <c r="I285" s="4" t="n">
        <f aca="false">F285*G285</f>
        <v>265.86</v>
      </c>
      <c r="J285" s="4" t="n">
        <f aca="false">F285*H285</f>
        <v>103.18</v>
      </c>
      <c r="K285" s="4" t="n">
        <f aca="false">I285-J285</f>
        <v>162.68</v>
      </c>
      <c r="L285" s="5" t="n">
        <f aca="false">IFERROR(K285/I285,0)</f>
        <v>0.611901000526593</v>
      </c>
    </row>
    <row r="286" customFormat="false" ht="15" hidden="false" customHeight="false" outlineLevel="0" collapsed="false">
      <c r="A286" s="2" t="s">
        <v>47</v>
      </c>
      <c r="B286" s="2" t="s">
        <v>48</v>
      </c>
      <c r="C286" s="2" t="s">
        <v>20</v>
      </c>
      <c r="D286" s="2" t="s">
        <v>25</v>
      </c>
      <c r="E286" s="3" t="n">
        <v>45901</v>
      </c>
      <c r="F286" s="2" t="n">
        <v>9</v>
      </c>
      <c r="G286" s="4" t="n">
        <v>42.99</v>
      </c>
      <c r="H286" s="4" t="n">
        <v>15.87</v>
      </c>
      <c r="I286" s="4" t="n">
        <f aca="false">F286*G286</f>
        <v>386.91</v>
      </c>
      <c r="J286" s="4" t="n">
        <f aca="false">F286*H286</f>
        <v>142.83</v>
      </c>
      <c r="K286" s="4" t="n">
        <f aca="false">I286-J286</f>
        <v>244.08</v>
      </c>
      <c r="L286" s="5" t="n">
        <f aca="false">IFERROR(K286/I286,0)</f>
        <v>0.630844382414515</v>
      </c>
    </row>
    <row r="287" customFormat="false" ht="15" hidden="false" customHeight="false" outlineLevel="0" collapsed="false">
      <c r="A287" s="2" t="s">
        <v>47</v>
      </c>
      <c r="B287" s="2" t="s">
        <v>48</v>
      </c>
      <c r="C287" s="2" t="s">
        <v>26</v>
      </c>
      <c r="D287" s="2" t="s">
        <v>27</v>
      </c>
      <c r="E287" s="3" t="n">
        <v>45901</v>
      </c>
      <c r="F287" s="2" t="n">
        <v>18</v>
      </c>
      <c r="G287" s="4" t="n">
        <v>44.99</v>
      </c>
      <c r="H287" s="4" t="n">
        <v>27.22</v>
      </c>
      <c r="I287" s="4" t="n">
        <f aca="false">F287*G287</f>
        <v>809.82</v>
      </c>
      <c r="J287" s="4" t="n">
        <f aca="false">F287*H287</f>
        <v>489.96</v>
      </c>
      <c r="K287" s="4" t="n">
        <f aca="false">I287-J287</f>
        <v>319.86</v>
      </c>
      <c r="L287" s="5" t="n">
        <f aca="false">IFERROR(K287/I287,0)</f>
        <v>0.394976661480329</v>
      </c>
    </row>
    <row r="288" customFormat="false" ht="15" hidden="false" customHeight="false" outlineLevel="0" collapsed="false">
      <c r="A288" s="2" t="s">
        <v>47</v>
      </c>
      <c r="B288" s="2" t="s">
        <v>48</v>
      </c>
      <c r="C288" s="2" t="s">
        <v>26</v>
      </c>
      <c r="D288" s="2" t="s">
        <v>28</v>
      </c>
      <c r="E288" s="3" t="n">
        <v>45901</v>
      </c>
      <c r="F288" s="2" t="n">
        <v>15</v>
      </c>
      <c r="G288" s="4" t="n">
        <v>34.99</v>
      </c>
      <c r="H288" s="4" t="n">
        <v>23.05</v>
      </c>
      <c r="I288" s="4" t="n">
        <f aca="false">F288*G288</f>
        <v>524.85</v>
      </c>
      <c r="J288" s="4" t="n">
        <f aca="false">F288*H288</f>
        <v>345.75</v>
      </c>
      <c r="K288" s="4" t="n">
        <f aca="false">I288-J288</f>
        <v>179.1</v>
      </c>
      <c r="L288" s="5" t="n">
        <f aca="false">IFERROR(K288/I288,0)</f>
        <v>0.341240354386968</v>
      </c>
    </row>
    <row r="289" customFormat="false" ht="15" hidden="false" customHeight="false" outlineLevel="0" collapsed="false">
      <c r="A289" s="2" t="s">
        <v>47</v>
      </c>
      <c r="B289" s="2" t="s">
        <v>48</v>
      </c>
      <c r="C289" s="2" t="s">
        <v>26</v>
      </c>
      <c r="D289" s="2" t="s">
        <v>29</v>
      </c>
      <c r="E289" s="3" t="n">
        <v>45901</v>
      </c>
      <c r="F289" s="2" t="n">
        <v>21</v>
      </c>
      <c r="G289" s="4" t="n">
        <v>119.99</v>
      </c>
      <c r="H289" s="4" t="n">
        <v>82.61</v>
      </c>
      <c r="I289" s="4" t="n">
        <f aca="false">F289*G289</f>
        <v>2519.79</v>
      </c>
      <c r="J289" s="4" t="n">
        <f aca="false">F289*H289</f>
        <v>1734.81</v>
      </c>
      <c r="K289" s="4" t="n">
        <f aca="false">I289-J289</f>
        <v>784.98</v>
      </c>
      <c r="L289" s="5" t="n">
        <f aca="false">IFERROR(K289/I289,0)</f>
        <v>0.311525960496708</v>
      </c>
    </row>
    <row r="290" customFormat="false" ht="15" hidden="false" customHeight="false" outlineLevel="0" collapsed="false">
      <c r="A290" s="2" t="s">
        <v>47</v>
      </c>
      <c r="B290" s="2" t="s">
        <v>48</v>
      </c>
      <c r="C290" s="2" t="s">
        <v>26</v>
      </c>
      <c r="D290" s="2" t="s">
        <v>30</v>
      </c>
      <c r="E290" s="3" t="n">
        <v>45901</v>
      </c>
      <c r="F290" s="2" t="n">
        <v>14</v>
      </c>
      <c r="G290" s="4" t="n">
        <v>24.99</v>
      </c>
      <c r="H290" s="4" t="n">
        <v>14.88</v>
      </c>
      <c r="I290" s="4" t="n">
        <f aca="false">F290*G290</f>
        <v>349.86</v>
      </c>
      <c r="J290" s="4" t="n">
        <f aca="false">F290*H290</f>
        <v>208.32</v>
      </c>
      <c r="K290" s="4" t="n">
        <f aca="false">I290-J290</f>
        <v>141.54</v>
      </c>
      <c r="L290" s="5" t="n">
        <f aca="false">IFERROR(K290/I290,0)</f>
        <v>0.404561824729892</v>
      </c>
    </row>
    <row r="291" customFormat="false" ht="15" hidden="false" customHeight="false" outlineLevel="0" collapsed="false">
      <c r="A291" s="2" t="s">
        <v>47</v>
      </c>
      <c r="B291" s="2" t="s">
        <v>48</v>
      </c>
      <c r="C291" s="2" t="s">
        <v>26</v>
      </c>
      <c r="D291" s="2" t="s">
        <v>31</v>
      </c>
      <c r="E291" s="3" t="n">
        <v>45901</v>
      </c>
      <c r="F291" s="2" t="n">
        <v>17</v>
      </c>
      <c r="G291" s="4" t="n">
        <v>59.99</v>
      </c>
      <c r="H291" s="4" t="n">
        <v>38.37</v>
      </c>
      <c r="I291" s="4" t="n">
        <f aca="false">F291*G291</f>
        <v>1019.83</v>
      </c>
      <c r="J291" s="4" t="n">
        <f aca="false">F291*H291</f>
        <v>652.29</v>
      </c>
      <c r="K291" s="4" t="n">
        <f aca="false">I291-J291</f>
        <v>367.54</v>
      </c>
      <c r="L291" s="5" t="n">
        <f aca="false">IFERROR(K291/I291,0)</f>
        <v>0.360393398899817</v>
      </c>
    </row>
    <row r="292" customFormat="false" ht="15" hidden="false" customHeight="false" outlineLevel="0" collapsed="false">
      <c r="A292" s="2" t="s">
        <v>47</v>
      </c>
      <c r="B292" s="2" t="s">
        <v>48</v>
      </c>
      <c r="C292" s="2" t="s">
        <v>32</v>
      </c>
      <c r="D292" s="2" t="s">
        <v>33</v>
      </c>
      <c r="E292" s="3" t="n">
        <v>45901</v>
      </c>
      <c r="F292" s="2" t="n">
        <v>10</v>
      </c>
      <c r="G292" s="4" t="n">
        <v>49.99</v>
      </c>
      <c r="H292" s="4" t="n">
        <v>37.03</v>
      </c>
      <c r="I292" s="4" t="n">
        <f aca="false">F292*G292</f>
        <v>499.9</v>
      </c>
      <c r="J292" s="4" t="n">
        <f aca="false">F292*H292</f>
        <v>370.3</v>
      </c>
      <c r="K292" s="4" t="n">
        <f aca="false">I292-J292</f>
        <v>129.6</v>
      </c>
      <c r="L292" s="5" t="n">
        <f aca="false">IFERROR(K292/I292,0)</f>
        <v>0.259251850370074</v>
      </c>
    </row>
    <row r="293" customFormat="false" ht="15" hidden="false" customHeight="false" outlineLevel="0" collapsed="false">
      <c r="A293" s="2" t="s">
        <v>47</v>
      </c>
      <c r="B293" s="2" t="s">
        <v>48</v>
      </c>
      <c r="C293" s="2" t="s">
        <v>32</v>
      </c>
      <c r="D293" s="2" t="s">
        <v>34</v>
      </c>
      <c r="E293" s="3" t="n">
        <v>45901</v>
      </c>
      <c r="F293" s="2" t="n">
        <v>12</v>
      </c>
      <c r="G293" s="4" t="n">
        <v>27.99</v>
      </c>
      <c r="H293" s="4" t="n">
        <v>19.41</v>
      </c>
      <c r="I293" s="4" t="n">
        <f aca="false">F293*G293</f>
        <v>335.88</v>
      </c>
      <c r="J293" s="4" t="n">
        <f aca="false">F293*H293</f>
        <v>232.92</v>
      </c>
      <c r="K293" s="4" t="n">
        <f aca="false">I293-J293</f>
        <v>102.96</v>
      </c>
      <c r="L293" s="5" t="n">
        <f aca="false">IFERROR(K293/I293,0)</f>
        <v>0.306538049303323</v>
      </c>
    </row>
    <row r="294" customFormat="false" ht="15" hidden="false" customHeight="false" outlineLevel="0" collapsed="false">
      <c r="A294" s="2" t="s">
        <v>47</v>
      </c>
      <c r="B294" s="2" t="s">
        <v>48</v>
      </c>
      <c r="C294" s="2" t="s">
        <v>32</v>
      </c>
      <c r="D294" s="2" t="s">
        <v>35</v>
      </c>
      <c r="E294" s="3" t="n">
        <v>45901</v>
      </c>
      <c r="F294" s="2" t="n">
        <v>12</v>
      </c>
      <c r="G294" s="4" t="n">
        <v>64.99</v>
      </c>
      <c r="H294" s="4" t="n">
        <v>44.37</v>
      </c>
      <c r="I294" s="4" t="n">
        <f aca="false">F294*G294</f>
        <v>779.88</v>
      </c>
      <c r="J294" s="4" t="n">
        <f aca="false">F294*H294</f>
        <v>532.44</v>
      </c>
      <c r="K294" s="4" t="n">
        <f aca="false">I294-J294</f>
        <v>247.44</v>
      </c>
      <c r="L294" s="5" t="n">
        <f aca="false">IFERROR(K294/I294,0)</f>
        <v>0.317279581474073</v>
      </c>
    </row>
    <row r="295" customFormat="false" ht="15" hidden="false" customHeight="false" outlineLevel="0" collapsed="false">
      <c r="A295" s="2" t="s">
        <v>47</v>
      </c>
      <c r="B295" s="2" t="s">
        <v>48</v>
      </c>
      <c r="C295" s="2" t="s">
        <v>32</v>
      </c>
      <c r="D295" s="2" t="s">
        <v>36</v>
      </c>
      <c r="E295" s="3" t="n">
        <v>45901</v>
      </c>
      <c r="F295" s="2" t="n">
        <v>16</v>
      </c>
      <c r="G295" s="4" t="n">
        <v>22.99</v>
      </c>
      <c r="H295" s="4" t="n">
        <v>16.58</v>
      </c>
      <c r="I295" s="4" t="n">
        <f aca="false">F295*G295</f>
        <v>367.84</v>
      </c>
      <c r="J295" s="4" t="n">
        <f aca="false">F295*H295</f>
        <v>265.28</v>
      </c>
      <c r="K295" s="4" t="n">
        <f aca="false">I295-J295</f>
        <v>102.56</v>
      </c>
      <c r="L295" s="5" t="n">
        <f aca="false">IFERROR(K295/I295,0)</f>
        <v>0.278816876903001</v>
      </c>
    </row>
    <row r="296" customFormat="false" ht="15" hidden="false" customHeight="false" outlineLevel="0" collapsed="false">
      <c r="A296" s="2" t="s">
        <v>47</v>
      </c>
      <c r="B296" s="2" t="s">
        <v>48</v>
      </c>
      <c r="C296" s="2" t="s">
        <v>32</v>
      </c>
      <c r="D296" s="2" t="s">
        <v>37</v>
      </c>
      <c r="E296" s="3" t="n">
        <v>45901</v>
      </c>
      <c r="F296" s="2" t="n">
        <v>13</v>
      </c>
      <c r="G296" s="4" t="n">
        <v>29.99</v>
      </c>
      <c r="H296" s="4" t="n">
        <v>20.75</v>
      </c>
      <c r="I296" s="4" t="n">
        <f aca="false">F296*G296</f>
        <v>389.87</v>
      </c>
      <c r="J296" s="4" t="n">
        <f aca="false">F296*H296</f>
        <v>269.75</v>
      </c>
      <c r="K296" s="4" t="n">
        <f aca="false">I296-J296</f>
        <v>120.12</v>
      </c>
      <c r="L296" s="5" t="n">
        <f aca="false">IFERROR(K296/I296,0)</f>
        <v>0.3081027009003</v>
      </c>
    </row>
    <row r="297" customFormat="false" ht="15" hidden="false" customHeight="false" outlineLevel="0" collapsed="false">
      <c r="A297" s="2" t="s">
        <v>47</v>
      </c>
      <c r="B297" s="2" t="s">
        <v>48</v>
      </c>
      <c r="C297" s="2" t="s">
        <v>38</v>
      </c>
      <c r="D297" s="2" t="s">
        <v>39</v>
      </c>
      <c r="E297" s="3" t="n">
        <v>45901</v>
      </c>
      <c r="F297" s="2" t="n">
        <v>11</v>
      </c>
      <c r="G297" s="4" t="n">
        <v>129.99</v>
      </c>
      <c r="H297" s="4" t="n">
        <v>73.37</v>
      </c>
      <c r="I297" s="4" t="n">
        <f aca="false">F297*G297</f>
        <v>1429.89</v>
      </c>
      <c r="J297" s="4" t="n">
        <f aca="false">F297*H297</f>
        <v>807.07</v>
      </c>
      <c r="K297" s="4" t="n">
        <f aca="false">I297-J297</f>
        <v>622.82</v>
      </c>
      <c r="L297" s="5" t="n">
        <f aca="false">IFERROR(K297/I297,0)</f>
        <v>0.43557196707439</v>
      </c>
    </row>
    <row r="298" customFormat="false" ht="15" hidden="false" customHeight="false" outlineLevel="0" collapsed="false">
      <c r="A298" s="2" t="s">
        <v>47</v>
      </c>
      <c r="B298" s="2" t="s">
        <v>48</v>
      </c>
      <c r="C298" s="2" t="s">
        <v>38</v>
      </c>
      <c r="D298" s="2" t="s">
        <v>40</v>
      </c>
      <c r="E298" s="3" t="n">
        <v>45901</v>
      </c>
      <c r="F298" s="2" t="n">
        <v>11</v>
      </c>
      <c r="G298" s="4" t="n">
        <v>74.99</v>
      </c>
      <c r="H298" s="4" t="n">
        <v>42.07</v>
      </c>
      <c r="I298" s="4" t="n">
        <f aca="false">F298*G298</f>
        <v>824.89</v>
      </c>
      <c r="J298" s="4" t="n">
        <f aca="false">F298*H298</f>
        <v>462.77</v>
      </c>
      <c r="K298" s="4" t="n">
        <f aca="false">I298-J298</f>
        <v>362.12</v>
      </c>
      <c r="L298" s="5" t="n">
        <f aca="false">IFERROR(K298/I298,0)</f>
        <v>0.438991865582078</v>
      </c>
    </row>
    <row r="299" customFormat="false" ht="15" hidden="false" customHeight="false" outlineLevel="0" collapsed="false">
      <c r="A299" s="2" t="s">
        <v>47</v>
      </c>
      <c r="B299" s="2" t="s">
        <v>48</v>
      </c>
      <c r="C299" s="2" t="s">
        <v>38</v>
      </c>
      <c r="D299" s="2" t="s">
        <v>41</v>
      </c>
      <c r="E299" s="3" t="n">
        <v>45901</v>
      </c>
      <c r="F299" s="2" t="n">
        <v>13</v>
      </c>
      <c r="G299" s="4" t="n">
        <v>19.99</v>
      </c>
      <c r="H299" s="4" t="n">
        <v>9.73</v>
      </c>
      <c r="I299" s="4" t="n">
        <f aca="false">F299*G299</f>
        <v>259.87</v>
      </c>
      <c r="J299" s="4" t="n">
        <f aca="false">F299*H299</f>
        <v>126.49</v>
      </c>
      <c r="K299" s="4" t="n">
        <f aca="false">I299-J299</f>
        <v>133.38</v>
      </c>
      <c r="L299" s="5" t="n">
        <f aca="false">IFERROR(K299/I299,0)</f>
        <v>0.513256628314157</v>
      </c>
    </row>
    <row r="300" customFormat="false" ht="15" hidden="false" customHeight="false" outlineLevel="0" collapsed="false">
      <c r="A300" s="2" t="s">
        <v>47</v>
      </c>
      <c r="B300" s="2" t="s">
        <v>48</v>
      </c>
      <c r="C300" s="2" t="s">
        <v>38</v>
      </c>
      <c r="D300" s="2" t="s">
        <v>42</v>
      </c>
      <c r="E300" s="3" t="n">
        <v>45901</v>
      </c>
      <c r="F300" s="2" t="n">
        <v>20</v>
      </c>
      <c r="G300" s="4" t="n">
        <v>16.99</v>
      </c>
      <c r="H300" s="4" t="n">
        <v>8.45</v>
      </c>
      <c r="I300" s="4" t="n">
        <f aca="false">F300*G300</f>
        <v>339.8</v>
      </c>
      <c r="J300" s="4" t="n">
        <f aca="false">F300*H300</f>
        <v>169</v>
      </c>
      <c r="K300" s="4" t="n">
        <f aca="false">I300-J300</f>
        <v>170.8</v>
      </c>
      <c r="L300" s="5" t="n">
        <f aca="false">IFERROR(K300/I300,0)</f>
        <v>0.502648616833431</v>
      </c>
    </row>
    <row r="301" customFormat="false" ht="15" hidden="false" customHeight="false" outlineLevel="0" collapsed="false">
      <c r="A301" s="2" t="s">
        <v>47</v>
      </c>
      <c r="B301" s="2" t="s">
        <v>48</v>
      </c>
      <c r="C301" s="2" t="s">
        <v>38</v>
      </c>
      <c r="D301" s="2" t="s">
        <v>43</v>
      </c>
      <c r="E301" s="3" t="n">
        <v>45901</v>
      </c>
      <c r="F301" s="2" t="n">
        <v>19</v>
      </c>
      <c r="G301" s="4" t="n">
        <v>24.99</v>
      </c>
      <c r="H301" s="4" t="n">
        <v>13.09</v>
      </c>
      <c r="I301" s="4" t="n">
        <f aca="false">F301*G301</f>
        <v>474.81</v>
      </c>
      <c r="J301" s="4" t="n">
        <f aca="false">F301*H301</f>
        <v>248.71</v>
      </c>
      <c r="K301" s="4" t="n">
        <f aca="false">I301-J301</f>
        <v>226.1</v>
      </c>
      <c r="L301" s="5" t="n">
        <f aca="false">IFERROR(K301/I301,0)</f>
        <v>0.476190476190476</v>
      </c>
    </row>
    <row r="302" customFormat="false" ht="15" hidden="false" customHeight="false" outlineLevel="0" collapsed="false">
      <c r="A302" s="2" t="s">
        <v>47</v>
      </c>
      <c r="B302" s="2" t="s">
        <v>49</v>
      </c>
      <c r="C302" s="2" t="s">
        <v>14</v>
      </c>
      <c r="D302" s="2" t="s">
        <v>15</v>
      </c>
      <c r="E302" s="3" t="n">
        <v>45901</v>
      </c>
      <c r="F302" s="2" t="n">
        <v>17</v>
      </c>
      <c r="G302" s="4" t="n">
        <v>69.99</v>
      </c>
      <c r="H302" s="4" t="n">
        <v>34.05</v>
      </c>
      <c r="I302" s="4" t="n">
        <f aca="false">F302*G302</f>
        <v>1189.83</v>
      </c>
      <c r="J302" s="4" t="n">
        <f aca="false">F302*H302</f>
        <v>578.85</v>
      </c>
      <c r="K302" s="4" t="n">
        <f aca="false">I302-J302</f>
        <v>610.98</v>
      </c>
      <c r="L302" s="5" t="n">
        <f aca="false">IFERROR(K302/I302,0)</f>
        <v>0.513501928846978</v>
      </c>
    </row>
    <row r="303" customFormat="false" ht="15" hidden="false" customHeight="false" outlineLevel="0" collapsed="false">
      <c r="A303" s="2" t="s">
        <v>47</v>
      </c>
      <c r="B303" s="2" t="s">
        <v>49</v>
      </c>
      <c r="C303" s="2" t="s">
        <v>14</v>
      </c>
      <c r="D303" s="2" t="s">
        <v>16</v>
      </c>
      <c r="E303" s="3" t="n">
        <v>45901</v>
      </c>
      <c r="F303" s="2" t="n">
        <v>11</v>
      </c>
      <c r="G303" s="4" t="n">
        <v>19.99</v>
      </c>
      <c r="H303" s="4" t="n">
        <v>9.19</v>
      </c>
      <c r="I303" s="4" t="n">
        <f aca="false">F303*G303</f>
        <v>219.89</v>
      </c>
      <c r="J303" s="4" t="n">
        <f aca="false">F303*H303</f>
        <v>101.09</v>
      </c>
      <c r="K303" s="4" t="n">
        <f aca="false">I303-J303</f>
        <v>118.8</v>
      </c>
      <c r="L303" s="5" t="n">
        <f aca="false">IFERROR(K303/I303,0)</f>
        <v>0.540270135067534</v>
      </c>
    </row>
    <row r="304" customFormat="false" ht="15" hidden="false" customHeight="false" outlineLevel="0" collapsed="false">
      <c r="A304" s="2" t="s">
        <v>47</v>
      </c>
      <c r="B304" s="2" t="s">
        <v>49</v>
      </c>
      <c r="C304" s="2" t="s">
        <v>14</v>
      </c>
      <c r="D304" s="2" t="s">
        <v>17</v>
      </c>
      <c r="E304" s="3" t="n">
        <v>45901</v>
      </c>
      <c r="F304" s="2" t="n">
        <v>24</v>
      </c>
      <c r="G304" s="4" t="n">
        <v>79.99</v>
      </c>
      <c r="H304" s="4" t="n">
        <v>40.06</v>
      </c>
      <c r="I304" s="4" t="n">
        <f aca="false">F304*G304</f>
        <v>1919.76</v>
      </c>
      <c r="J304" s="4" t="n">
        <f aca="false">F304*H304</f>
        <v>961.44</v>
      </c>
      <c r="K304" s="4" t="n">
        <f aca="false">I304-J304</f>
        <v>958.32</v>
      </c>
      <c r="L304" s="5" t="n">
        <f aca="false">IFERROR(K304/I304,0)</f>
        <v>0.499187398424803</v>
      </c>
    </row>
    <row r="305" customFormat="false" ht="15" hidden="false" customHeight="false" outlineLevel="0" collapsed="false">
      <c r="A305" s="2" t="s">
        <v>47</v>
      </c>
      <c r="B305" s="2" t="s">
        <v>49</v>
      </c>
      <c r="C305" s="2" t="s">
        <v>14</v>
      </c>
      <c r="D305" s="2" t="s">
        <v>18</v>
      </c>
      <c r="E305" s="3" t="n">
        <v>45901</v>
      </c>
      <c r="F305" s="2" t="n">
        <v>41</v>
      </c>
      <c r="G305" s="4" t="n">
        <v>34.99</v>
      </c>
      <c r="H305" s="4" t="n">
        <v>14.89</v>
      </c>
      <c r="I305" s="4" t="n">
        <f aca="false">F305*G305</f>
        <v>1434.59</v>
      </c>
      <c r="J305" s="4" t="n">
        <f aca="false">F305*H305</f>
        <v>610.49</v>
      </c>
      <c r="K305" s="4" t="n">
        <f aca="false">I305-J305</f>
        <v>824.1</v>
      </c>
      <c r="L305" s="5" t="n">
        <f aca="false">IFERROR(K305/I305,0)</f>
        <v>0.574449842812232</v>
      </c>
    </row>
    <row r="306" customFormat="false" ht="15" hidden="false" customHeight="false" outlineLevel="0" collapsed="false">
      <c r="A306" s="2" t="s">
        <v>47</v>
      </c>
      <c r="B306" s="2" t="s">
        <v>49</v>
      </c>
      <c r="C306" s="2" t="s">
        <v>14</v>
      </c>
      <c r="D306" s="2" t="s">
        <v>19</v>
      </c>
      <c r="E306" s="3" t="n">
        <v>45901</v>
      </c>
      <c r="F306" s="2" t="n">
        <v>18</v>
      </c>
      <c r="G306" s="4" t="n">
        <v>54.99</v>
      </c>
      <c r="H306" s="4" t="n">
        <v>24.8</v>
      </c>
      <c r="I306" s="4" t="n">
        <f aca="false">F306*G306</f>
        <v>989.82</v>
      </c>
      <c r="J306" s="4" t="n">
        <f aca="false">F306*H306</f>
        <v>446.4</v>
      </c>
      <c r="K306" s="4" t="n">
        <f aca="false">I306-J306</f>
        <v>543.42</v>
      </c>
      <c r="L306" s="5" t="n">
        <f aca="false">IFERROR(K306/I306,0)</f>
        <v>0.549008910711038</v>
      </c>
    </row>
    <row r="307" customFormat="false" ht="15" hidden="false" customHeight="false" outlineLevel="0" collapsed="false">
      <c r="A307" s="2" t="s">
        <v>47</v>
      </c>
      <c r="B307" s="2" t="s">
        <v>49</v>
      </c>
      <c r="C307" s="2" t="s">
        <v>20</v>
      </c>
      <c r="D307" s="2" t="s">
        <v>21</v>
      </c>
      <c r="E307" s="3" t="n">
        <v>45901</v>
      </c>
      <c r="F307" s="2" t="n">
        <v>21</v>
      </c>
      <c r="G307" s="4" t="n">
        <v>44.99</v>
      </c>
      <c r="H307" s="4" t="n">
        <v>20.24</v>
      </c>
      <c r="I307" s="4" t="n">
        <f aca="false">F307*G307</f>
        <v>944.79</v>
      </c>
      <c r="J307" s="4" t="n">
        <f aca="false">F307*H307</f>
        <v>425.04</v>
      </c>
      <c r="K307" s="4" t="n">
        <f aca="false">I307-J307</f>
        <v>519.75</v>
      </c>
      <c r="L307" s="5" t="n">
        <f aca="false">IFERROR(K307/I307,0)</f>
        <v>0.550122249388753</v>
      </c>
    </row>
    <row r="308" customFormat="false" ht="15" hidden="false" customHeight="false" outlineLevel="0" collapsed="false">
      <c r="A308" s="2" t="s">
        <v>47</v>
      </c>
      <c r="B308" s="2" t="s">
        <v>49</v>
      </c>
      <c r="C308" s="2" t="s">
        <v>20</v>
      </c>
      <c r="D308" s="2" t="s">
        <v>22</v>
      </c>
      <c r="E308" s="3" t="n">
        <v>45901</v>
      </c>
      <c r="F308" s="2" t="n">
        <v>16</v>
      </c>
      <c r="G308" s="4" t="n">
        <v>14.99</v>
      </c>
      <c r="H308" s="4" t="n">
        <v>5.56</v>
      </c>
      <c r="I308" s="4" t="n">
        <f aca="false">F308*G308</f>
        <v>239.84</v>
      </c>
      <c r="J308" s="4" t="n">
        <f aca="false">F308*H308</f>
        <v>88.96</v>
      </c>
      <c r="K308" s="4" t="n">
        <f aca="false">I308-J308</f>
        <v>150.88</v>
      </c>
      <c r="L308" s="5" t="n">
        <f aca="false">IFERROR(K308/I308,0)</f>
        <v>0.629086057371581</v>
      </c>
    </row>
    <row r="309" customFormat="false" ht="15" hidden="false" customHeight="false" outlineLevel="0" collapsed="false">
      <c r="A309" s="2" t="s">
        <v>47</v>
      </c>
      <c r="B309" s="2" t="s">
        <v>49</v>
      </c>
      <c r="C309" s="2" t="s">
        <v>20</v>
      </c>
      <c r="D309" s="2" t="s">
        <v>23</v>
      </c>
      <c r="E309" s="3" t="n">
        <v>45901</v>
      </c>
      <c r="F309" s="2" t="n">
        <v>24</v>
      </c>
      <c r="G309" s="4" t="n">
        <v>39.99</v>
      </c>
      <c r="H309" s="4" t="n">
        <v>16.45</v>
      </c>
      <c r="I309" s="4" t="n">
        <f aca="false">F309*G309</f>
        <v>959.76</v>
      </c>
      <c r="J309" s="4" t="n">
        <f aca="false">F309*H309</f>
        <v>394.8</v>
      </c>
      <c r="K309" s="4" t="n">
        <f aca="false">I309-J309</f>
        <v>564.96</v>
      </c>
      <c r="L309" s="5" t="n">
        <f aca="false">IFERROR(K309/I309,0)</f>
        <v>0.588647161790448</v>
      </c>
    </row>
    <row r="310" customFormat="false" ht="15" hidden="false" customHeight="false" outlineLevel="0" collapsed="false">
      <c r="A310" s="2" t="s">
        <v>47</v>
      </c>
      <c r="B310" s="2" t="s">
        <v>49</v>
      </c>
      <c r="C310" s="2" t="s">
        <v>20</v>
      </c>
      <c r="D310" s="2" t="s">
        <v>24</v>
      </c>
      <c r="E310" s="3" t="n">
        <v>45901</v>
      </c>
      <c r="F310" s="2" t="n">
        <v>18</v>
      </c>
      <c r="G310" s="4" t="n">
        <v>18.99</v>
      </c>
      <c r="H310" s="4" t="n">
        <v>7.71</v>
      </c>
      <c r="I310" s="4" t="n">
        <f aca="false">F310*G310</f>
        <v>341.82</v>
      </c>
      <c r="J310" s="4" t="n">
        <f aca="false">F310*H310</f>
        <v>138.78</v>
      </c>
      <c r="K310" s="4" t="n">
        <f aca="false">I310-J310</f>
        <v>203.04</v>
      </c>
      <c r="L310" s="5" t="n">
        <f aca="false">IFERROR(K310/I310,0)</f>
        <v>0.593996840442338</v>
      </c>
    </row>
    <row r="311" customFormat="false" ht="15" hidden="false" customHeight="false" outlineLevel="0" collapsed="false">
      <c r="A311" s="2" t="s">
        <v>47</v>
      </c>
      <c r="B311" s="2" t="s">
        <v>49</v>
      </c>
      <c r="C311" s="2" t="s">
        <v>20</v>
      </c>
      <c r="D311" s="2" t="s">
        <v>25</v>
      </c>
      <c r="E311" s="3" t="n">
        <v>45901</v>
      </c>
      <c r="F311" s="2" t="n">
        <v>18</v>
      </c>
      <c r="G311" s="4" t="n">
        <v>42.99</v>
      </c>
      <c r="H311" s="4" t="n">
        <v>15.48</v>
      </c>
      <c r="I311" s="4" t="n">
        <f aca="false">F311*G311</f>
        <v>773.82</v>
      </c>
      <c r="J311" s="4" t="n">
        <f aca="false">F311*H311</f>
        <v>278.64</v>
      </c>
      <c r="K311" s="4" t="n">
        <f aca="false">I311-J311</f>
        <v>495.18</v>
      </c>
      <c r="L311" s="5" t="n">
        <f aca="false">IFERROR(K311/I311,0)</f>
        <v>0.639916259595255</v>
      </c>
    </row>
    <row r="312" customFormat="false" ht="15" hidden="false" customHeight="false" outlineLevel="0" collapsed="false">
      <c r="A312" s="2" t="s">
        <v>47</v>
      </c>
      <c r="B312" s="2" t="s">
        <v>49</v>
      </c>
      <c r="C312" s="2" t="s">
        <v>26</v>
      </c>
      <c r="D312" s="2" t="s">
        <v>27</v>
      </c>
      <c r="E312" s="3" t="n">
        <v>45901</v>
      </c>
      <c r="F312" s="2" t="n">
        <v>17</v>
      </c>
      <c r="G312" s="4" t="n">
        <v>44.99</v>
      </c>
      <c r="H312" s="4" t="n">
        <v>27.49</v>
      </c>
      <c r="I312" s="4" t="n">
        <f aca="false">F312*G312</f>
        <v>764.83</v>
      </c>
      <c r="J312" s="4" t="n">
        <f aca="false">F312*H312</f>
        <v>467.33</v>
      </c>
      <c r="K312" s="4" t="n">
        <f aca="false">I312-J312</f>
        <v>297.5</v>
      </c>
      <c r="L312" s="5" t="n">
        <f aca="false">IFERROR(K312/I312,0)</f>
        <v>0.388975327850634</v>
      </c>
    </row>
    <row r="313" customFormat="false" ht="15" hidden="false" customHeight="false" outlineLevel="0" collapsed="false">
      <c r="A313" s="2" t="s">
        <v>47</v>
      </c>
      <c r="B313" s="2" t="s">
        <v>49</v>
      </c>
      <c r="C313" s="2" t="s">
        <v>26</v>
      </c>
      <c r="D313" s="2" t="s">
        <v>28</v>
      </c>
      <c r="E313" s="3" t="n">
        <v>45901</v>
      </c>
      <c r="F313" s="2" t="n">
        <v>23</v>
      </c>
      <c r="G313" s="4" t="n">
        <v>34.99</v>
      </c>
      <c r="H313" s="4" t="n">
        <v>22.44</v>
      </c>
      <c r="I313" s="4" t="n">
        <f aca="false">F313*G313</f>
        <v>804.77</v>
      </c>
      <c r="J313" s="4" t="n">
        <f aca="false">F313*H313</f>
        <v>516.12</v>
      </c>
      <c r="K313" s="4" t="n">
        <f aca="false">I313-J313</f>
        <v>288.65</v>
      </c>
      <c r="L313" s="5" t="n">
        <f aca="false">IFERROR(K313/I313,0)</f>
        <v>0.358673906830523</v>
      </c>
    </row>
    <row r="314" customFormat="false" ht="15" hidden="false" customHeight="false" outlineLevel="0" collapsed="false">
      <c r="A314" s="2" t="s">
        <v>47</v>
      </c>
      <c r="B314" s="2" t="s">
        <v>49</v>
      </c>
      <c r="C314" s="2" t="s">
        <v>26</v>
      </c>
      <c r="D314" s="2" t="s">
        <v>29</v>
      </c>
      <c r="E314" s="3" t="n">
        <v>45901</v>
      </c>
      <c r="F314" s="2" t="n">
        <v>16</v>
      </c>
      <c r="G314" s="4" t="n">
        <v>119.99</v>
      </c>
      <c r="H314" s="4" t="n">
        <v>79.65</v>
      </c>
      <c r="I314" s="4" t="n">
        <f aca="false">F314*G314</f>
        <v>1919.84</v>
      </c>
      <c r="J314" s="4" t="n">
        <f aca="false">F314*H314</f>
        <v>1274.4</v>
      </c>
      <c r="K314" s="4" t="n">
        <f aca="false">I314-J314</f>
        <v>645.44</v>
      </c>
      <c r="L314" s="5" t="n">
        <f aca="false">IFERROR(K314/I314,0)</f>
        <v>0.336194682890241</v>
      </c>
    </row>
    <row r="315" customFormat="false" ht="15" hidden="false" customHeight="false" outlineLevel="0" collapsed="false">
      <c r="A315" s="2" t="s">
        <v>47</v>
      </c>
      <c r="B315" s="2" t="s">
        <v>49</v>
      </c>
      <c r="C315" s="2" t="s">
        <v>26</v>
      </c>
      <c r="D315" s="2" t="s">
        <v>30</v>
      </c>
      <c r="E315" s="3" t="n">
        <v>45901</v>
      </c>
      <c r="F315" s="2" t="n">
        <v>24</v>
      </c>
      <c r="G315" s="4" t="n">
        <v>24.99</v>
      </c>
      <c r="H315" s="4" t="n">
        <v>15.25</v>
      </c>
      <c r="I315" s="4" t="n">
        <f aca="false">F315*G315</f>
        <v>599.76</v>
      </c>
      <c r="J315" s="4" t="n">
        <f aca="false">F315*H315</f>
        <v>366</v>
      </c>
      <c r="K315" s="4" t="n">
        <f aca="false">I315-J315</f>
        <v>233.76</v>
      </c>
      <c r="L315" s="5" t="n">
        <f aca="false">IFERROR(K315/I315,0)</f>
        <v>0.389755902360944</v>
      </c>
    </row>
    <row r="316" customFormat="false" ht="15" hidden="false" customHeight="false" outlineLevel="0" collapsed="false">
      <c r="A316" s="2" t="s">
        <v>47</v>
      </c>
      <c r="B316" s="2" t="s">
        <v>49</v>
      </c>
      <c r="C316" s="2" t="s">
        <v>26</v>
      </c>
      <c r="D316" s="2" t="s">
        <v>31</v>
      </c>
      <c r="E316" s="3" t="n">
        <v>45901</v>
      </c>
      <c r="F316" s="2" t="n">
        <v>14</v>
      </c>
      <c r="G316" s="4" t="n">
        <v>59.99</v>
      </c>
      <c r="H316" s="4" t="n">
        <v>37.87</v>
      </c>
      <c r="I316" s="4" t="n">
        <f aca="false">F316*G316</f>
        <v>839.86</v>
      </c>
      <c r="J316" s="4" t="n">
        <f aca="false">F316*H316</f>
        <v>530.18</v>
      </c>
      <c r="K316" s="4" t="n">
        <f aca="false">I316-J316</f>
        <v>309.68</v>
      </c>
      <c r="L316" s="5" t="n">
        <f aca="false">IFERROR(K316/I316,0)</f>
        <v>0.368728121353559</v>
      </c>
    </row>
    <row r="317" customFormat="false" ht="15" hidden="false" customHeight="false" outlineLevel="0" collapsed="false">
      <c r="A317" s="2" t="s">
        <v>47</v>
      </c>
      <c r="B317" s="2" t="s">
        <v>49</v>
      </c>
      <c r="C317" s="2" t="s">
        <v>32</v>
      </c>
      <c r="D317" s="2" t="s">
        <v>33</v>
      </c>
      <c r="E317" s="3" t="n">
        <v>45901</v>
      </c>
      <c r="F317" s="2" t="n">
        <v>13</v>
      </c>
      <c r="G317" s="4" t="n">
        <v>49.99</v>
      </c>
      <c r="H317" s="4" t="n">
        <v>35.55</v>
      </c>
      <c r="I317" s="4" t="n">
        <f aca="false">F317*G317</f>
        <v>649.87</v>
      </c>
      <c r="J317" s="4" t="n">
        <f aca="false">F317*H317</f>
        <v>462.15</v>
      </c>
      <c r="K317" s="4" t="n">
        <f aca="false">I317-J317</f>
        <v>187.72</v>
      </c>
      <c r="L317" s="5" t="n">
        <f aca="false">IFERROR(K317/I317,0)</f>
        <v>0.288857771554311</v>
      </c>
    </row>
    <row r="318" customFormat="false" ht="15" hidden="false" customHeight="false" outlineLevel="0" collapsed="false">
      <c r="A318" s="2" t="s">
        <v>47</v>
      </c>
      <c r="B318" s="2" t="s">
        <v>49</v>
      </c>
      <c r="C318" s="2" t="s">
        <v>32</v>
      </c>
      <c r="D318" s="2" t="s">
        <v>34</v>
      </c>
      <c r="E318" s="3" t="n">
        <v>45901</v>
      </c>
      <c r="F318" s="2" t="n">
        <v>23</v>
      </c>
      <c r="G318" s="4" t="n">
        <v>27.99</v>
      </c>
      <c r="H318" s="4" t="n">
        <v>19.82</v>
      </c>
      <c r="I318" s="4" t="n">
        <f aca="false">F318*G318</f>
        <v>643.77</v>
      </c>
      <c r="J318" s="4" t="n">
        <f aca="false">F318*H318</f>
        <v>455.86</v>
      </c>
      <c r="K318" s="4" t="n">
        <f aca="false">I318-J318</f>
        <v>187.91</v>
      </c>
      <c r="L318" s="5" t="n">
        <f aca="false">IFERROR(K318/I318,0)</f>
        <v>0.29188996070025</v>
      </c>
    </row>
    <row r="319" customFormat="false" ht="15" hidden="false" customHeight="false" outlineLevel="0" collapsed="false">
      <c r="A319" s="2" t="s">
        <v>47</v>
      </c>
      <c r="B319" s="2" t="s">
        <v>49</v>
      </c>
      <c r="C319" s="2" t="s">
        <v>32</v>
      </c>
      <c r="D319" s="2" t="s">
        <v>35</v>
      </c>
      <c r="E319" s="3" t="n">
        <v>45901</v>
      </c>
      <c r="F319" s="2" t="n">
        <v>28</v>
      </c>
      <c r="G319" s="4" t="n">
        <v>64.99</v>
      </c>
      <c r="H319" s="4" t="n">
        <v>45.97</v>
      </c>
      <c r="I319" s="4" t="n">
        <f aca="false">F319*G319</f>
        <v>1819.72</v>
      </c>
      <c r="J319" s="4" t="n">
        <f aca="false">F319*H319</f>
        <v>1287.16</v>
      </c>
      <c r="K319" s="4" t="n">
        <f aca="false">I319-J319</f>
        <v>532.56</v>
      </c>
      <c r="L319" s="5" t="n">
        <f aca="false">IFERROR(K319/I319,0)</f>
        <v>0.292660409293738</v>
      </c>
    </row>
    <row r="320" customFormat="false" ht="15" hidden="false" customHeight="false" outlineLevel="0" collapsed="false">
      <c r="A320" s="2" t="s">
        <v>47</v>
      </c>
      <c r="B320" s="2" t="s">
        <v>49</v>
      </c>
      <c r="C320" s="2" t="s">
        <v>32</v>
      </c>
      <c r="D320" s="2" t="s">
        <v>36</v>
      </c>
      <c r="E320" s="3" t="n">
        <v>45901</v>
      </c>
      <c r="F320" s="2" t="n">
        <v>18</v>
      </c>
      <c r="G320" s="4" t="n">
        <v>22.99</v>
      </c>
      <c r="H320" s="4" t="n">
        <v>16.78</v>
      </c>
      <c r="I320" s="4" t="n">
        <f aca="false">F320*G320</f>
        <v>413.82</v>
      </c>
      <c r="J320" s="4" t="n">
        <f aca="false">F320*H320</f>
        <v>302.04</v>
      </c>
      <c r="K320" s="4" t="n">
        <f aca="false">I320-J320</f>
        <v>111.78</v>
      </c>
      <c r="L320" s="5" t="n">
        <f aca="false">IFERROR(K320/I320,0)</f>
        <v>0.270117442366246</v>
      </c>
    </row>
    <row r="321" customFormat="false" ht="15" hidden="false" customHeight="false" outlineLevel="0" collapsed="false">
      <c r="A321" s="2" t="s">
        <v>47</v>
      </c>
      <c r="B321" s="2" t="s">
        <v>49</v>
      </c>
      <c r="C321" s="2" t="s">
        <v>32</v>
      </c>
      <c r="D321" s="2" t="s">
        <v>37</v>
      </c>
      <c r="E321" s="3" t="n">
        <v>45901</v>
      </c>
      <c r="F321" s="2" t="n">
        <v>30</v>
      </c>
      <c r="G321" s="4" t="n">
        <v>29.99</v>
      </c>
      <c r="H321" s="4" t="n">
        <v>20.19</v>
      </c>
      <c r="I321" s="4" t="n">
        <f aca="false">F321*G321</f>
        <v>899.7</v>
      </c>
      <c r="J321" s="4" t="n">
        <f aca="false">F321*H321</f>
        <v>605.7</v>
      </c>
      <c r="K321" s="4" t="n">
        <f aca="false">I321-J321</f>
        <v>294</v>
      </c>
      <c r="L321" s="5" t="n">
        <f aca="false">IFERROR(K321/I321,0)</f>
        <v>0.326775591863955</v>
      </c>
    </row>
    <row r="322" customFormat="false" ht="15" hidden="false" customHeight="false" outlineLevel="0" collapsed="false">
      <c r="A322" s="2" t="s">
        <v>47</v>
      </c>
      <c r="B322" s="2" t="s">
        <v>49</v>
      </c>
      <c r="C322" s="2" t="s">
        <v>38</v>
      </c>
      <c r="D322" s="2" t="s">
        <v>39</v>
      </c>
      <c r="E322" s="3" t="n">
        <v>45901</v>
      </c>
      <c r="F322" s="2" t="n">
        <v>14</v>
      </c>
      <c r="G322" s="4" t="n">
        <v>129.99</v>
      </c>
      <c r="H322" s="4" t="n">
        <v>75.83</v>
      </c>
      <c r="I322" s="4" t="n">
        <f aca="false">F322*G322</f>
        <v>1819.86</v>
      </c>
      <c r="J322" s="4" t="n">
        <f aca="false">F322*H322</f>
        <v>1061.62</v>
      </c>
      <c r="K322" s="4" t="n">
        <f aca="false">I322-J322</f>
        <v>758.24</v>
      </c>
      <c r="L322" s="5" t="n">
        <f aca="false">IFERROR(K322/I322,0)</f>
        <v>0.416647434418032</v>
      </c>
    </row>
    <row r="323" customFormat="false" ht="15" hidden="false" customHeight="false" outlineLevel="0" collapsed="false">
      <c r="A323" s="2" t="s">
        <v>47</v>
      </c>
      <c r="B323" s="2" t="s">
        <v>49</v>
      </c>
      <c r="C323" s="2" t="s">
        <v>38</v>
      </c>
      <c r="D323" s="2" t="s">
        <v>40</v>
      </c>
      <c r="E323" s="3" t="n">
        <v>45901</v>
      </c>
      <c r="F323" s="2" t="n">
        <v>14</v>
      </c>
      <c r="G323" s="4" t="n">
        <v>74.99</v>
      </c>
      <c r="H323" s="4" t="n">
        <v>41.82</v>
      </c>
      <c r="I323" s="4" t="n">
        <f aca="false">F323*G323</f>
        <v>1049.86</v>
      </c>
      <c r="J323" s="4" t="n">
        <f aca="false">F323*H323</f>
        <v>585.48</v>
      </c>
      <c r="K323" s="4" t="n">
        <f aca="false">I323-J323</f>
        <v>464.38</v>
      </c>
      <c r="L323" s="5" t="n">
        <f aca="false">IFERROR(K323/I323,0)</f>
        <v>0.442325643419123</v>
      </c>
    </row>
    <row r="324" customFormat="false" ht="15" hidden="false" customHeight="false" outlineLevel="0" collapsed="false">
      <c r="A324" s="2" t="s">
        <v>47</v>
      </c>
      <c r="B324" s="2" t="s">
        <v>49</v>
      </c>
      <c r="C324" s="2" t="s">
        <v>38</v>
      </c>
      <c r="D324" s="2" t="s">
        <v>41</v>
      </c>
      <c r="E324" s="3" t="n">
        <v>45901</v>
      </c>
      <c r="F324" s="2" t="n">
        <v>16</v>
      </c>
      <c r="G324" s="4" t="n">
        <v>19.99</v>
      </c>
      <c r="H324" s="4" t="n">
        <v>9.65</v>
      </c>
      <c r="I324" s="4" t="n">
        <f aca="false">F324*G324</f>
        <v>319.84</v>
      </c>
      <c r="J324" s="4" t="n">
        <f aca="false">F324*H324</f>
        <v>154.4</v>
      </c>
      <c r="K324" s="4" t="n">
        <f aca="false">I324-J324</f>
        <v>165.44</v>
      </c>
      <c r="L324" s="5" t="n">
        <f aca="false">IFERROR(K324/I324,0)</f>
        <v>0.517258629314657</v>
      </c>
    </row>
    <row r="325" customFormat="false" ht="15" hidden="false" customHeight="false" outlineLevel="0" collapsed="false">
      <c r="A325" s="2" t="s">
        <v>47</v>
      </c>
      <c r="B325" s="2" t="s">
        <v>49</v>
      </c>
      <c r="C325" s="2" t="s">
        <v>38</v>
      </c>
      <c r="D325" s="2" t="s">
        <v>42</v>
      </c>
      <c r="E325" s="3" t="n">
        <v>45901</v>
      </c>
      <c r="F325" s="2" t="n">
        <v>14</v>
      </c>
      <c r="G325" s="4" t="n">
        <v>16.99</v>
      </c>
      <c r="H325" s="4" t="n">
        <v>8.59</v>
      </c>
      <c r="I325" s="4" t="n">
        <f aca="false">F325*G325</f>
        <v>237.86</v>
      </c>
      <c r="J325" s="4" t="n">
        <f aca="false">F325*H325</f>
        <v>120.26</v>
      </c>
      <c r="K325" s="4" t="n">
        <f aca="false">I325-J325</f>
        <v>117.6</v>
      </c>
      <c r="L325" s="5" t="n">
        <f aca="false">IFERROR(K325/I325,0)</f>
        <v>0.494408475573867</v>
      </c>
    </row>
    <row r="326" customFormat="false" ht="15" hidden="false" customHeight="false" outlineLevel="0" collapsed="false">
      <c r="A326" s="2" t="s">
        <v>47</v>
      </c>
      <c r="B326" s="2" t="s">
        <v>49</v>
      </c>
      <c r="C326" s="2" t="s">
        <v>38</v>
      </c>
      <c r="D326" s="2" t="s">
        <v>43</v>
      </c>
      <c r="E326" s="3" t="n">
        <v>45901</v>
      </c>
      <c r="F326" s="2" t="n">
        <v>18</v>
      </c>
      <c r="G326" s="4" t="n">
        <v>24.99</v>
      </c>
      <c r="H326" s="4" t="n">
        <v>13.02</v>
      </c>
      <c r="I326" s="4" t="n">
        <f aca="false">F326*G326</f>
        <v>449.82</v>
      </c>
      <c r="J326" s="4" t="n">
        <f aca="false">F326*H326</f>
        <v>234.36</v>
      </c>
      <c r="K326" s="4" t="n">
        <f aca="false">I326-J326</f>
        <v>215.46</v>
      </c>
      <c r="L326" s="5" t="n">
        <f aca="false">IFERROR(K326/I326,0)</f>
        <v>0.478991596638656</v>
      </c>
    </row>
    <row r="327" customFormat="false" ht="15" hidden="false" customHeight="false" outlineLevel="0" collapsed="false">
      <c r="A327" s="2" t="s">
        <v>50</v>
      </c>
      <c r="B327" s="2" t="s">
        <v>51</v>
      </c>
      <c r="C327" s="2" t="s">
        <v>14</v>
      </c>
      <c r="D327" s="2" t="s">
        <v>15</v>
      </c>
      <c r="E327" s="3" t="n">
        <v>45901</v>
      </c>
      <c r="F327" s="2" t="n">
        <v>14</v>
      </c>
      <c r="G327" s="4" t="n">
        <v>69.99</v>
      </c>
      <c r="H327" s="4" t="n">
        <v>33.45</v>
      </c>
      <c r="I327" s="4" t="n">
        <f aca="false">F327*G327</f>
        <v>979.86</v>
      </c>
      <c r="J327" s="4" t="n">
        <f aca="false">F327*H327</f>
        <v>468.3</v>
      </c>
      <c r="K327" s="4" t="n">
        <f aca="false">I327-J327</f>
        <v>511.56</v>
      </c>
      <c r="L327" s="5" t="n">
        <f aca="false">IFERROR(K327/I327,0)</f>
        <v>0.522074582083155</v>
      </c>
    </row>
    <row r="328" customFormat="false" ht="15" hidden="false" customHeight="false" outlineLevel="0" collapsed="false">
      <c r="A328" s="2" t="s">
        <v>50</v>
      </c>
      <c r="B328" s="2" t="s">
        <v>51</v>
      </c>
      <c r="C328" s="2" t="s">
        <v>14</v>
      </c>
      <c r="D328" s="2" t="s">
        <v>16</v>
      </c>
      <c r="E328" s="3" t="n">
        <v>45901</v>
      </c>
      <c r="F328" s="2" t="n">
        <v>17</v>
      </c>
      <c r="G328" s="4" t="n">
        <v>19.99</v>
      </c>
      <c r="H328" s="4" t="n">
        <v>8.83</v>
      </c>
      <c r="I328" s="4" t="n">
        <f aca="false">F328*G328</f>
        <v>339.83</v>
      </c>
      <c r="J328" s="4" t="n">
        <f aca="false">F328*H328</f>
        <v>150.11</v>
      </c>
      <c r="K328" s="4" t="n">
        <f aca="false">I328-J328</f>
        <v>189.72</v>
      </c>
      <c r="L328" s="5" t="n">
        <f aca="false">IFERROR(K328/I328,0)</f>
        <v>0.558279139569785</v>
      </c>
    </row>
    <row r="329" customFormat="false" ht="15" hidden="false" customHeight="false" outlineLevel="0" collapsed="false">
      <c r="A329" s="2" t="s">
        <v>50</v>
      </c>
      <c r="B329" s="2" t="s">
        <v>51</v>
      </c>
      <c r="C329" s="2" t="s">
        <v>14</v>
      </c>
      <c r="D329" s="2" t="s">
        <v>17</v>
      </c>
      <c r="E329" s="3" t="n">
        <v>45901</v>
      </c>
      <c r="F329" s="2" t="n">
        <v>11</v>
      </c>
      <c r="G329" s="4" t="n">
        <v>79.99</v>
      </c>
      <c r="H329" s="4" t="n">
        <v>39.48</v>
      </c>
      <c r="I329" s="4" t="n">
        <f aca="false">F329*G329</f>
        <v>879.89</v>
      </c>
      <c r="J329" s="4" t="n">
        <f aca="false">F329*H329</f>
        <v>434.28</v>
      </c>
      <c r="K329" s="4" t="n">
        <f aca="false">I329-J329</f>
        <v>445.61</v>
      </c>
      <c r="L329" s="5" t="n">
        <f aca="false">IFERROR(K329/I329,0)</f>
        <v>0.506438304788099</v>
      </c>
    </row>
    <row r="330" customFormat="false" ht="15" hidden="false" customHeight="false" outlineLevel="0" collapsed="false">
      <c r="A330" s="2" t="s">
        <v>50</v>
      </c>
      <c r="B330" s="2" t="s">
        <v>51</v>
      </c>
      <c r="C330" s="2" t="s">
        <v>14</v>
      </c>
      <c r="D330" s="2" t="s">
        <v>18</v>
      </c>
      <c r="E330" s="3" t="n">
        <v>45901</v>
      </c>
      <c r="F330" s="2" t="n">
        <v>17</v>
      </c>
      <c r="G330" s="4" t="n">
        <v>34.99</v>
      </c>
      <c r="H330" s="4" t="n">
        <v>15.07</v>
      </c>
      <c r="I330" s="4" t="n">
        <f aca="false">F330*G330</f>
        <v>594.83</v>
      </c>
      <c r="J330" s="4" t="n">
        <f aca="false">F330*H330</f>
        <v>256.19</v>
      </c>
      <c r="K330" s="4" t="n">
        <f aca="false">I330-J330</f>
        <v>338.64</v>
      </c>
      <c r="L330" s="5" t="n">
        <f aca="false">IFERROR(K330/I330,0)</f>
        <v>0.569305515861675</v>
      </c>
    </row>
    <row r="331" customFormat="false" ht="15" hidden="false" customHeight="false" outlineLevel="0" collapsed="false">
      <c r="A331" s="2" t="s">
        <v>50</v>
      </c>
      <c r="B331" s="2" t="s">
        <v>51</v>
      </c>
      <c r="C331" s="2" t="s">
        <v>14</v>
      </c>
      <c r="D331" s="2" t="s">
        <v>19</v>
      </c>
      <c r="E331" s="3" t="n">
        <v>45901</v>
      </c>
      <c r="F331" s="2" t="n">
        <v>8</v>
      </c>
      <c r="G331" s="4" t="n">
        <v>54.99</v>
      </c>
      <c r="H331" s="4" t="n">
        <v>23.76</v>
      </c>
      <c r="I331" s="4" t="n">
        <f aca="false">F331*G331</f>
        <v>439.92</v>
      </c>
      <c r="J331" s="4" t="n">
        <f aca="false">F331*H331</f>
        <v>190.08</v>
      </c>
      <c r="K331" s="4" t="n">
        <f aca="false">I331-J331</f>
        <v>249.84</v>
      </c>
      <c r="L331" s="5" t="n">
        <f aca="false">IFERROR(K331/I331,0)</f>
        <v>0.567921440261866</v>
      </c>
    </row>
    <row r="332" customFormat="false" ht="15" hidden="false" customHeight="false" outlineLevel="0" collapsed="false">
      <c r="A332" s="2" t="s">
        <v>50</v>
      </c>
      <c r="B332" s="2" t="s">
        <v>51</v>
      </c>
      <c r="C332" s="2" t="s">
        <v>20</v>
      </c>
      <c r="D332" s="2" t="s">
        <v>21</v>
      </c>
      <c r="E332" s="3" t="n">
        <v>45901</v>
      </c>
      <c r="F332" s="2" t="n">
        <v>10</v>
      </c>
      <c r="G332" s="4" t="n">
        <v>44.99</v>
      </c>
      <c r="H332" s="4" t="n">
        <v>20.65</v>
      </c>
      <c r="I332" s="4" t="n">
        <f aca="false">F332*G332</f>
        <v>449.9</v>
      </c>
      <c r="J332" s="4" t="n">
        <f aca="false">F332*H332</f>
        <v>206.5</v>
      </c>
      <c r="K332" s="4" t="n">
        <f aca="false">I332-J332</f>
        <v>243.4</v>
      </c>
      <c r="L332" s="5" t="n">
        <f aca="false">IFERROR(K332/I332,0)</f>
        <v>0.541009113136253</v>
      </c>
    </row>
    <row r="333" customFormat="false" ht="15" hidden="false" customHeight="false" outlineLevel="0" collapsed="false">
      <c r="A333" s="2" t="s">
        <v>50</v>
      </c>
      <c r="B333" s="2" t="s">
        <v>51</v>
      </c>
      <c r="C333" s="2" t="s">
        <v>20</v>
      </c>
      <c r="D333" s="2" t="s">
        <v>22</v>
      </c>
      <c r="E333" s="3" t="n">
        <v>45901</v>
      </c>
      <c r="F333" s="2" t="n">
        <v>10</v>
      </c>
      <c r="G333" s="4" t="n">
        <v>14.99</v>
      </c>
      <c r="H333" s="4" t="n">
        <v>5.78</v>
      </c>
      <c r="I333" s="4" t="n">
        <f aca="false">F333*G333</f>
        <v>149.9</v>
      </c>
      <c r="J333" s="4" t="n">
        <f aca="false">F333*H333</f>
        <v>57.8</v>
      </c>
      <c r="K333" s="4" t="n">
        <f aca="false">I333-J333</f>
        <v>92.1</v>
      </c>
      <c r="L333" s="5" t="n">
        <f aca="false">IFERROR(K333/I333,0)</f>
        <v>0.614409606404269</v>
      </c>
    </row>
    <row r="334" customFormat="false" ht="15" hidden="false" customHeight="false" outlineLevel="0" collapsed="false">
      <c r="A334" s="2" t="s">
        <v>50</v>
      </c>
      <c r="B334" s="2" t="s">
        <v>51</v>
      </c>
      <c r="C334" s="2" t="s">
        <v>20</v>
      </c>
      <c r="D334" s="2" t="s">
        <v>23</v>
      </c>
      <c r="E334" s="3" t="n">
        <v>45901</v>
      </c>
      <c r="F334" s="2" t="n">
        <v>14</v>
      </c>
      <c r="G334" s="4" t="n">
        <v>39.99</v>
      </c>
      <c r="H334" s="4" t="n">
        <v>17.08</v>
      </c>
      <c r="I334" s="4" t="n">
        <f aca="false">F334*G334</f>
        <v>559.86</v>
      </c>
      <c r="J334" s="4" t="n">
        <f aca="false">F334*H334</f>
        <v>239.12</v>
      </c>
      <c r="K334" s="4" t="n">
        <f aca="false">I334-J334</f>
        <v>320.74</v>
      </c>
      <c r="L334" s="5" t="n">
        <f aca="false">IFERROR(K334/I334,0)</f>
        <v>0.572893223305827</v>
      </c>
    </row>
    <row r="335" customFormat="false" ht="15" hidden="false" customHeight="false" outlineLevel="0" collapsed="false">
      <c r="A335" s="2" t="s">
        <v>50</v>
      </c>
      <c r="B335" s="2" t="s">
        <v>51</v>
      </c>
      <c r="C335" s="2" t="s">
        <v>20</v>
      </c>
      <c r="D335" s="2" t="s">
        <v>24</v>
      </c>
      <c r="E335" s="3" t="n">
        <v>45901</v>
      </c>
      <c r="F335" s="2" t="n">
        <v>10</v>
      </c>
      <c r="G335" s="4" t="n">
        <v>18.99</v>
      </c>
      <c r="H335" s="4" t="n">
        <v>7.61</v>
      </c>
      <c r="I335" s="4" t="n">
        <f aca="false">F335*G335</f>
        <v>189.9</v>
      </c>
      <c r="J335" s="4" t="n">
        <f aca="false">F335*H335</f>
        <v>76.1</v>
      </c>
      <c r="K335" s="4" t="n">
        <f aca="false">I335-J335</f>
        <v>113.8</v>
      </c>
      <c r="L335" s="5" t="n">
        <f aca="false">IFERROR(K335/I335,0)</f>
        <v>0.599262769878884</v>
      </c>
    </row>
    <row r="336" customFormat="false" ht="15" hidden="false" customHeight="false" outlineLevel="0" collapsed="false">
      <c r="A336" s="2" t="s">
        <v>50</v>
      </c>
      <c r="B336" s="2" t="s">
        <v>51</v>
      </c>
      <c r="C336" s="2" t="s">
        <v>20</v>
      </c>
      <c r="D336" s="2" t="s">
        <v>25</v>
      </c>
      <c r="E336" s="3" t="n">
        <v>45901</v>
      </c>
      <c r="F336" s="2" t="n">
        <v>17</v>
      </c>
      <c r="G336" s="4" t="n">
        <v>42.99</v>
      </c>
      <c r="H336" s="4" t="n">
        <v>15.64</v>
      </c>
      <c r="I336" s="4" t="n">
        <f aca="false">F336*G336</f>
        <v>730.83</v>
      </c>
      <c r="J336" s="4" t="n">
        <f aca="false">F336*H336</f>
        <v>265.88</v>
      </c>
      <c r="K336" s="4" t="n">
        <f aca="false">I336-J336</f>
        <v>464.95</v>
      </c>
      <c r="L336" s="5" t="n">
        <f aca="false">IFERROR(K336/I336,0)</f>
        <v>0.636194463828797</v>
      </c>
    </row>
    <row r="337" customFormat="false" ht="15" hidden="false" customHeight="false" outlineLevel="0" collapsed="false">
      <c r="A337" s="2" t="s">
        <v>50</v>
      </c>
      <c r="B337" s="2" t="s">
        <v>51</v>
      </c>
      <c r="C337" s="2" t="s">
        <v>26</v>
      </c>
      <c r="D337" s="2" t="s">
        <v>27</v>
      </c>
      <c r="E337" s="3" t="n">
        <v>45901</v>
      </c>
      <c r="F337" s="2" t="n">
        <v>17</v>
      </c>
      <c r="G337" s="4" t="n">
        <v>44.99</v>
      </c>
      <c r="H337" s="4" t="n">
        <v>27.52</v>
      </c>
      <c r="I337" s="4" t="n">
        <f aca="false">F337*G337</f>
        <v>764.83</v>
      </c>
      <c r="J337" s="4" t="n">
        <f aca="false">F337*H337</f>
        <v>467.84</v>
      </c>
      <c r="K337" s="4" t="n">
        <f aca="false">I337-J337</f>
        <v>296.99</v>
      </c>
      <c r="L337" s="5" t="n">
        <f aca="false">IFERROR(K337/I337,0)</f>
        <v>0.38830851300289</v>
      </c>
    </row>
    <row r="338" customFormat="false" ht="15" hidden="false" customHeight="false" outlineLevel="0" collapsed="false">
      <c r="A338" s="2" t="s">
        <v>50</v>
      </c>
      <c r="B338" s="2" t="s">
        <v>51</v>
      </c>
      <c r="C338" s="2" t="s">
        <v>26</v>
      </c>
      <c r="D338" s="2" t="s">
        <v>28</v>
      </c>
      <c r="E338" s="3" t="n">
        <v>45901</v>
      </c>
      <c r="F338" s="2" t="n">
        <v>13</v>
      </c>
      <c r="G338" s="4" t="n">
        <v>34.99</v>
      </c>
      <c r="H338" s="4" t="n">
        <v>22.19</v>
      </c>
      <c r="I338" s="4" t="n">
        <f aca="false">F338*G338</f>
        <v>454.87</v>
      </c>
      <c r="J338" s="4" t="n">
        <f aca="false">F338*H338</f>
        <v>288.47</v>
      </c>
      <c r="K338" s="4" t="n">
        <f aca="false">I338-J338</f>
        <v>166.4</v>
      </c>
      <c r="L338" s="5" t="n">
        <f aca="false">IFERROR(K338/I338,0)</f>
        <v>0.365818805372964</v>
      </c>
    </row>
    <row r="339" customFormat="false" ht="15" hidden="false" customHeight="false" outlineLevel="0" collapsed="false">
      <c r="A339" s="2" t="s">
        <v>50</v>
      </c>
      <c r="B339" s="2" t="s">
        <v>51</v>
      </c>
      <c r="C339" s="2" t="s">
        <v>26</v>
      </c>
      <c r="D339" s="2" t="s">
        <v>29</v>
      </c>
      <c r="E339" s="3" t="n">
        <v>45901</v>
      </c>
      <c r="F339" s="2" t="n">
        <v>15</v>
      </c>
      <c r="G339" s="4" t="n">
        <v>119.99</v>
      </c>
      <c r="H339" s="4" t="n">
        <v>83.39</v>
      </c>
      <c r="I339" s="4" t="n">
        <f aca="false">F339*G339</f>
        <v>1799.85</v>
      </c>
      <c r="J339" s="4" t="n">
        <f aca="false">F339*H339</f>
        <v>1250.85</v>
      </c>
      <c r="K339" s="4" t="n">
        <f aca="false">I339-J339</f>
        <v>549</v>
      </c>
      <c r="L339" s="5" t="n">
        <f aca="false">IFERROR(K339/I339,0)</f>
        <v>0.305025418784899</v>
      </c>
    </row>
    <row r="340" customFormat="false" ht="15" hidden="false" customHeight="false" outlineLevel="0" collapsed="false">
      <c r="A340" s="2" t="s">
        <v>50</v>
      </c>
      <c r="B340" s="2" t="s">
        <v>51</v>
      </c>
      <c r="C340" s="2" t="s">
        <v>26</v>
      </c>
      <c r="D340" s="2" t="s">
        <v>30</v>
      </c>
      <c r="E340" s="3" t="n">
        <v>45901</v>
      </c>
      <c r="F340" s="2" t="n">
        <v>6</v>
      </c>
      <c r="G340" s="4" t="n">
        <v>24.99</v>
      </c>
      <c r="H340" s="4" t="n">
        <v>14.6</v>
      </c>
      <c r="I340" s="4" t="n">
        <f aca="false">F340*G340</f>
        <v>149.94</v>
      </c>
      <c r="J340" s="4" t="n">
        <f aca="false">F340*H340</f>
        <v>87.6</v>
      </c>
      <c r="K340" s="4" t="n">
        <f aca="false">I340-J340</f>
        <v>62.34</v>
      </c>
      <c r="L340" s="5" t="n">
        <f aca="false">IFERROR(K340/I340,0)</f>
        <v>0.415766306522609</v>
      </c>
    </row>
    <row r="341" customFormat="false" ht="15" hidden="false" customHeight="false" outlineLevel="0" collapsed="false">
      <c r="A341" s="2" t="s">
        <v>50</v>
      </c>
      <c r="B341" s="2" t="s">
        <v>51</v>
      </c>
      <c r="C341" s="2" t="s">
        <v>26</v>
      </c>
      <c r="D341" s="2" t="s">
        <v>31</v>
      </c>
      <c r="E341" s="3" t="n">
        <v>45901</v>
      </c>
      <c r="F341" s="2" t="n">
        <v>12</v>
      </c>
      <c r="G341" s="4" t="n">
        <v>59.99</v>
      </c>
      <c r="H341" s="4" t="n">
        <v>38.02</v>
      </c>
      <c r="I341" s="4" t="n">
        <f aca="false">F341*G341</f>
        <v>719.88</v>
      </c>
      <c r="J341" s="4" t="n">
        <f aca="false">F341*H341</f>
        <v>456.24</v>
      </c>
      <c r="K341" s="4" t="n">
        <f aca="false">I341-J341</f>
        <v>263.64</v>
      </c>
      <c r="L341" s="5" t="n">
        <f aca="false">IFERROR(K341/I341,0)</f>
        <v>0.366227704617436</v>
      </c>
    </row>
    <row r="342" customFormat="false" ht="15" hidden="false" customHeight="false" outlineLevel="0" collapsed="false">
      <c r="A342" s="2" t="s">
        <v>50</v>
      </c>
      <c r="B342" s="2" t="s">
        <v>51</v>
      </c>
      <c r="C342" s="2" t="s">
        <v>32</v>
      </c>
      <c r="D342" s="2" t="s">
        <v>33</v>
      </c>
      <c r="E342" s="3" t="n">
        <v>45901</v>
      </c>
      <c r="F342" s="2" t="n">
        <v>11</v>
      </c>
      <c r="G342" s="4" t="n">
        <v>49.99</v>
      </c>
      <c r="H342" s="4" t="n">
        <v>36.77</v>
      </c>
      <c r="I342" s="4" t="n">
        <f aca="false">F342*G342</f>
        <v>549.89</v>
      </c>
      <c r="J342" s="4" t="n">
        <f aca="false">F342*H342</f>
        <v>404.47</v>
      </c>
      <c r="K342" s="4" t="n">
        <f aca="false">I342-J342</f>
        <v>145.42</v>
      </c>
      <c r="L342" s="5" t="n">
        <f aca="false">IFERROR(K342/I342,0)</f>
        <v>0.264452890578116</v>
      </c>
    </row>
    <row r="343" customFormat="false" ht="15" hidden="false" customHeight="false" outlineLevel="0" collapsed="false">
      <c r="A343" s="2" t="s">
        <v>50</v>
      </c>
      <c r="B343" s="2" t="s">
        <v>51</v>
      </c>
      <c r="C343" s="2" t="s">
        <v>32</v>
      </c>
      <c r="D343" s="2" t="s">
        <v>34</v>
      </c>
      <c r="E343" s="3" t="n">
        <v>45901</v>
      </c>
      <c r="F343" s="2" t="n">
        <v>11</v>
      </c>
      <c r="G343" s="4" t="n">
        <v>27.99</v>
      </c>
      <c r="H343" s="4" t="n">
        <v>20.06</v>
      </c>
      <c r="I343" s="4" t="n">
        <f aca="false">F343*G343</f>
        <v>307.89</v>
      </c>
      <c r="J343" s="4" t="n">
        <f aca="false">F343*H343</f>
        <v>220.66</v>
      </c>
      <c r="K343" s="4" t="n">
        <f aca="false">I343-J343</f>
        <v>87.23</v>
      </c>
      <c r="L343" s="5" t="n">
        <f aca="false">IFERROR(K343/I343,0)</f>
        <v>0.283315469810647</v>
      </c>
    </row>
    <row r="344" customFormat="false" ht="15" hidden="false" customHeight="false" outlineLevel="0" collapsed="false">
      <c r="A344" s="2" t="s">
        <v>50</v>
      </c>
      <c r="B344" s="2" t="s">
        <v>51</v>
      </c>
      <c r="C344" s="2" t="s">
        <v>32</v>
      </c>
      <c r="D344" s="2" t="s">
        <v>35</v>
      </c>
      <c r="E344" s="3" t="n">
        <v>45901</v>
      </c>
      <c r="F344" s="2" t="n">
        <v>12</v>
      </c>
      <c r="G344" s="4" t="n">
        <v>64.99</v>
      </c>
      <c r="H344" s="4" t="n">
        <v>46.83</v>
      </c>
      <c r="I344" s="4" t="n">
        <f aca="false">F344*G344</f>
        <v>779.88</v>
      </c>
      <c r="J344" s="4" t="n">
        <f aca="false">F344*H344</f>
        <v>561.96</v>
      </c>
      <c r="K344" s="4" t="n">
        <f aca="false">I344-J344</f>
        <v>217.92</v>
      </c>
      <c r="L344" s="5" t="n">
        <f aca="false">IFERROR(K344/I344,0)</f>
        <v>0.279427604246807</v>
      </c>
    </row>
    <row r="345" customFormat="false" ht="15" hidden="false" customHeight="false" outlineLevel="0" collapsed="false">
      <c r="A345" s="2" t="s">
        <v>50</v>
      </c>
      <c r="B345" s="2" t="s">
        <v>51</v>
      </c>
      <c r="C345" s="2" t="s">
        <v>32</v>
      </c>
      <c r="D345" s="2" t="s">
        <v>36</v>
      </c>
      <c r="E345" s="3" t="n">
        <v>45901</v>
      </c>
      <c r="F345" s="2" t="n">
        <v>16</v>
      </c>
      <c r="G345" s="4" t="n">
        <v>22.99</v>
      </c>
      <c r="H345" s="4" t="n">
        <v>16.55</v>
      </c>
      <c r="I345" s="4" t="n">
        <f aca="false">F345*G345</f>
        <v>367.84</v>
      </c>
      <c r="J345" s="4" t="n">
        <f aca="false">F345*H345</f>
        <v>264.8</v>
      </c>
      <c r="K345" s="4" t="n">
        <f aca="false">I345-J345</f>
        <v>103.04</v>
      </c>
      <c r="L345" s="5" t="n">
        <f aca="false">IFERROR(K345/I345,0)</f>
        <v>0.280121792083515</v>
      </c>
    </row>
    <row r="346" customFormat="false" ht="15" hidden="false" customHeight="false" outlineLevel="0" collapsed="false">
      <c r="A346" s="2" t="s">
        <v>50</v>
      </c>
      <c r="B346" s="2" t="s">
        <v>51</v>
      </c>
      <c r="C346" s="2" t="s">
        <v>32</v>
      </c>
      <c r="D346" s="2" t="s">
        <v>37</v>
      </c>
      <c r="E346" s="3" t="n">
        <v>45901</v>
      </c>
      <c r="F346" s="2" t="n">
        <v>15</v>
      </c>
      <c r="G346" s="4" t="n">
        <v>29.99</v>
      </c>
      <c r="H346" s="4" t="n">
        <v>19.81</v>
      </c>
      <c r="I346" s="4" t="n">
        <f aca="false">F346*G346</f>
        <v>449.85</v>
      </c>
      <c r="J346" s="4" t="n">
        <f aca="false">F346*H346</f>
        <v>297.15</v>
      </c>
      <c r="K346" s="4" t="n">
        <f aca="false">I346-J346</f>
        <v>152.7</v>
      </c>
      <c r="L346" s="5" t="n">
        <f aca="false">IFERROR(K346/I346,0)</f>
        <v>0.33944648216072</v>
      </c>
    </row>
    <row r="347" customFormat="false" ht="15" hidden="false" customHeight="false" outlineLevel="0" collapsed="false">
      <c r="A347" s="2" t="s">
        <v>50</v>
      </c>
      <c r="B347" s="2" t="s">
        <v>51</v>
      </c>
      <c r="C347" s="2" t="s">
        <v>38</v>
      </c>
      <c r="D347" s="2" t="s">
        <v>39</v>
      </c>
      <c r="E347" s="3" t="n">
        <v>45901</v>
      </c>
      <c r="F347" s="2" t="n">
        <v>4</v>
      </c>
      <c r="G347" s="4" t="n">
        <v>129.99</v>
      </c>
      <c r="H347" s="4" t="n">
        <v>74.35</v>
      </c>
      <c r="I347" s="4" t="n">
        <f aca="false">F347*G347</f>
        <v>519.96</v>
      </c>
      <c r="J347" s="4" t="n">
        <f aca="false">F347*H347</f>
        <v>297.4</v>
      </c>
      <c r="K347" s="4" t="n">
        <f aca="false">I347-J347</f>
        <v>222.56</v>
      </c>
      <c r="L347" s="5" t="n">
        <f aca="false">IFERROR(K347/I347,0)</f>
        <v>0.428032925609662</v>
      </c>
    </row>
    <row r="348" customFormat="false" ht="15" hidden="false" customHeight="false" outlineLevel="0" collapsed="false">
      <c r="A348" s="2" t="s">
        <v>50</v>
      </c>
      <c r="B348" s="2" t="s">
        <v>51</v>
      </c>
      <c r="C348" s="2" t="s">
        <v>38</v>
      </c>
      <c r="D348" s="2" t="s">
        <v>40</v>
      </c>
      <c r="E348" s="3" t="n">
        <v>45901</v>
      </c>
      <c r="F348" s="2" t="n">
        <v>6</v>
      </c>
      <c r="G348" s="4" t="n">
        <v>74.99</v>
      </c>
      <c r="H348" s="4" t="n">
        <v>40.41</v>
      </c>
      <c r="I348" s="4" t="n">
        <f aca="false">F348*G348</f>
        <v>449.94</v>
      </c>
      <c r="J348" s="4" t="n">
        <f aca="false">F348*H348</f>
        <v>242.46</v>
      </c>
      <c r="K348" s="4" t="n">
        <f aca="false">I348-J348</f>
        <v>207.48</v>
      </c>
      <c r="L348" s="5" t="n">
        <f aca="false">IFERROR(K348/I348,0)</f>
        <v>0.461128150420056</v>
      </c>
    </row>
    <row r="349" customFormat="false" ht="15" hidden="false" customHeight="false" outlineLevel="0" collapsed="false">
      <c r="A349" s="2" t="s">
        <v>50</v>
      </c>
      <c r="B349" s="2" t="s">
        <v>51</v>
      </c>
      <c r="C349" s="2" t="s">
        <v>38</v>
      </c>
      <c r="D349" s="2" t="s">
        <v>41</v>
      </c>
      <c r="E349" s="3" t="n">
        <v>45901</v>
      </c>
      <c r="F349" s="2" t="n">
        <v>3</v>
      </c>
      <c r="G349" s="4" t="n">
        <v>19.99</v>
      </c>
      <c r="H349" s="4" t="n">
        <v>9.34</v>
      </c>
      <c r="I349" s="4" t="n">
        <f aca="false">F349*G349</f>
        <v>59.97</v>
      </c>
      <c r="J349" s="4" t="n">
        <f aca="false">F349*H349</f>
        <v>28.02</v>
      </c>
      <c r="K349" s="4" t="n">
        <f aca="false">I349-J349</f>
        <v>31.95</v>
      </c>
      <c r="L349" s="5" t="n">
        <f aca="false">IFERROR(K349/I349,0)</f>
        <v>0.532766383191596</v>
      </c>
    </row>
    <row r="350" customFormat="false" ht="15" hidden="false" customHeight="false" outlineLevel="0" collapsed="false">
      <c r="A350" s="2" t="s">
        <v>50</v>
      </c>
      <c r="B350" s="2" t="s">
        <v>51</v>
      </c>
      <c r="C350" s="2" t="s">
        <v>38</v>
      </c>
      <c r="D350" s="2" t="s">
        <v>42</v>
      </c>
      <c r="E350" s="3" t="n">
        <v>45901</v>
      </c>
      <c r="F350" s="2" t="n">
        <v>4</v>
      </c>
      <c r="G350" s="4" t="n">
        <v>16.99</v>
      </c>
      <c r="H350" s="4" t="n">
        <v>8.4</v>
      </c>
      <c r="I350" s="4" t="n">
        <f aca="false">F350*G350</f>
        <v>67.96</v>
      </c>
      <c r="J350" s="4" t="n">
        <f aca="false">F350*H350</f>
        <v>33.6</v>
      </c>
      <c r="K350" s="4" t="n">
        <f aca="false">I350-J350</f>
        <v>34.36</v>
      </c>
      <c r="L350" s="5" t="n">
        <f aca="false">IFERROR(K350/I350,0)</f>
        <v>0.505591524426133</v>
      </c>
    </row>
    <row r="351" customFormat="false" ht="15" hidden="false" customHeight="false" outlineLevel="0" collapsed="false">
      <c r="A351" s="2" t="s">
        <v>50</v>
      </c>
      <c r="B351" s="2" t="s">
        <v>51</v>
      </c>
      <c r="C351" s="2" t="s">
        <v>38</v>
      </c>
      <c r="D351" s="2" t="s">
        <v>43</v>
      </c>
      <c r="E351" s="3" t="n">
        <v>45901</v>
      </c>
      <c r="F351" s="2" t="n">
        <v>3</v>
      </c>
      <c r="G351" s="4" t="n">
        <v>24.99</v>
      </c>
      <c r="H351" s="4" t="n">
        <v>12.93</v>
      </c>
      <c r="I351" s="4" t="n">
        <f aca="false">F351*G351</f>
        <v>74.97</v>
      </c>
      <c r="J351" s="4" t="n">
        <f aca="false">F351*H351</f>
        <v>38.79</v>
      </c>
      <c r="K351" s="4" t="n">
        <f aca="false">I351-J351</f>
        <v>36.18</v>
      </c>
      <c r="L351" s="5" t="n">
        <f aca="false">IFERROR(K351/I351,0)</f>
        <v>0.482593037214886</v>
      </c>
    </row>
    <row r="352" customFormat="false" ht="15" hidden="false" customHeight="false" outlineLevel="0" collapsed="false">
      <c r="A352" s="2" t="s">
        <v>52</v>
      </c>
      <c r="B352" s="2" t="s">
        <v>53</v>
      </c>
      <c r="C352" s="2" t="s">
        <v>14</v>
      </c>
      <c r="D352" s="2" t="s">
        <v>15</v>
      </c>
      <c r="E352" s="3" t="n">
        <v>45901</v>
      </c>
      <c r="F352" s="2" t="n">
        <v>18</v>
      </c>
      <c r="G352" s="4" t="n">
        <v>69.99</v>
      </c>
      <c r="H352" s="4" t="n">
        <v>32.77</v>
      </c>
      <c r="I352" s="4" t="n">
        <f aca="false">F352*G352</f>
        <v>1259.82</v>
      </c>
      <c r="J352" s="4" t="n">
        <f aca="false">F352*H352</f>
        <v>589.86</v>
      </c>
      <c r="K352" s="4" t="n">
        <f aca="false">I352-J352</f>
        <v>669.96</v>
      </c>
      <c r="L352" s="5" t="n">
        <f aca="false">IFERROR(K352/I352,0)</f>
        <v>0.531790255750822</v>
      </c>
    </row>
    <row r="353" customFormat="false" ht="15" hidden="false" customHeight="false" outlineLevel="0" collapsed="false">
      <c r="A353" s="2" t="s">
        <v>52</v>
      </c>
      <c r="B353" s="2" t="s">
        <v>53</v>
      </c>
      <c r="C353" s="2" t="s">
        <v>14</v>
      </c>
      <c r="D353" s="2" t="s">
        <v>16</v>
      </c>
      <c r="E353" s="3" t="n">
        <v>45901</v>
      </c>
      <c r="F353" s="2" t="n">
        <v>16</v>
      </c>
      <c r="G353" s="4" t="n">
        <v>19.99</v>
      </c>
      <c r="H353" s="4" t="n">
        <v>9.07</v>
      </c>
      <c r="I353" s="4" t="n">
        <f aca="false">F353*G353</f>
        <v>319.84</v>
      </c>
      <c r="J353" s="4" t="n">
        <f aca="false">F353*H353</f>
        <v>145.12</v>
      </c>
      <c r="K353" s="4" t="n">
        <f aca="false">I353-J353</f>
        <v>174.72</v>
      </c>
      <c r="L353" s="5" t="n">
        <f aca="false">IFERROR(K353/I353,0)</f>
        <v>0.546273136568284</v>
      </c>
    </row>
    <row r="354" customFormat="false" ht="15" hidden="false" customHeight="false" outlineLevel="0" collapsed="false">
      <c r="A354" s="2" t="s">
        <v>52</v>
      </c>
      <c r="B354" s="2" t="s">
        <v>53</v>
      </c>
      <c r="C354" s="2" t="s">
        <v>14</v>
      </c>
      <c r="D354" s="2" t="s">
        <v>17</v>
      </c>
      <c r="E354" s="3" t="n">
        <v>45901</v>
      </c>
      <c r="F354" s="2" t="n">
        <v>15</v>
      </c>
      <c r="G354" s="4" t="n">
        <v>79.99</v>
      </c>
      <c r="H354" s="4" t="n">
        <v>39.16</v>
      </c>
      <c r="I354" s="4" t="n">
        <f aca="false">F354*G354</f>
        <v>1199.85</v>
      </c>
      <c r="J354" s="4" t="n">
        <f aca="false">F354*H354</f>
        <v>587.4</v>
      </c>
      <c r="K354" s="4" t="n">
        <f aca="false">I354-J354</f>
        <v>612.45</v>
      </c>
      <c r="L354" s="5" t="n">
        <f aca="false">IFERROR(K354/I354,0)</f>
        <v>0.510438804850606</v>
      </c>
    </row>
    <row r="355" customFormat="false" ht="15" hidden="false" customHeight="false" outlineLevel="0" collapsed="false">
      <c r="A355" s="2" t="s">
        <v>52</v>
      </c>
      <c r="B355" s="2" t="s">
        <v>53</v>
      </c>
      <c r="C355" s="2" t="s">
        <v>14</v>
      </c>
      <c r="D355" s="2" t="s">
        <v>18</v>
      </c>
      <c r="E355" s="3" t="n">
        <v>45901</v>
      </c>
      <c r="F355" s="2" t="n">
        <v>13</v>
      </c>
      <c r="G355" s="4" t="n">
        <v>34.99</v>
      </c>
      <c r="H355" s="4" t="n">
        <v>15.1</v>
      </c>
      <c r="I355" s="4" t="n">
        <f aca="false">F355*G355</f>
        <v>454.87</v>
      </c>
      <c r="J355" s="4" t="n">
        <f aca="false">F355*H355</f>
        <v>196.3</v>
      </c>
      <c r="K355" s="4" t="n">
        <f aca="false">I355-J355</f>
        <v>258.57</v>
      </c>
      <c r="L355" s="5" t="n">
        <f aca="false">IFERROR(K355/I355,0)</f>
        <v>0.568448128036582</v>
      </c>
    </row>
    <row r="356" customFormat="false" ht="15" hidden="false" customHeight="false" outlineLevel="0" collapsed="false">
      <c r="A356" s="2" t="s">
        <v>52</v>
      </c>
      <c r="B356" s="2" t="s">
        <v>53</v>
      </c>
      <c r="C356" s="2" t="s">
        <v>14</v>
      </c>
      <c r="D356" s="2" t="s">
        <v>19</v>
      </c>
      <c r="E356" s="3" t="n">
        <v>45901</v>
      </c>
      <c r="F356" s="2" t="n">
        <v>13</v>
      </c>
      <c r="G356" s="4" t="n">
        <v>54.99</v>
      </c>
      <c r="H356" s="4" t="n">
        <v>24.39</v>
      </c>
      <c r="I356" s="4" t="n">
        <f aca="false">F356*G356</f>
        <v>714.87</v>
      </c>
      <c r="J356" s="4" t="n">
        <f aca="false">F356*H356</f>
        <v>317.07</v>
      </c>
      <c r="K356" s="4" t="n">
        <f aca="false">I356-J356</f>
        <v>397.8</v>
      </c>
      <c r="L356" s="5" t="n">
        <f aca="false">IFERROR(K356/I356,0)</f>
        <v>0.556464811783961</v>
      </c>
    </row>
    <row r="357" customFormat="false" ht="15" hidden="false" customHeight="false" outlineLevel="0" collapsed="false">
      <c r="A357" s="2" t="s">
        <v>52</v>
      </c>
      <c r="B357" s="2" t="s">
        <v>53</v>
      </c>
      <c r="C357" s="2" t="s">
        <v>20</v>
      </c>
      <c r="D357" s="2" t="s">
        <v>21</v>
      </c>
      <c r="E357" s="3" t="n">
        <v>45901</v>
      </c>
      <c r="F357" s="2" t="n">
        <v>11</v>
      </c>
      <c r="G357" s="4" t="n">
        <v>44.99</v>
      </c>
      <c r="H357" s="4" t="n">
        <v>20.22</v>
      </c>
      <c r="I357" s="4" t="n">
        <f aca="false">F357*G357</f>
        <v>494.89</v>
      </c>
      <c r="J357" s="4" t="n">
        <f aca="false">F357*H357</f>
        <v>222.42</v>
      </c>
      <c r="K357" s="4" t="n">
        <f aca="false">I357-J357</f>
        <v>272.47</v>
      </c>
      <c r="L357" s="5" t="n">
        <f aca="false">IFERROR(K357/I357,0)</f>
        <v>0.550566792620582</v>
      </c>
    </row>
    <row r="358" customFormat="false" ht="15" hidden="false" customHeight="false" outlineLevel="0" collapsed="false">
      <c r="A358" s="2" t="s">
        <v>52</v>
      </c>
      <c r="B358" s="2" t="s">
        <v>53</v>
      </c>
      <c r="C358" s="2" t="s">
        <v>20</v>
      </c>
      <c r="D358" s="2" t="s">
        <v>22</v>
      </c>
      <c r="E358" s="3" t="n">
        <v>45901</v>
      </c>
      <c r="F358" s="2" t="n">
        <v>12</v>
      </c>
      <c r="G358" s="4" t="n">
        <v>14.99</v>
      </c>
      <c r="H358" s="4" t="n">
        <v>5.63</v>
      </c>
      <c r="I358" s="4" t="n">
        <f aca="false">F358*G358</f>
        <v>179.88</v>
      </c>
      <c r="J358" s="4" t="n">
        <f aca="false">F358*H358</f>
        <v>67.56</v>
      </c>
      <c r="K358" s="4" t="n">
        <f aca="false">I358-J358</f>
        <v>112.32</v>
      </c>
      <c r="L358" s="5" t="n">
        <f aca="false">IFERROR(K358/I358,0)</f>
        <v>0.624416277518346</v>
      </c>
    </row>
    <row r="359" customFormat="false" ht="15" hidden="false" customHeight="false" outlineLevel="0" collapsed="false">
      <c r="A359" s="2" t="s">
        <v>52</v>
      </c>
      <c r="B359" s="2" t="s">
        <v>53</v>
      </c>
      <c r="C359" s="2" t="s">
        <v>20</v>
      </c>
      <c r="D359" s="2" t="s">
        <v>23</v>
      </c>
      <c r="E359" s="3" t="n">
        <v>45901</v>
      </c>
      <c r="F359" s="2" t="n">
        <v>14</v>
      </c>
      <c r="G359" s="4" t="n">
        <v>39.99</v>
      </c>
      <c r="H359" s="4" t="n">
        <v>16.73</v>
      </c>
      <c r="I359" s="4" t="n">
        <f aca="false">F359*G359</f>
        <v>559.86</v>
      </c>
      <c r="J359" s="4" t="n">
        <f aca="false">F359*H359</f>
        <v>234.22</v>
      </c>
      <c r="K359" s="4" t="n">
        <f aca="false">I359-J359</f>
        <v>325.64</v>
      </c>
      <c r="L359" s="5" t="n">
        <f aca="false">IFERROR(K359/I359,0)</f>
        <v>0.581645411352838</v>
      </c>
    </row>
    <row r="360" customFormat="false" ht="15" hidden="false" customHeight="false" outlineLevel="0" collapsed="false">
      <c r="A360" s="2" t="s">
        <v>52</v>
      </c>
      <c r="B360" s="2" t="s">
        <v>53</v>
      </c>
      <c r="C360" s="2" t="s">
        <v>20</v>
      </c>
      <c r="D360" s="2" t="s">
        <v>24</v>
      </c>
      <c r="E360" s="3" t="n">
        <v>45901</v>
      </c>
      <c r="F360" s="2" t="n">
        <v>18</v>
      </c>
      <c r="G360" s="4" t="n">
        <v>18.99</v>
      </c>
      <c r="H360" s="4" t="n">
        <v>7.54</v>
      </c>
      <c r="I360" s="4" t="n">
        <f aca="false">F360*G360</f>
        <v>341.82</v>
      </c>
      <c r="J360" s="4" t="n">
        <f aca="false">F360*H360</f>
        <v>135.72</v>
      </c>
      <c r="K360" s="4" t="n">
        <f aca="false">I360-J360</f>
        <v>206.1</v>
      </c>
      <c r="L360" s="5" t="n">
        <f aca="false">IFERROR(K360/I360,0)</f>
        <v>0.602948920484466</v>
      </c>
    </row>
    <row r="361" customFormat="false" ht="15" hidden="false" customHeight="false" outlineLevel="0" collapsed="false">
      <c r="A361" s="2" t="s">
        <v>52</v>
      </c>
      <c r="B361" s="2" t="s">
        <v>53</v>
      </c>
      <c r="C361" s="2" t="s">
        <v>20</v>
      </c>
      <c r="D361" s="2" t="s">
        <v>25</v>
      </c>
      <c r="E361" s="3" t="n">
        <v>45901</v>
      </c>
      <c r="F361" s="2" t="n">
        <v>19</v>
      </c>
      <c r="G361" s="4" t="n">
        <v>42.99</v>
      </c>
      <c r="H361" s="4" t="n">
        <v>15.49</v>
      </c>
      <c r="I361" s="4" t="n">
        <f aca="false">F361*G361</f>
        <v>816.81</v>
      </c>
      <c r="J361" s="4" t="n">
        <f aca="false">F361*H361</f>
        <v>294.31</v>
      </c>
      <c r="K361" s="4" t="n">
        <f aca="false">I361-J361</f>
        <v>522.5</v>
      </c>
      <c r="L361" s="5" t="n">
        <f aca="false">IFERROR(K361/I361,0)</f>
        <v>0.639683647359851</v>
      </c>
    </row>
    <row r="362" customFormat="false" ht="15" hidden="false" customHeight="false" outlineLevel="0" collapsed="false">
      <c r="A362" s="2" t="s">
        <v>52</v>
      </c>
      <c r="B362" s="2" t="s">
        <v>53</v>
      </c>
      <c r="C362" s="2" t="s">
        <v>26</v>
      </c>
      <c r="D362" s="2" t="s">
        <v>27</v>
      </c>
      <c r="E362" s="3" t="n">
        <v>45901</v>
      </c>
      <c r="F362" s="2" t="n">
        <v>9</v>
      </c>
      <c r="G362" s="4" t="n">
        <v>44.99</v>
      </c>
      <c r="H362" s="4" t="n">
        <v>28.32</v>
      </c>
      <c r="I362" s="4" t="n">
        <f aca="false">F362*G362</f>
        <v>404.91</v>
      </c>
      <c r="J362" s="4" t="n">
        <f aca="false">F362*H362</f>
        <v>254.88</v>
      </c>
      <c r="K362" s="4" t="n">
        <f aca="false">I362-J362</f>
        <v>150.03</v>
      </c>
      <c r="L362" s="5" t="n">
        <f aca="false">IFERROR(K362/I362,0)</f>
        <v>0.370526783729718</v>
      </c>
    </row>
    <row r="363" customFormat="false" ht="15" hidden="false" customHeight="false" outlineLevel="0" collapsed="false">
      <c r="A363" s="2" t="s">
        <v>52</v>
      </c>
      <c r="B363" s="2" t="s">
        <v>53</v>
      </c>
      <c r="C363" s="2" t="s">
        <v>26</v>
      </c>
      <c r="D363" s="2" t="s">
        <v>28</v>
      </c>
      <c r="E363" s="3" t="n">
        <v>45901</v>
      </c>
      <c r="F363" s="2" t="n">
        <v>13</v>
      </c>
      <c r="G363" s="4" t="n">
        <v>34.99</v>
      </c>
      <c r="H363" s="4" t="n">
        <v>22.47</v>
      </c>
      <c r="I363" s="4" t="n">
        <f aca="false">F363*G363</f>
        <v>454.87</v>
      </c>
      <c r="J363" s="4" t="n">
        <f aca="false">F363*H363</f>
        <v>292.11</v>
      </c>
      <c r="K363" s="4" t="n">
        <f aca="false">I363-J363</f>
        <v>162.76</v>
      </c>
      <c r="L363" s="5" t="n">
        <f aca="false">IFERROR(K363/I363,0)</f>
        <v>0.35781651900543</v>
      </c>
    </row>
    <row r="364" customFormat="false" ht="15" hidden="false" customHeight="false" outlineLevel="0" collapsed="false">
      <c r="A364" s="2" t="s">
        <v>52</v>
      </c>
      <c r="B364" s="2" t="s">
        <v>53</v>
      </c>
      <c r="C364" s="2" t="s">
        <v>26</v>
      </c>
      <c r="D364" s="2" t="s">
        <v>29</v>
      </c>
      <c r="E364" s="3" t="n">
        <v>45901</v>
      </c>
      <c r="F364" s="2" t="n">
        <v>14</v>
      </c>
      <c r="G364" s="4" t="n">
        <v>119.99</v>
      </c>
      <c r="H364" s="4" t="n">
        <v>80.29</v>
      </c>
      <c r="I364" s="4" t="n">
        <f aca="false">F364*G364</f>
        <v>1679.86</v>
      </c>
      <c r="J364" s="4" t="n">
        <f aca="false">F364*H364</f>
        <v>1124.06</v>
      </c>
      <c r="K364" s="4" t="n">
        <f aca="false">I364-J364</f>
        <v>555.8</v>
      </c>
      <c r="L364" s="5" t="n">
        <f aca="false">IFERROR(K364/I364,0)</f>
        <v>0.330860905075423</v>
      </c>
    </row>
    <row r="365" customFormat="false" ht="15" hidden="false" customHeight="false" outlineLevel="0" collapsed="false">
      <c r="A365" s="2" t="s">
        <v>52</v>
      </c>
      <c r="B365" s="2" t="s">
        <v>53</v>
      </c>
      <c r="C365" s="2" t="s">
        <v>26</v>
      </c>
      <c r="D365" s="2" t="s">
        <v>30</v>
      </c>
      <c r="E365" s="3" t="n">
        <v>45901</v>
      </c>
      <c r="F365" s="2" t="n">
        <v>18</v>
      </c>
      <c r="G365" s="4" t="n">
        <v>24.99</v>
      </c>
      <c r="H365" s="4" t="n">
        <v>15.35</v>
      </c>
      <c r="I365" s="4" t="n">
        <f aca="false">F365*G365</f>
        <v>449.82</v>
      </c>
      <c r="J365" s="4" t="n">
        <f aca="false">F365*H365</f>
        <v>276.3</v>
      </c>
      <c r="K365" s="4" t="n">
        <f aca="false">I365-J365</f>
        <v>173.52</v>
      </c>
      <c r="L365" s="5" t="n">
        <f aca="false">IFERROR(K365/I365,0)</f>
        <v>0.385754301720688</v>
      </c>
    </row>
    <row r="366" customFormat="false" ht="15" hidden="false" customHeight="false" outlineLevel="0" collapsed="false">
      <c r="A366" s="2" t="s">
        <v>52</v>
      </c>
      <c r="B366" s="2" t="s">
        <v>53</v>
      </c>
      <c r="C366" s="2" t="s">
        <v>26</v>
      </c>
      <c r="D366" s="2" t="s">
        <v>31</v>
      </c>
      <c r="E366" s="3" t="n">
        <v>45901</v>
      </c>
      <c r="F366" s="2" t="n">
        <v>15</v>
      </c>
      <c r="G366" s="4" t="n">
        <v>59.99</v>
      </c>
      <c r="H366" s="4" t="n">
        <v>39.64</v>
      </c>
      <c r="I366" s="4" t="n">
        <f aca="false">F366*G366</f>
        <v>899.85</v>
      </c>
      <c r="J366" s="4" t="n">
        <f aca="false">F366*H366</f>
        <v>594.6</v>
      </c>
      <c r="K366" s="4" t="n">
        <f aca="false">I366-J366</f>
        <v>305.25</v>
      </c>
      <c r="L366" s="5" t="n">
        <f aca="false">IFERROR(K366/I366,0)</f>
        <v>0.339223203867311</v>
      </c>
    </row>
    <row r="367" customFormat="false" ht="15" hidden="false" customHeight="false" outlineLevel="0" collapsed="false">
      <c r="A367" s="2" t="s">
        <v>52</v>
      </c>
      <c r="B367" s="2" t="s">
        <v>53</v>
      </c>
      <c r="C367" s="2" t="s">
        <v>32</v>
      </c>
      <c r="D367" s="2" t="s">
        <v>33</v>
      </c>
      <c r="E367" s="3" t="n">
        <v>45901</v>
      </c>
      <c r="F367" s="2" t="n">
        <v>9</v>
      </c>
      <c r="G367" s="4" t="n">
        <v>49.99</v>
      </c>
      <c r="H367" s="4" t="n">
        <v>36.97</v>
      </c>
      <c r="I367" s="4" t="n">
        <f aca="false">F367*G367</f>
        <v>449.91</v>
      </c>
      <c r="J367" s="4" t="n">
        <f aca="false">F367*H367</f>
        <v>332.73</v>
      </c>
      <c r="K367" s="4" t="n">
        <f aca="false">I367-J367</f>
        <v>117.18</v>
      </c>
      <c r="L367" s="5" t="n">
        <f aca="false">IFERROR(K367/I367,0)</f>
        <v>0.260452090418084</v>
      </c>
    </row>
    <row r="368" customFormat="false" ht="15" hidden="false" customHeight="false" outlineLevel="0" collapsed="false">
      <c r="A368" s="2" t="s">
        <v>52</v>
      </c>
      <c r="B368" s="2" t="s">
        <v>53</v>
      </c>
      <c r="C368" s="2" t="s">
        <v>32</v>
      </c>
      <c r="D368" s="2" t="s">
        <v>34</v>
      </c>
      <c r="E368" s="3" t="n">
        <v>45901</v>
      </c>
      <c r="F368" s="2" t="n">
        <v>18</v>
      </c>
      <c r="G368" s="4" t="n">
        <v>27.99</v>
      </c>
      <c r="H368" s="4" t="n">
        <v>19.49</v>
      </c>
      <c r="I368" s="4" t="n">
        <f aca="false">F368*G368</f>
        <v>503.82</v>
      </c>
      <c r="J368" s="4" t="n">
        <f aca="false">F368*H368</f>
        <v>350.82</v>
      </c>
      <c r="K368" s="4" t="n">
        <f aca="false">I368-J368</f>
        <v>153</v>
      </c>
      <c r="L368" s="5" t="n">
        <f aca="false">IFERROR(K368/I368,0)</f>
        <v>0.303679885673455</v>
      </c>
    </row>
    <row r="369" customFormat="false" ht="15" hidden="false" customHeight="false" outlineLevel="0" collapsed="false">
      <c r="A369" s="2" t="s">
        <v>52</v>
      </c>
      <c r="B369" s="2" t="s">
        <v>53</v>
      </c>
      <c r="C369" s="2" t="s">
        <v>32</v>
      </c>
      <c r="D369" s="2" t="s">
        <v>35</v>
      </c>
      <c r="E369" s="3" t="n">
        <v>45901</v>
      </c>
      <c r="F369" s="2" t="n">
        <v>11</v>
      </c>
      <c r="G369" s="4" t="n">
        <v>64.99</v>
      </c>
      <c r="H369" s="4" t="n">
        <v>46.49</v>
      </c>
      <c r="I369" s="4" t="n">
        <f aca="false">F369*G369</f>
        <v>714.89</v>
      </c>
      <c r="J369" s="4" t="n">
        <f aca="false">F369*H369</f>
        <v>511.39</v>
      </c>
      <c r="K369" s="4" t="n">
        <f aca="false">I369-J369</f>
        <v>203.5</v>
      </c>
      <c r="L369" s="5" t="n">
        <f aca="false">IFERROR(K369/I369,0)</f>
        <v>0.284659178335128</v>
      </c>
    </row>
    <row r="370" customFormat="false" ht="15" hidden="false" customHeight="false" outlineLevel="0" collapsed="false">
      <c r="A370" s="2" t="s">
        <v>52</v>
      </c>
      <c r="B370" s="2" t="s">
        <v>53</v>
      </c>
      <c r="C370" s="2" t="s">
        <v>32</v>
      </c>
      <c r="D370" s="2" t="s">
        <v>36</v>
      </c>
      <c r="E370" s="3" t="n">
        <v>45901</v>
      </c>
      <c r="F370" s="2" t="n">
        <v>19</v>
      </c>
      <c r="G370" s="4" t="n">
        <v>22.99</v>
      </c>
      <c r="H370" s="4" t="n">
        <v>16.36</v>
      </c>
      <c r="I370" s="4" t="n">
        <f aca="false">F370*G370</f>
        <v>436.81</v>
      </c>
      <c r="J370" s="4" t="n">
        <f aca="false">F370*H370</f>
        <v>310.84</v>
      </c>
      <c r="K370" s="4" t="n">
        <f aca="false">I370-J370</f>
        <v>125.97</v>
      </c>
      <c r="L370" s="5" t="n">
        <f aca="false">IFERROR(K370/I370,0)</f>
        <v>0.288386254893432</v>
      </c>
    </row>
    <row r="371" customFormat="false" ht="15" hidden="false" customHeight="false" outlineLevel="0" collapsed="false">
      <c r="A371" s="2" t="s">
        <v>52</v>
      </c>
      <c r="B371" s="2" t="s">
        <v>53</v>
      </c>
      <c r="C371" s="2" t="s">
        <v>32</v>
      </c>
      <c r="D371" s="2" t="s">
        <v>37</v>
      </c>
      <c r="E371" s="3" t="n">
        <v>45901</v>
      </c>
      <c r="F371" s="2" t="n">
        <v>7</v>
      </c>
      <c r="G371" s="4" t="n">
        <v>29.99</v>
      </c>
      <c r="H371" s="4" t="n">
        <v>20.25</v>
      </c>
      <c r="I371" s="4" t="n">
        <f aca="false">F371*G371</f>
        <v>209.93</v>
      </c>
      <c r="J371" s="4" t="n">
        <f aca="false">F371*H371</f>
        <v>141.75</v>
      </c>
      <c r="K371" s="4" t="n">
        <f aca="false">I371-J371</f>
        <v>68.18</v>
      </c>
      <c r="L371" s="5" t="n">
        <f aca="false">IFERROR(K371/I371,0)</f>
        <v>0.324774924974992</v>
      </c>
    </row>
    <row r="372" customFormat="false" ht="15" hidden="false" customHeight="false" outlineLevel="0" collapsed="false">
      <c r="A372" s="2" t="s">
        <v>52</v>
      </c>
      <c r="B372" s="2" t="s">
        <v>53</v>
      </c>
      <c r="C372" s="2" t="s">
        <v>38</v>
      </c>
      <c r="D372" s="2" t="s">
        <v>39</v>
      </c>
      <c r="E372" s="3" t="n">
        <v>45901</v>
      </c>
      <c r="F372" s="2" t="n">
        <v>15</v>
      </c>
      <c r="G372" s="4" t="n">
        <v>129.99</v>
      </c>
      <c r="H372" s="4" t="n">
        <v>77.34</v>
      </c>
      <c r="I372" s="4" t="n">
        <f aca="false">F372*G372</f>
        <v>1949.85</v>
      </c>
      <c r="J372" s="4" t="n">
        <f aca="false">F372*H372</f>
        <v>1160.1</v>
      </c>
      <c r="K372" s="4" t="n">
        <f aca="false">I372-J372</f>
        <v>789.75</v>
      </c>
      <c r="L372" s="5" t="n">
        <f aca="false">IFERROR(K372/I372,0)</f>
        <v>0.405031156242788</v>
      </c>
    </row>
    <row r="373" customFormat="false" ht="15" hidden="false" customHeight="false" outlineLevel="0" collapsed="false">
      <c r="A373" s="2" t="s">
        <v>52</v>
      </c>
      <c r="B373" s="2" t="s">
        <v>53</v>
      </c>
      <c r="C373" s="2" t="s">
        <v>38</v>
      </c>
      <c r="D373" s="2" t="s">
        <v>40</v>
      </c>
      <c r="E373" s="3" t="n">
        <v>45901</v>
      </c>
      <c r="F373" s="2" t="n">
        <v>10</v>
      </c>
      <c r="G373" s="4" t="n">
        <v>74.99</v>
      </c>
      <c r="H373" s="4" t="n">
        <v>41.59</v>
      </c>
      <c r="I373" s="4" t="n">
        <f aca="false">F373*G373</f>
        <v>749.9</v>
      </c>
      <c r="J373" s="4" t="n">
        <f aca="false">F373*H373</f>
        <v>415.9</v>
      </c>
      <c r="K373" s="4" t="n">
        <f aca="false">I373-J373</f>
        <v>334</v>
      </c>
      <c r="L373" s="5" t="n">
        <f aca="false">IFERROR(K373/I373,0)</f>
        <v>0.445392719029204</v>
      </c>
    </row>
    <row r="374" customFormat="false" ht="15" hidden="false" customHeight="false" outlineLevel="0" collapsed="false">
      <c r="A374" s="2" t="s">
        <v>52</v>
      </c>
      <c r="B374" s="2" t="s">
        <v>53</v>
      </c>
      <c r="C374" s="2" t="s">
        <v>38</v>
      </c>
      <c r="D374" s="2" t="s">
        <v>41</v>
      </c>
      <c r="E374" s="3" t="n">
        <v>45901</v>
      </c>
      <c r="F374" s="2" t="n">
        <v>21</v>
      </c>
      <c r="G374" s="4" t="n">
        <v>19.99</v>
      </c>
      <c r="H374" s="4" t="n">
        <v>9.62</v>
      </c>
      <c r="I374" s="4" t="n">
        <f aca="false">F374*G374</f>
        <v>419.79</v>
      </c>
      <c r="J374" s="4" t="n">
        <f aca="false">F374*H374</f>
        <v>202.02</v>
      </c>
      <c r="K374" s="4" t="n">
        <f aca="false">I374-J374</f>
        <v>217.77</v>
      </c>
      <c r="L374" s="5" t="n">
        <f aca="false">IFERROR(K374/I374,0)</f>
        <v>0.518759379689845</v>
      </c>
    </row>
    <row r="375" customFormat="false" ht="15" hidden="false" customHeight="false" outlineLevel="0" collapsed="false">
      <c r="A375" s="2" t="s">
        <v>52</v>
      </c>
      <c r="B375" s="2" t="s">
        <v>53</v>
      </c>
      <c r="C375" s="2" t="s">
        <v>38</v>
      </c>
      <c r="D375" s="2" t="s">
        <v>42</v>
      </c>
      <c r="E375" s="3" t="n">
        <v>45901</v>
      </c>
      <c r="F375" s="2" t="n">
        <v>12</v>
      </c>
      <c r="G375" s="4" t="n">
        <v>16.99</v>
      </c>
      <c r="H375" s="4" t="n">
        <v>8.57</v>
      </c>
      <c r="I375" s="4" t="n">
        <f aca="false">F375*G375</f>
        <v>203.88</v>
      </c>
      <c r="J375" s="4" t="n">
        <f aca="false">F375*H375</f>
        <v>102.84</v>
      </c>
      <c r="K375" s="4" t="n">
        <f aca="false">I375-J375</f>
        <v>101.04</v>
      </c>
      <c r="L375" s="5" t="n">
        <f aca="false">IFERROR(K375/I375,0)</f>
        <v>0.495585638610948</v>
      </c>
    </row>
    <row r="376" customFormat="false" ht="15" hidden="false" customHeight="false" outlineLevel="0" collapsed="false">
      <c r="A376" s="2" t="s">
        <v>52</v>
      </c>
      <c r="B376" s="2" t="s">
        <v>53</v>
      </c>
      <c r="C376" s="2" t="s">
        <v>38</v>
      </c>
      <c r="D376" s="2" t="s">
        <v>43</v>
      </c>
      <c r="E376" s="3" t="n">
        <v>45901</v>
      </c>
      <c r="F376" s="2" t="n">
        <v>15</v>
      </c>
      <c r="G376" s="4" t="n">
        <v>24.99</v>
      </c>
      <c r="H376" s="4" t="n">
        <v>13.37</v>
      </c>
      <c r="I376" s="4" t="n">
        <f aca="false">F376*G376</f>
        <v>374.85</v>
      </c>
      <c r="J376" s="4" t="n">
        <f aca="false">F376*H376</f>
        <v>200.55</v>
      </c>
      <c r="K376" s="4" t="n">
        <f aca="false">I376-J376</f>
        <v>174.3</v>
      </c>
      <c r="L376" s="5" t="n">
        <f aca="false">IFERROR(K376/I376,0)</f>
        <v>0.464985994397759</v>
      </c>
    </row>
    <row r="377" customFormat="false" ht="15" hidden="false" customHeight="false" outlineLevel="0" collapsed="false">
      <c r="A377" s="2" t="s">
        <v>52</v>
      </c>
      <c r="B377" s="2" t="s">
        <v>54</v>
      </c>
      <c r="C377" s="2" t="s">
        <v>14</v>
      </c>
      <c r="D377" s="2" t="s">
        <v>15</v>
      </c>
      <c r="E377" s="3" t="n">
        <v>45901</v>
      </c>
      <c r="F377" s="2" t="n">
        <v>12</v>
      </c>
      <c r="G377" s="4" t="n">
        <v>69.99</v>
      </c>
      <c r="H377" s="4" t="n">
        <v>33.08</v>
      </c>
      <c r="I377" s="4" t="n">
        <f aca="false">F377*G377</f>
        <v>839.88</v>
      </c>
      <c r="J377" s="4" t="n">
        <f aca="false">F377*H377</f>
        <v>396.96</v>
      </c>
      <c r="K377" s="4" t="n">
        <f aca="false">I377-J377</f>
        <v>442.92</v>
      </c>
      <c r="L377" s="5" t="n">
        <f aca="false">IFERROR(K377/I377,0)</f>
        <v>0.527361051578797</v>
      </c>
    </row>
    <row r="378" customFormat="false" ht="15" hidden="false" customHeight="false" outlineLevel="0" collapsed="false">
      <c r="A378" s="2" t="s">
        <v>52</v>
      </c>
      <c r="B378" s="2" t="s">
        <v>54</v>
      </c>
      <c r="C378" s="2" t="s">
        <v>14</v>
      </c>
      <c r="D378" s="2" t="s">
        <v>16</v>
      </c>
      <c r="E378" s="3" t="n">
        <v>45901</v>
      </c>
      <c r="F378" s="2" t="n">
        <v>17</v>
      </c>
      <c r="G378" s="4" t="n">
        <v>19.99</v>
      </c>
      <c r="H378" s="4" t="n">
        <v>9.13</v>
      </c>
      <c r="I378" s="4" t="n">
        <f aca="false">F378*G378</f>
        <v>339.83</v>
      </c>
      <c r="J378" s="4" t="n">
        <f aca="false">F378*H378</f>
        <v>155.21</v>
      </c>
      <c r="K378" s="4" t="n">
        <f aca="false">I378-J378</f>
        <v>184.62</v>
      </c>
      <c r="L378" s="5" t="n">
        <f aca="false">IFERROR(K378/I378,0)</f>
        <v>0.543271635817909</v>
      </c>
    </row>
    <row r="379" customFormat="false" ht="15" hidden="false" customHeight="false" outlineLevel="0" collapsed="false">
      <c r="A379" s="2" t="s">
        <v>52</v>
      </c>
      <c r="B379" s="2" t="s">
        <v>54</v>
      </c>
      <c r="C379" s="2" t="s">
        <v>14</v>
      </c>
      <c r="D379" s="2" t="s">
        <v>17</v>
      </c>
      <c r="E379" s="3" t="n">
        <v>45901</v>
      </c>
      <c r="F379" s="2" t="n">
        <v>13</v>
      </c>
      <c r="G379" s="4" t="n">
        <v>79.99</v>
      </c>
      <c r="H379" s="4" t="n">
        <v>39.25</v>
      </c>
      <c r="I379" s="4" t="n">
        <f aca="false">F379*G379</f>
        <v>1039.87</v>
      </c>
      <c r="J379" s="4" t="n">
        <f aca="false">F379*H379</f>
        <v>510.25</v>
      </c>
      <c r="K379" s="4" t="n">
        <f aca="false">I379-J379</f>
        <v>529.62</v>
      </c>
      <c r="L379" s="5" t="n">
        <f aca="false">IFERROR(K379/I379,0)</f>
        <v>0.509313664208026</v>
      </c>
    </row>
    <row r="380" customFormat="false" ht="15" hidden="false" customHeight="false" outlineLevel="0" collapsed="false">
      <c r="A380" s="2" t="s">
        <v>52</v>
      </c>
      <c r="B380" s="2" t="s">
        <v>54</v>
      </c>
      <c r="C380" s="2" t="s">
        <v>14</v>
      </c>
      <c r="D380" s="2" t="s">
        <v>18</v>
      </c>
      <c r="E380" s="3" t="n">
        <v>45901</v>
      </c>
      <c r="F380" s="2" t="n">
        <v>18</v>
      </c>
      <c r="G380" s="4" t="n">
        <v>34.99</v>
      </c>
      <c r="H380" s="4" t="n">
        <v>14.59</v>
      </c>
      <c r="I380" s="4" t="n">
        <f aca="false">F380*G380</f>
        <v>629.82</v>
      </c>
      <c r="J380" s="4" t="n">
        <f aca="false">F380*H380</f>
        <v>262.62</v>
      </c>
      <c r="K380" s="4" t="n">
        <f aca="false">I380-J380</f>
        <v>367.2</v>
      </c>
      <c r="L380" s="5" t="n">
        <f aca="false">IFERROR(K380/I380,0)</f>
        <v>0.583023721063161</v>
      </c>
    </row>
    <row r="381" customFormat="false" ht="15" hidden="false" customHeight="false" outlineLevel="0" collapsed="false">
      <c r="A381" s="2" t="s">
        <v>52</v>
      </c>
      <c r="B381" s="2" t="s">
        <v>54</v>
      </c>
      <c r="C381" s="2" t="s">
        <v>14</v>
      </c>
      <c r="D381" s="2" t="s">
        <v>19</v>
      </c>
      <c r="E381" s="3" t="n">
        <v>45901</v>
      </c>
      <c r="F381" s="2" t="n">
        <v>17</v>
      </c>
      <c r="G381" s="4" t="n">
        <v>54.99</v>
      </c>
      <c r="H381" s="4" t="n">
        <v>24.32</v>
      </c>
      <c r="I381" s="4" t="n">
        <f aca="false">F381*G381</f>
        <v>934.83</v>
      </c>
      <c r="J381" s="4" t="n">
        <f aca="false">F381*H381</f>
        <v>413.44</v>
      </c>
      <c r="K381" s="4" t="n">
        <f aca="false">I381-J381</f>
        <v>521.39</v>
      </c>
      <c r="L381" s="5" t="n">
        <f aca="false">IFERROR(K381/I381,0)</f>
        <v>0.557737770503728</v>
      </c>
    </row>
    <row r="382" customFormat="false" ht="15" hidden="false" customHeight="false" outlineLevel="0" collapsed="false">
      <c r="A382" s="2" t="s">
        <v>52</v>
      </c>
      <c r="B382" s="2" t="s">
        <v>54</v>
      </c>
      <c r="C382" s="2" t="s">
        <v>20</v>
      </c>
      <c r="D382" s="2" t="s">
        <v>21</v>
      </c>
      <c r="E382" s="3" t="n">
        <v>45901</v>
      </c>
      <c r="F382" s="2" t="n">
        <v>22</v>
      </c>
      <c r="G382" s="4" t="n">
        <v>44.99</v>
      </c>
      <c r="H382" s="4" t="n">
        <v>19.96</v>
      </c>
      <c r="I382" s="4" t="n">
        <f aca="false">F382*G382</f>
        <v>989.78</v>
      </c>
      <c r="J382" s="4" t="n">
        <f aca="false">F382*H382</f>
        <v>439.12</v>
      </c>
      <c r="K382" s="4" t="n">
        <f aca="false">I382-J382</f>
        <v>550.66</v>
      </c>
      <c r="L382" s="5" t="n">
        <f aca="false">IFERROR(K382/I382,0)</f>
        <v>0.556345854634363</v>
      </c>
    </row>
    <row r="383" customFormat="false" ht="15" hidden="false" customHeight="false" outlineLevel="0" collapsed="false">
      <c r="A383" s="2" t="s">
        <v>52</v>
      </c>
      <c r="B383" s="2" t="s">
        <v>54</v>
      </c>
      <c r="C383" s="2" t="s">
        <v>20</v>
      </c>
      <c r="D383" s="2" t="s">
        <v>22</v>
      </c>
      <c r="E383" s="3" t="n">
        <v>45901</v>
      </c>
      <c r="F383" s="2" t="n">
        <v>26</v>
      </c>
      <c r="G383" s="4" t="n">
        <v>14.99</v>
      </c>
      <c r="H383" s="4" t="n">
        <v>5.86</v>
      </c>
      <c r="I383" s="4" t="n">
        <f aca="false">F383*G383</f>
        <v>389.74</v>
      </c>
      <c r="J383" s="4" t="n">
        <f aca="false">F383*H383</f>
        <v>152.36</v>
      </c>
      <c r="K383" s="4" t="n">
        <f aca="false">I383-J383</f>
        <v>237.38</v>
      </c>
      <c r="L383" s="5" t="n">
        <f aca="false">IFERROR(K383/I383,0)</f>
        <v>0.609072715143429</v>
      </c>
    </row>
    <row r="384" customFormat="false" ht="15" hidden="false" customHeight="false" outlineLevel="0" collapsed="false">
      <c r="A384" s="2" t="s">
        <v>52</v>
      </c>
      <c r="B384" s="2" t="s">
        <v>54</v>
      </c>
      <c r="C384" s="2" t="s">
        <v>20</v>
      </c>
      <c r="D384" s="2" t="s">
        <v>23</v>
      </c>
      <c r="E384" s="3" t="n">
        <v>45901</v>
      </c>
      <c r="F384" s="2" t="n">
        <v>24</v>
      </c>
      <c r="G384" s="4" t="n">
        <v>39.99</v>
      </c>
      <c r="H384" s="4" t="n">
        <v>16.5</v>
      </c>
      <c r="I384" s="4" t="n">
        <f aca="false">F384*G384</f>
        <v>959.76</v>
      </c>
      <c r="J384" s="4" t="n">
        <f aca="false">F384*H384</f>
        <v>396</v>
      </c>
      <c r="K384" s="4" t="n">
        <f aca="false">I384-J384</f>
        <v>563.76</v>
      </c>
      <c r="L384" s="5" t="n">
        <f aca="false">IFERROR(K384/I384,0)</f>
        <v>0.587396849212303</v>
      </c>
    </row>
    <row r="385" customFormat="false" ht="15" hidden="false" customHeight="false" outlineLevel="0" collapsed="false">
      <c r="A385" s="2" t="s">
        <v>52</v>
      </c>
      <c r="B385" s="2" t="s">
        <v>54</v>
      </c>
      <c r="C385" s="2" t="s">
        <v>20</v>
      </c>
      <c r="D385" s="2" t="s">
        <v>24</v>
      </c>
      <c r="E385" s="3" t="n">
        <v>45901</v>
      </c>
      <c r="F385" s="2" t="n">
        <v>17</v>
      </c>
      <c r="G385" s="4" t="n">
        <v>18.99</v>
      </c>
      <c r="H385" s="4" t="n">
        <v>7.4</v>
      </c>
      <c r="I385" s="4" t="n">
        <f aca="false">F385*G385</f>
        <v>322.83</v>
      </c>
      <c r="J385" s="4" t="n">
        <f aca="false">F385*H385</f>
        <v>125.8</v>
      </c>
      <c r="K385" s="4" t="n">
        <f aca="false">I385-J385</f>
        <v>197.03</v>
      </c>
      <c r="L385" s="5" t="n">
        <f aca="false">IFERROR(K385/I385,0)</f>
        <v>0.610321221695629</v>
      </c>
    </row>
    <row r="386" customFormat="false" ht="15" hidden="false" customHeight="false" outlineLevel="0" collapsed="false">
      <c r="A386" s="2" t="s">
        <v>52</v>
      </c>
      <c r="B386" s="2" t="s">
        <v>54</v>
      </c>
      <c r="C386" s="2" t="s">
        <v>20</v>
      </c>
      <c r="D386" s="2" t="s">
        <v>25</v>
      </c>
      <c r="E386" s="3" t="n">
        <v>45901</v>
      </c>
      <c r="F386" s="2" t="n">
        <v>15</v>
      </c>
      <c r="G386" s="4" t="n">
        <v>42.99</v>
      </c>
      <c r="H386" s="4" t="n">
        <v>16.08</v>
      </c>
      <c r="I386" s="4" t="n">
        <f aca="false">F386*G386</f>
        <v>644.85</v>
      </c>
      <c r="J386" s="4" t="n">
        <f aca="false">F386*H386</f>
        <v>241.2</v>
      </c>
      <c r="K386" s="4" t="n">
        <f aca="false">I386-J386</f>
        <v>403.65</v>
      </c>
      <c r="L386" s="5" t="n">
        <f aca="false">IFERROR(K386/I386,0)</f>
        <v>0.62595952547104</v>
      </c>
    </row>
    <row r="387" customFormat="false" ht="15" hidden="false" customHeight="false" outlineLevel="0" collapsed="false">
      <c r="A387" s="2" t="s">
        <v>52</v>
      </c>
      <c r="B387" s="2" t="s">
        <v>54</v>
      </c>
      <c r="C387" s="2" t="s">
        <v>26</v>
      </c>
      <c r="D387" s="2" t="s">
        <v>27</v>
      </c>
      <c r="E387" s="3" t="n">
        <v>45901</v>
      </c>
      <c r="F387" s="2" t="n">
        <v>14</v>
      </c>
      <c r="G387" s="4" t="n">
        <v>44.99</v>
      </c>
      <c r="H387" s="4" t="n">
        <v>28.6</v>
      </c>
      <c r="I387" s="4" t="n">
        <f aca="false">F387*G387</f>
        <v>629.86</v>
      </c>
      <c r="J387" s="4" t="n">
        <f aca="false">F387*H387</f>
        <v>400.4</v>
      </c>
      <c r="K387" s="4" t="n">
        <f aca="false">I387-J387</f>
        <v>229.46</v>
      </c>
      <c r="L387" s="5" t="n">
        <f aca="false">IFERROR(K387/I387,0)</f>
        <v>0.364303178484108</v>
      </c>
    </row>
    <row r="388" customFormat="false" ht="15" hidden="false" customHeight="false" outlineLevel="0" collapsed="false">
      <c r="A388" s="2" t="s">
        <v>52</v>
      </c>
      <c r="B388" s="2" t="s">
        <v>54</v>
      </c>
      <c r="C388" s="2" t="s">
        <v>26</v>
      </c>
      <c r="D388" s="2" t="s">
        <v>28</v>
      </c>
      <c r="E388" s="3" t="n">
        <v>45901</v>
      </c>
      <c r="F388" s="2" t="n">
        <v>21</v>
      </c>
      <c r="G388" s="4" t="n">
        <v>34.99</v>
      </c>
      <c r="H388" s="4" t="n">
        <v>22.53</v>
      </c>
      <c r="I388" s="4" t="n">
        <f aca="false">F388*G388</f>
        <v>734.79</v>
      </c>
      <c r="J388" s="4" t="n">
        <f aca="false">F388*H388</f>
        <v>473.13</v>
      </c>
      <c r="K388" s="4" t="n">
        <f aca="false">I388-J388</f>
        <v>261.66</v>
      </c>
      <c r="L388" s="5" t="n">
        <f aca="false">IFERROR(K388/I388,0)</f>
        <v>0.356101743355244</v>
      </c>
    </row>
    <row r="389" customFormat="false" ht="15" hidden="false" customHeight="false" outlineLevel="0" collapsed="false">
      <c r="A389" s="2" t="s">
        <v>52</v>
      </c>
      <c r="B389" s="2" t="s">
        <v>54</v>
      </c>
      <c r="C389" s="2" t="s">
        <v>26</v>
      </c>
      <c r="D389" s="2" t="s">
        <v>29</v>
      </c>
      <c r="E389" s="3" t="n">
        <v>45901</v>
      </c>
      <c r="F389" s="2" t="n">
        <v>19</v>
      </c>
      <c r="G389" s="4" t="n">
        <v>119.99</v>
      </c>
      <c r="H389" s="4" t="n">
        <v>83.94</v>
      </c>
      <c r="I389" s="4" t="n">
        <f aca="false">F389*G389</f>
        <v>2279.81</v>
      </c>
      <c r="J389" s="4" t="n">
        <f aca="false">F389*H389</f>
        <v>1594.86</v>
      </c>
      <c r="K389" s="4" t="n">
        <f aca="false">I389-J389</f>
        <v>684.95</v>
      </c>
      <c r="L389" s="5" t="n">
        <f aca="false">IFERROR(K389/I389,0)</f>
        <v>0.30044170347529</v>
      </c>
    </row>
    <row r="390" customFormat="false" ht="15" hidden="false" customHeight="false" outlineLevel="0" collapsed="false">
      <c r="A390" s="2" t="s">
        <v>52</v>
      </c>
      <c r="B390" s="2" t="s">
        <v>54</v>
      </c>
      <c r="C390" s="2" t="s">
        <v>26</v>
      </c>
      <c r="D390" s="2" t="s">
        <v>30</v>
      </c>
      <c r="E390" s="3" t="n">
        <v>45901</v>
      </c>
      <c r="F390" s="2" t="n">
        <v>26</v>
      </c>
      <c r="G390" s="4" t="n">
        <v>24.99</v>
      </c>
      <c r="H390" s="4" t="n">
        <v>14.98</v>
      </c>
      <c r="I390" s="4" t="n">
        <f aca="false">F390*G390</f>
        <v>649.74</v>
      </c>
      <c r="J390" s="4" t="n">
        <f aca="false">F390*H390</f>
        <v>389.48</v>
      </c>
      <c r="K390" s="4" t="n">
        <f aca="false">I390-J390</f>
        <v>260.26</v>
      </c>
      <c r="L390" s="5" t="n">
        <f aca="false">IFERROR(K390/I390,0)</f>
        <v>0.400560224089636</v>
      </c>
    </row>
    <row r="391" customFormat="false" ht="15" hidden="false" customHeight="false" outlineLevel="0" collapsed="false">
      <c r="A391" s="2" t="s">
        <v>52</v>
      </c>
      <c r="B391" s="2" t="s">
        <v>54</v>
      </c>
      <c r="C391" s="2" t="s">
        <v>26</v>
      </c>
      <c r="D391" s="2" t="s">
        <v>31</v>
      </c>
      <c r="E391" s="3" t="n">
        <v>45901</v>
      </c>
      <c r="F391" s="2" t="n">
        <v>23</v>
      </c>
      <c r="G391" s="4" t="n">
        <v>59.99</v>
      </c>
      <c r="H391" s="4" t="n">
        <v>38.05</v>
      </c>
      <c r="I391" s="4" t="n">
        <f aca="false">F391*G391</f>
        <v>1379.77</v>
      </c>
      <c r="J391" s="4" t="n">
        <f aca="false">F391*H391</f>
        <v>875.15</v>
      </c>
      <c r="K391" s="4" t="n">
        <f aca="false">I391-J391</f>
        <v>504.62</v>
      </c>
      <c r="L391" s="5" t="n">
        <f aca="false">IFERROR(K391/I391,0)</f>
        <v>0.365727621270212</v>
      </c>
    </row>
    <row r="392" customFormat="false" ht="15" hidden="false" customHeight="false" outlineLevel="0" collapsed="false">
      <c r="A392" s="2" t="s">
        <v>52</v>
      </c>
      <c r="B392" s="2" t="s">
        <v>54</v>
      </c>
      <c r="C392" s="2" t="s">
        <v>32</v>
      </c>
      <c r="D392" s="2" t="s">
        <v>33</v>
      </c>
      <c r="E392" s="3" t="n">
        <v>45901</v>
      </c>
      <c r="F392" s="2" t="n">
        <v>19</v>
      </c>
      <c r="G392" s="4" t="n">
        <v>49.99</v>
      </c>
      <c r="H392" s="4" t="n">
        <v>36.13</v>
      </c>
      <c r="I392" s="4" t="n">
        <f aca="false">F392*G392</f>
        <v>949.81</v>
      </c>
      <c r="J392" s="4" t="n">
        <f aca="false">F392*H392</f>
        <v>686.47</v>
      </c>
      <c r="K392" s="4" t="n">
        <f aca="false">I392-J392</f>
        <v>263.34</v>
      </c>
      <c r="L392" s="5" t="n">
        <f aca="false">IFERROR(K392/I392,0)</f>
        <v>0.277255451090218</v>
      </c>
    </row>
    <row r="393" customFormat="false" ht="15" hidden="false" customHeight="false" outlineLevel="0" collapsed="false">
      <c r="A393" s="2" t="s">
        <v>52</v>
      </c>
      <c r="B393" s="2" t="s">
        <v>54</v>
      </c>
      <c r="C393" s="2" t="s">
        <v>32</v>
      </c>
      <c r="D393" s="2" t="s">
        <v>34</v>
      </c>
      <c r="E393" s="3" t="n">
        <v>45901</v>
      </c>
      <c r="F393" s="2" t="n">
        <v>17</v>
      </c>
      <c r="G393" s="4" t="n">
        <v>27.99</v>
      </c>
      <c r="H393" s="4" t="n">
        <v>19.55</v>
      </c>
      <c r="I393" s="4" t="n">
        <f aca="false">F393*G393</f>
        <v>475.83</v>
      </c>
      <c r="J393" s="4" t="n">
        <f aca="false">F393*H393</f>
        <v>332.35</v>
      </c>
      <c r="K393" s="4" t="n">
        <f aca="false">I393-J393</f>
        <v>143.48</v>
      </c>
      <c r="L393" s="5" t="n">
        <f aca="false">IFERROR(K393/I393,0)</f>
        <v>0.301536262951054</v>
      </c>
    </row>
    <row r="394" customFormat="false" ht="15" hidden="false" customHeight="false" outlineLevel="0" collapsed="false">
      <c r="A394" s="2" t="s">
        <v>52</v>
      </c>
      <c r="B394" s="2" t="s">
        <v>54</v>
      </c>
      <c r="C394" s="2" t="s">
        <v>32</v>
      </c>
      <c r="D394" s="2" t="s">
        <v>35</v>
      </c>
      <c r="E394" s="3" t="n">
        <v>45901</v>
      </c>
      <c r="F394" s="2" t="n">
        <v>22</v>
      </c>
      <c r="G394" s="4" t="n">
        <v>64.99</v>
      </c>
      <c r="H394" s="4" t="n">
        <v>44.57</v>
      </c>
      <c r="I394" s="4" t="n">
        <f aca="false">F394*G394</f>
        <v>1429.78</v>
      </c>
      <c r="J394" s="4" t="n">
        <f aca="false">F394*H394</f>
        <v>980.54</v>
      </c>
      <c r="K394" s="4" t="n">
        <f aca="false">I394-J394</f>
        <v>449.24</v>
      </c>
      <c r="L394" s="5" t="n">
        <f aca="false">IFERROR(K394/I394,0)</f>
        <v>0.314202184951531</v>
      </c>
    </row>
    <row r="395" customFormat="false" ht="15" hidden="false" customHeight="false" outlineLevel="0" collapsed="false">
      <c r="A395" s="2" t="s">
        <v>52</v>
      </c>
      <c r="B395" s="2" t="s">
        <v>54</v>
      </c>
      <c r="C395" s="2" t="s">
        <v>32</v>
      </c>
      <c r="D395" s="2" t="s">
        <v>36</v>
      </c>
      <c r="E395" s="3" t="n">
        <v>45901</v>
      </c>
      <c r="F395" s="2" t="n">
        <v>10</v>
      </c>
      <c r="G395" s="4" t="n">
        <v>22.99</v>
      </c>
      <c r="H395" s="4" t="n">
        <v>16.82</v>
      </c>
      <c r="I395" s="4" t="n">
        <f aca="false">F395*G395</f>
        <v>229.9</v>
      </c>
      <c r="J395" s="4" t="n">
        <f aca="false">F395*H395</f>
        <v>168.2</v>
      </c>
      <c r="K395" s="4" t="n">
        <f aca="false">I395-J395</f>
        <v>61.7</v>
      </c>
      <c r="L395" s="5" t="n">
        <f aca="false">IFERROR(K395/I395,0)</f>
        <v>0.268377555458895</v>
      </c>
    </row>
    <row r="396" customFormat="false" ht="15" hidden="false" customHeight="false" outlineLevel="0" collapsed="false">
      <c r="A396" s="2" t="s">
        <v>52</v>
      </c>
      <c r="B396" s="2" t="s">
        <v>54</v>
      </c>
      <c r="C396" s="2" t="s">
        <v>32</v>
      </c>
      <c r="D396" s="2" t="s">
        <v>37</v>
      </c>
      <c r="E396" s="3" t="n">
        <v>45901</v>
      </c>
      <c r="F396" s="2" t="n">
        <v>18</v>
      </c>
      <c r="G396" s="4" t="n">
        <v>29.99</v>
      </c>
      <c r="H396" s="4" t="n">
        <v>20.67</v>
      </c>
      <c r="I396" s="4" t="n">
        <f aca="false">F396*G396</f>
        <v>539.82</v>
      </c>
      <c r="J396" s="4" t="n">
        <f aca="false">F396*H396</f>
        <v>372.06</v>
      </c>
      <c r="K396" s="4" t="n">
        <f aca="false">I396-J396</f>
        <v>167.76</v>
      </c>
      <c r="L396" s="5" t="n">
        <f aca="false">IFERROR(K396/I396,0)</f>
        <v>0.310770256752251</v>
      </c>
    </row>
    <row r="397" customFormat="false" ht="15" hidden="false" customHeight="false" outlineLevel="0" collapsed="false">
      <c r="A397" s="2" t="s">
        <v>52</v>
      </c>
      <c r="B397" s="2" t="s">
        <v>54</v>
      </c>
      <c r="C397" s="2" t="s">
        <v>38</v>
      </c>
      <c r="D397" s="2" t="s">
        <v>39</v>
      </c>
      <c r="E397" s="3" t="n">
        <v>45901</v>
      </c>
      <c r="F397" s="2" t="n">
        <v>10</v>
      </c>
      <c r="G397" s="4" t="n">
        <v>129.99</v>
      </c>
      <c r="H397" s="4" t="n">
        <v>77.21</v>
      </c>
      <c r="I397" s="4" t="n">
        <f aca="false">F397*G397</f>
        <v>1299.9</v>
      </c>
      <c r="J397" s="4" t="n">
        <f aca="false">F397*H397</f>
        <v>772.1</v>
      </c>
      <c r="K397" s="4" t="n">
        <f aca="false">I397-J397</f>
        <v>527.8</v>
      </c>
      <c r="L397" s="5" t="n">
        <f aca="false">IFERROR(K397/I397,0)</f>
        <v>0.406031233171783</v>
      </c>
    </row>
    <row r="398" customFormat="false" ht="15" hidden="false" customHeight="false" outlineLevel="0" collapsed="false">
      <c r="A398" s="2" t="s">
        <v>52</v>
      </c>
      <c r="B398" s="2" t="s">
        <v>54</v>
      </c>
      <c r="C398" s="2" t="s">
        <v>38</v>
      </c>
      <c r="D398" s="2" t="s">
        <v>40</v>
      </c>
      <c r="E398" s="3" t="n">
        <v>45901</v>
      </c>
      <c r="F398" s="2" t="n">
        <v>21</v>
      </c>
      <c r="G398" s="4" t="n">
        <v>74.99</v>
      </c>
      <c r="H398" s="4" t="n">
        <v>41.96</v>
      </c>
      <c r="I398" s="4" t="n">
        <f aca="false">F398*G398</f>
        <v>1574.79</v>
      </c>
      <c r="J398" s="4" t="n">
        <f aca="false">F398*H398</f>
        <v>881.16</v>
      </c>
      <c r="K398" s="4" t="n">
        <f aca="false">I398-J398</f>
        <v>693.63</v>
      </c>
      <c r="L398" s="5" t="n">
        <f aca="false">IFERROR(K398/I398,0)</f>
        <v>0.440458727830377</v>
      </c>
    </row>
    <row r="399" customFormat="false" ht="15" hidden="false" customHeight="false" outlineLevel="0" collapsed="false">
      <c r="A399" s="2" t="s">
        <v>52</v>
      </c>
      <c r="B399" s="2" t="s">
        <v>54</v>
      </c>
      <c r="C399" s="2" t="s">
        <v>38</v>
      </c>
      <c r="D399" s="2" t="s">
        <v>41</v>
      </c>
      <c r="E399" s="3" t="n">
        <v>45901</v>
      </c>
      <c r="F399" s="2" t="n">
        <v>27</v>
      </c>
      <c r="G399" s="4" t="n">
        <v>19.99</v>
      </c>
      <c r="H399" s="4" t="n">
        <v>9.38</v>
      </c>
      <c r="I399" s="4" t="n">
        <f aca="false">F399*G399</f>
        <v>539.73</v>
      </c>
      <c r="J399" s="4" t="n">
        <f aca="false">F399*H399</f>
        <v>253.26</v>
      </c>
      <c r="K399" s="4" t="n">
        <f aca="false">I399-J399</f>
        <v>286.47</v>
      </c>
      <c r="L399" s="5" t="n">
        <f aca="false">IFERROR(K399/I399,0)</f>
        <v>0.530765382691346</v>
      </c>
    </row>
    <row r="400" customFormat="false" ht="15" hidden="false" customHeight="false" outlineLevel="0" collapsed="false">
      <c r="A400" s="2" t="s">
        <v>52</v>
      </c>
      <c r="B400" s="2" t="s">
        <v>54</v>
      </c>
      <c r="C400" s="2" t="s">
        <v>38</v>
      </c>
      <c r="D400" s="2" t="s">
        <v>42</v>
      </c>
      <c r="E400" s="3" t="n">
        <v>45901</v>
      </c>
      <c r="F400" s="2" t="n">
        <v>17</v>
      </c>
      <c r="G400" s="4" t="n">
        <v>16.99</v>
      </c>
      <c r="H400" s="4" t="n">
        <v>8.75</v>
      </c>
      <c r="I400" s="4" t="n">
        <f aca="false">F400*G400</f>
        <v>288.83</v>
      </c>
      <c r="J400" s="4" t="n">
        <f aca="false">F400*H400</f>
        <v>148.75</v>
      </c>
      <c r="K400" s="4" t="n">
        <f aca="false">I400-J400</f>
        <v>140.08</v>
      </c>
      <c r="L400" s="5" t="n">
        <f aca="false">IFERROR(K400/I400,0)</f>
        <v>0.484991171277222</v>
      </c>
    </row>
    <row r="401" customFormat="false" ht="15" hidden="false" customHeight="false" outlineLevel="0" collapsed="false">
      <c r="A401" s="2" t="s">
        <v>52</v>
      </c>
      <c r="B401" s="2" t="s">
        <v>54</v>
      </c>
      <c r="C401" s="2" t="s">
        <v>38</v>
      </c>
      <c r="D401" s="2" t="s">
        <v>43</v>
      </c>
      <c r="E401" s="3" t="n">
        <v>45901</v>
      </c>
      <c r="F401" s="2" t="n">
        <v>24</v>
      </c>
      <c r="G401" s="4" t="n">
        <v>24.99</v>
      </c>
      <c r="H401" s="4" t="n">
        <v>12.92</v>
      </c>
      <c r="I401" s="4" t="n">
        <f aca="false">F401*G401</f>
        <v>599.76</v>
      </c>
      <c r="J401" s="4" t="n">
        <f aca="false">F401*H401</f>
        <v>310.08</v>
      </c>
      <c r="K401" s="4" t="n">
        <f aca="false">I401-J401</f>
        <v>289.68</v>
      </c>
      <c r="L401" s="5" t="n">
        <f aca="false">IFERROR(K401/I401,0)</f>
        <v>0.482993197278912</v>
      </c>
    </row>
    <row r="402" customFormat="false" ht="15" hidden="false" customHeight="false" outlineLevel="0" collapsed="false">
      <c r="A402" s="2" t="s">
        <v>12</v>
      </c>
      <c r="B402" s="2" t="s">
        <v>13</v>
      </c>
      <c r="C402" s="2" t="s">
        <v>14</v>
      </c>
      <c r="D402" s="2" t="s">
        <v>15</v>
      </c>
      <c r="E402" s="3" t="n">
        <v>45931</v>
      </c>
      <c r="F402" s="2" t="n">
        <v>11</v>
      </c>
      <c r="G402" s="4" t="n">
        <v>69.99</v>
      </c>
      <c r="H402" s="4" t="n">
        <v>32.65</v>
      </c>
      <c r="I402" s="4" t="n">
        <f aca="false">F402*G402</f>
        <v>769.89</v>
      </c>
      <c r="J402" s="4" t="n">
        <f aca="false">F402*H402</f>
        <v>359.15</v>
      </c>
      <c r="K402" s="4" t="n">
        <f aca="false">I402-J402</f>
        <v>410.74</v>
      </c>
      <c r="L402" s="5" t="n">
        <f aca="false">IFERROR(K402/I402,0)</f>
        <v>0.533504786398057</v>
      </c>
    </row>
    <row r="403" customFormat="false" ht="15" hidden="false" customHeight="false" outlineLevel="0" collapsed="false">
      <c r="A403" s="2" t="s">
        <v>12</v>
      </c>
      <c r="B403" s="2" t="s">
        <v>13</v>
      </c>
      <c r="C403" s="2" t="s">
        <v>14</v>
      </c>
      <c r="D403" s="2" t="s">
        <v>16</v>
      </c>
      <c r="E403" s="3" t="n">
        <v>45931</v>
      </c>
      <c r="F403" s="2" t="n">
        <v>26</v>
      </c>
      <c r="G403" s="4" t="n">
        <v>19.99</v>
      </c>
      <c r="H403" s="4" t="n">
        <v>9</v>
      </c>
      <c r="I403" s="4" t="n">
        <f aca="false">F403*G403</f>
        <v>519.74</v>
      </c>
      <c r="J403" s="4" t="n">
        <f aca="false">F403*H403</f>
        <v>234</v>
      </c>
      <c r="K403" s="4" t="n">
        <f aca="false">I403-J403</f>
        <v>285.74</v>
      </c>
      <c r="L403" s="5" t="n">
        <f aca="false">IFERROR(K403/I403,0)</f>
        <v>0.549774887443722</v>
      </c>
    </row>
    <row r="404" customFormat="false" ht="15" hidden="false" customHeight="false" outlineLevel="0" collapsed="false">
      <c r="A404" s="2" t="s">
        <v>12</v>
      </c>
      <c r="B404" s="2" t="s">
        <v>13</v>
      </c>
      <c r="C404" s="2" t="s">
        <v>14</v>
      </c>
      <c r="D404" s="2" t="s">
        <v>17</v>
      </c>
      <c r="E404" s="3" t="n">
        <v>45931</v>
      </c>
      <c r="F404" s="2" t="n">
        <v>17</v>
      </c>
      <c r="G404" s="4" t="n">
        <v>79.99</v>
      </c>
      <c r="H404" s="4" t="n">
        <v>40.81</v>
      </c>
      <c r="I404" s="4" t="n">
        <f aca="false">F404*G404</f>
        <v>1359.83</v>
      </c>
      <c r="J404" s="4" t="n">
        <f aca="false">F404*H404</f>
        <v>693.77</v>
      </c>
      <c r="K404" s="4" t="n">
        <f aca="false">I404-J404</f>
        <v>666.06</v>
      </c>
      <c r="L404" s="5" t="n">
        <f aca="false">IFERROR(K404/I404,0)</f>
        <v>0.4898112264033</v>
      </c>
    </row>
    <row r="405" customFormat="false" ht="15" hidden="false" customHeight="false" outlineLevel="0" collapsed="false">
      <c r="A405" s="2" t="s">
        <v>12</v>
      </c>
      <c r="B405" s="2" t="s">
        <v>13</v>
      </c>
      <c r="C405" s="2" t="s">
        <v>14</v>
      </c>
      <c r="D405" s="2" t="s">
        <v>18</v>
      </c>
      <c r="E405" s="3" t="n">
        <v>45931</v>
      </c>
      <c r="F405" s="2" t="n">
        <v>11</v>
      </c>
      <c r="G405" s="4" t="n">
        <v>34.99</v>
      </c>
      <c r="H405" s="4" t="n">
        <v>14.71</v>
      </c>
      <c r="I405" s="4" t="n">
        <f aca="false">F405*G405</f>
        <v>384.89</v>
      </c>
      <c r="J405" s="4" t="n">
        <f aca="false">F405*H405</f>
        <v>161.81</v>
      </c>
      <c r="K405" s="4" t="n">
        <f aca="false">I405-J405</f>
        <v>223.08</v>
      </c>
      <c r="L405" s="5" t="n">
        <f aca="false">IFERROR(K405/I405,0)</f>
        <v>0.579594169762789</v>
      </c>
    </row>
    <row r="406" customFormat="false" ht="15" hidden="false" customHeight="false" outlineLevel="0" collapsed="false">
      <c r="A406" s="2" t="s">
        <v>12</v>
      </c>
      <c r="B406" s="2" t="s">
        <v>13</v>
      </c>
      <c r="C406" s="2" t="s">
        <v>14</v>
      </c>
      <c r="D406" s="2" t="s">
        <v>19</v>
      </c>
      <c r="E406" s="3" t="n">
        <v>45931</v>
      </c>
      <c r="F406" s="2" t="n">
        <v>20</v>
      </c>
      <c r="G406" s="4" t="n">
        <v>54.99</v>
      </c>
      <c r="H406" s="4" t="n">
        <v>24.8</v>
      </c>
      <c r="I406" s="4" t="n">
        <f aca="false">F406*G406</f>
        <v>1099.8</v>
      </c>
      <c r="J406" s="4" t="n">
        <f aca="false">F406*H406</f>
        <v>496</v>
      </c>
      <c r="K406" s="4" t="n">
        <f aca="false">I406-J406</f>
        <v>603.8</v>
      </c>
      <c r="L406" s="5" t="n">
        <f aca="false">IFERROR(K406/I406,0)</f>
        <v>0.549008910711038</v>
      </c>
    </row>
    <row r="407" customFormat="false" ht="15" hidden="false" customHeight="false" outlineLevel="0" collapsed="false">
      <c r="A407" s="2" t="s">
        <v>12</v>
      </c>
      <c r="B407" s="2" t="s">
        <v>13</v>
      </c>
      <c r="C407" s="2" t="s">
        <v>20</v>
      </c>
      <c r="D407" s="2" t="s">
        <v>21</v>
      </c>
      <c r="E407" s="3" t="n">
        <v>45931</v>
      </c>
      <c r="F407" s="2" t="n">
        <v>17</v>
      </c>
      <c r="G407" s="4" t="n">
        <v>44.99</v>
      </c>
      <c r="H407" s="4" t="n">
        <v>19.91</v>
      </c>
      <c r="I407" s="4" t="n">
        <f aca="false">F407*G407</f>
        <v>764.83</v>
      </c>
      <c r="J407" s="4" t="n">
        <f aca="false">F407*H407</f>
        <v>338.47</v>
      </c>
      <c r="K407" s="4" t="n">
        <f aca="false">I407-J407</f>
        <v>426.36</v>
      </c>
      <c r="L407" s="5" t="n">
        <f aca="false">IFERROR(K407/I407,0)</f>
        <v>0.557457212713936</v>
      </c>
    </row>
    <row r="408" customFormat="false" ht="15" hidden="false" customHeight="false" outlineLevel="0" collapsed="false">
      <c r="A408" s="2" t="s">
        <v>12</v>
      </c>
      <c r="B408" s="2" t="s">
        <v>13</v>
      </c>
      <c r="C408" s="2" t="s">
        <v>20</v>
      </c>
      <c r="D408" s="2" t="s">
        <v>22</v>
      </c>
      <c r="E408" s="3" t="n">
        <v>45931</v>
      </c>
      <c r="F408" s="2" t="n">
        <v>20</v>
      </c>
      <c r="G408" s="4" t="n">
        <v>14.99</v>
      </c>
      <c r="H408" s="4" t="n">
        <v>5.57</v>
      </c>
      <c r="I408" s="4" t="n">
        <f aca="false">F408*G408</f>
        <v>299.8</v>
      </c>
      <c r="J408" s="4" t="n">
        <f aca="false">F408*H408</f>
        <v>111.4</v>
      </c>
      <c r="K408" s="4" t="n">
        <f aca="false">I408-J408</f>
        <v>188.4</v>
      </c>
      <c r="L408" s="5" t="n">
        <f aca="false">IFERROR(K408/I408,0)</f>
        <v>0.628418945963976</v>
      </c>
    </row>
    <row r="409" customFormat="false" ht="15" hidden="false" customHeight="false" outlineLevel="0" collapsed="false">
      <c r="A409" s="2" t="s">
        <v>12</v>
      </c>
      <c r="B409" s="2" t="s">
        <v>13</v>
      </c>
      <c r="C409" s="2" t="s">
        <v>20</v>
      </c>
      <c r="D409" s="2" t="s">
        <v>23</v>
      </c>
      <c r="E409" s="3" t="n">
        <v>45931</v>
      </c>
      <c r="F409" s="2" t="n">
        <v>14</v>
      </c>
      <c r="G409" s="4" t="n">
        <v>39.99</v>
      </c>
      <c r="H409" s="4" t="n">
        <v>16.81</v>
      </c>
      <c r="I409" s="4" t="n">
        <f aca="false">F409*G409</f>
        <v>559.86</v>
      </c>
      <c r="J409" s="4" t="n">
        <f aca="false">F409*H409</f>
        <v>235.34</v>
      </c>
      <c r="K409" s="4" t="n">
        <f aca="false">I409-J409</f>
        <v>324.52</v>
      </c>
      <c r="L409" s="5" t="n">
        <f aca="false">IFERROR(K409/I409,0)</f>
        <v>0.579644911227807</v>
      </c>
    </row>
    <row r="410" customFormat="false" ht="15" hidden="false" customHeight="false" outlineLevel="0" collapsed="false">
      <c r="A410" s="2" t="s">
        <v>12</v>
      </c>
      <c r="B410" s="2" t="s">
        <v>13</v>
      </c>
      <c r="C410" s="2" t="s">
        <v>20</v>
      </c>
      <c r="D410" s="2" t="s">
        <v>24</v>
      </c>
      <c r="E410" s="3" t="n">
        <v>45931</v>
      </c>
      <c r="F410" s="2" t="n">
        <v>18</v>
      </c>
      <c r="G410" s="4" t="n">
        <v>18.99</v>
      </c>
      <c r="H410" s="4" t="n">
        <v>7.72</v>
      </c>
      <c r="I410" s="4" t="n">
        <f aca="false">F410*G410</f>
        <v>341.82</v>
      </c>
      <c r="J410" s="4" t="n">
        <f aca="false">F410*H410</f>
        <v>138.96</v>
      </c>
      <c r="K410" s="4" t="n">
        <f aca="false">I410-J410</f>
        <v>202.86</v>
      </c>
      <c r="L410" s="5" t="n">
        <f aca="false">IFERROR(K410/I410,0)</f>
        <v>0.593470247498684</v>
      </c>
    </row>
    <row r="411" customFormat="false" ht="15" hidden="false" customHeight="false" outlineLevel="0" collapsed="false">
      <c r="A411" s="2" t="s">
        <v>12</v>
      </c>
      <c r="B411" s="2" t="s">
        <v>13</v>
      </c>
      <c r="C411" s="2" t="s">
        <v>20</v>
      </c>
      <c r="D411" s="2" t="s">
        <v>25</v>
      </c>
      <c r="E411" s="3" t="n">
        <v>45931</v>
      </c>
      <c r="F411" s="2" t="n">
        <v>11</v>
      </c>
      <c r="G411" s="4" t="n">
        <v>42.99</v>
      </c>
      <c r="H411" s="4" t="n">
        <v>15.52</v>
      </c>
      <c r="I411" s="4" t="n">
        <f aca="false">F411*G411</f>
        <v>472.89</v>
      </c>
      <c r="J411" s="4" t="n">
        <f aca="false">F411*H411</f>
        <v>170.72</v>
      </c>
      <c r="K411" s="4" t="n">
        <f aca="false">I411-J411</f>
        <v>302.17</v>
      </c>
      <c r="L411" s="5" t="n">
        <f aca="false">IFERROR(K411/I411,0)</f>
        <v>0.638985810653641</v>
      </c>
    </row>
    <row r="412" customFormat="false" ht="15" hidden="false" customHeight="false" outlineLevel="0" collapsed="false">
      <c r="A412" s="2" t="s">
        <v>12</v>
      </c>
      <c r="B412" s="2" t="s">
        <v>13</v>
      </c>
      <c r="C412" s="2" t="s">
        <v>26</v>
      </c>
      <c r="D412" s="2" t="s">
        <v>27</v>
      </c>
      <c r="E412" s="3" t="n">
        <v>45931</v>
      </c>
      <c r="F412" s="2" t="n">
        <v>14</v>
      </c>
      <c r="G412" s="4" t="n">
        <v>44.99</v>
      </c>
      <c r="H412" s="4" t="n">
        <v>27.54</v>
      </c>
      <c r="I412" s="4" t="n">
        <f aca="false">F412*G412</f>
        <v>629.86</v>
      </c>
      <c r="J412" s="4" t="n">
        <f aca="false">F412*H412</f>
        <v>385.56</v>
      </c>
      <c r="K412" s="4" t="n">
        <f aca="false">I412-J412</f>
        <v>244.3</v>
      </c>
      <c r="L412" s="5" t="n">
        <f aca="false">IFERROR(K412/I412,0)</f>
        <v>0.38786396977106</v>
      </c>
    </row>
    <row r="413" customFormat="false" ht="15" hidden="false" customHeight="false" outlineLevel="0" collapsed="false">
      <c r="A413" s="2" t="s">
        <v>12</v>
      </c>
      <c r="B413" s="2" t="s">
        <v>13</v>
      </c>
      <c r="C413" s="2" t="s">
        <v>26</v>
      </c>
      <c r="D413" s="2" t="s">
        <v>28</v>
      </c>
      <c r="E413" s="3" t="n">
        <v>45931</v>
      </c>
      <c r="F413" s="2" t="n">
        <v>16</v>
      </c>
      <c r="G413" s="4" t="n">
        <v>34.99</v>
      </c>
      <c r="H413" s="4" t="n">
        <v>22.62</v>
      </c>
      <c r="I413" s="4" t="n">
        <f aca="false">F413*G413</f>
        <v>559.84</v>
      </c>
      <c r="J413" s="4" t="n">
        <f aca="false">F413*H413</f>
        <v>361.92</v>
      </c>
      <c r="K413" s="4" t="n">
        <f aca="false">I413-J413</f>
        <v>197.92</v>
      </c>
      <c r="L413" s="5" t="n">
        <f aca="false">IFERROR(K413/I413,0)</f>
        <v>0.353529579879966</v>
      </c>
    </row>
    <row r="414" customFormat="false" ht="15" hidden="false" customHeight="false" outlineLevel="0" collapsed="false">
      <c r="A414" s="2" t="s">
        <v>12</v>
      </c>
      <c r="B414" s="2" t="s">
        <v>13</v>
      </c>
      <c r="C414" s="2" t="s">
        <v>26</v>
      </c>
      <c r="D414" s="2" t="s">
        <v>29</v>
      </c>
      <c r="E414" s="3" t="n">
        <v>45931</v>
      </c>
      <c r="F414" s="2" t="n">
        <v>23</v>
      </c>
      <c r="G414" s="4" t="n">
        <v>119.99</v>
      </c>
      <c r="H414" s="4" t="n">
        <v>81.97</v>
      </c>
      <c r="I414" s="4" t="n">
        <f aca="false">F414*G414</f>
        <v>2759.77</v>
      </c>
      <c r="J414" s="4" t="n">
        <f aca="false">F414*H414</f>
        <v>1885.31</v>
      </c>
      <c r="K414" s="4" t="n">
        <f aca="false">I414-J414</f>
        <v>874.46</v>
      </c>
      <c r="L414" s="5" t="n">
        <f aca="false">IFERROR(K414/I414,0)</f>
        <v>0.316859738311526</v>
      </c>
    </row>
    <row r="415" customFormat="false" ht="15" hidden="false" customHeight="false" outlineLevel="0" collapsed="false">
      <c r="A415" s="2" t="s">
        <v>12</v>
      </c>
      <c r="B415" s="2" t="s">
        <v>13</v>
      </c>
      <c r="C415" s="2" t="s">
        <v>26</v>
      </c>
      <c r="D415" s="2" t="s">
        <v>30</v>
      </c>
      <c r="E415" s="3" t="n">
        <v>45931</v>
      </c>
      <c r="F415" s="2" t="n">
        <v>15</v>
      </c>
      <c r="G415" s="4" t="n">
        <v>24.99</v>
      </c>
      <c r="H415" s="4" t="n">
        <v>14.92</v>
      </c>
      <c r="I415" s="4" t="n">
        <f aca="false">F415*G415</f>
        <v>374.85</v>
      </c>
      <c r="J415" s="4" t="n">
        <f aca="false">F415*H415</f>
        <v>223.8</v>
      </c>
      <c r="K415" s="4" t="n">
        <f aca="false">I415-J415</f>
        <v>151.05</v>
      </c>
      <c r="L415" s="5" t="n">
        <f aca="false">IFERROR(K415/I415,0)</f>
        <v>0.402961184473789</v>
      </c>
    </row>
    <row r="416" customFormat="false" ht="15" hidden="false" customHeight="false" outlineLevel="0" collapsed="false">
      <c r="A416" s="2" t="s">
        <v>12</v>
      </c>
      <c r="B416" s="2" t="s">
        <v>13</v>
      </c>
      <c r="C416" s="2" t="s">
        <v>26</v>
      </c>
      <c r="D416" s="2" t="s">
        <v>31</v>
      </c>
      <c r="E416" s="3" t="n">
        <v>45931</v>
      </c>
      <c r="F416" s="2" t="n">
        <v>19</v>
      </c>
      <c r="G416" s="4" t="n">
        <v>59.99</v>
      </c>
      <c r="H416" s="4" t="n">
        <v>38.38</v>
      </c>
      <c r="I416" s="4" t="n">
        <f aca="false">F416*G416</f>
        <v>1139.81</v>
      </c>
      <c r="J416" s="4" t="n">
        <f aca="false">F416*H416</f>
        <v>729.22</v>
      </c>
      <c r="K416" s="4" t="n">
        <f aca="false">I416-J416</f>
        <v>410.59</v>
      </c>
      <c r="L416" s="5" t="n">
        <f aca="false">IFERROR(K416/I416,0)</f>
        <v>0.360226704450742</v>
      </c>
    </row>
    <row r="417" customFormat="false" ht="15" hidden="false" customHeight="false" outlineLevel="0" collapsed="false">
      <c r="A417" s="2" t="s">
        <v>12</v>
      </c>
      <c r="B417" s="2" t="s">
        <v>13</v>
      </c>
      <c r="C417" s="2" t="s">
        <v>32</v>
      </c>
      <c r="D417" s="2" t="s">
        <v>33</v>
      </c>
      <c r="E417" s="3" t="n">
        <v>45931</v>
      </c>
      <c r="F417" s="2" t="n">
        <v>10</v>
      </c>
      <c r="G417" s="4" t="n">
        <v>49.99</v>
      </c>
      <c r="H417" s="4" t="n">
        <v>35.44</v>
      </c>
      <c r="I417" s="4" t="n">
        <f aca="false">F417*G417</f>
        <v>499.9</v>
      </c>
      <c r="J417" s="4" t="n">
        <f aca="false">F417*H417</f>
        <v>354.4</v>
      </c>
      <c r="K417" s="4" t="n">
        <f aca="false">I417-J417</f>
        <v>145.5</v>
      </c>
      <c r="L417" s="5" t="n">
        <f aca="false">IFERROR(K417/I417,0)</f>
        <v>0.291058211642329</v>
      </c>
    </row>
    <row r="418" customFormat="false" ht="15" hidden="false" customHeight="false" outlineLevel="0" collapsed="false">
      <c r="A418" s="2" t="s">
        <v>12</v>
      </c>
      <c r="B418" s="2" t="s">
        <v>13</v>
      </c>
      <c r="C418" s="2" t="s">
        <v>32</v>
      </c>
      <c r="D418" s="2" t="s">
        <v>34</v>
      </c>
      <c r="E418" s="3" t="n">
        <v>45931</v>
      </c>
      <c r="F418" s="2" t="n">
        <v>11</v>
      </c>
      <c r="G418" s="4" t="n">
        <v>27.99</v>
      </c>
      <c r="H418" s="4" t="n">
        <v>19.74</v>
      </c>
      <c r="I418" s="4" t="n">
        <f aca="false">F418*G418</f>
        <v>307.89</v>
      </c>
      <c r="J418" s="4" t="n">
        <f aca="false">F418*H418</f>
        <v>217.14</v>
      </c>
      <c r="K418" s="4" t="n">
        <f aca="false">I418-J418</f>
        <v>90.75</v>
      </c>
      <c r="L418" s="5" t="n">
        <f aca="false">IFERROR(K418/I418,0)</f>
        <v>0.294748124330118</v>
      </c>
    </row>
    <row r="419" customFormat="false" ht="15" hidden="false" customHeight="false" outlineLevel="0" collapsed="false">
      <c r="A419" s="2" t="s">
        <v>12</v>
      </c>
      <c r="B419" s="2" t="s">
        <v>13</v>
      </c>
      <c r="C419" s="2" t="s">
        <v>32</v>
      </c>
      <c r="D419" s="2" t="s">
        <v>35</v>
      </c>
      <c r="E419" s="3" t="n">
        <v>45931</v>
      </c>
      <c r="F419" s="2" t="n">
        <v>8</v>
      </c>
      <c r="G419" s="4" t="n">
        <v>64.99</v>
      </c>
      <c r="H419" s="4" t="n">
        <v>45.33</v>
      </c>
      <c r="I419" s="4" t="n">
        <f aca="false">F419*G419</f>
        <v>519.92</v>
      </c>
      <c r="J419" s="4" t="n">
        <f aca="false">F419*H419</f>
        <v>362.64</v>
      </c>
      <c r="K419" s="4" t="n">
        <f aca="false">I419-J419</f>
        <v>157.28</v>
      </c>
      <c r="L419" s="5" t="n">
        <f aca="false">IFERROR(K419/I419,0)</f>
        <v>0.302508078165872</v>
      </c>
    </row>
    <row r="420" customFormat="false" ht="15" hidden="false" customHeight="false" outlineLevel="0" collapsed="false">
      <c r="A420" s="2" t="s">
        <v>12</v>
      </c>
      <c r="B420" s="2" t="s">
        <v>13</v>
      </c>
      <c r="C420" s="2" t="s">
        <v>32</v>
      </c>
      <c r="D420" s="2" t="s">
        <v>36</v>
      </c>
      <c r="E420" s="3" t="n">
        <v>45931</v>
      </c>
      <c r="F420" s="2" t="n">
        <v>23</v>
      </c>
      <c r="G420" s="4" t="n">
        <v>22.99</v>
      </c>
      <c r="H420" s="4" t="n">
        <v>17</v>
      </c>
      <c r="I420" s="4" t="n">
        <f aca="false">F420*G420</f>
        <v>528.77</v>
      </c>
      <c r="J420" s="4" t="n">
        <f aca="false">F420*H420</f>
        <v>391</v>
      </c>
      <c r="K420" s="4" t="n">
        <f aca="false">I420-J420</f>
        <v>137.77</v>
      </c>
      <c r="L420" s="5" t="n">
        <f aca="false">IFERROR(K420/I420,0)</f>
        <v>0.260548064375816</v>
      </c>
    </row>
    <row r="421" customFormat="false" ht="15" hidden="false" customHeight="false" outlineLevel="0" collapsed="false">
      <c r="A421" s="2" t="s">
        <v>12</v>
      </c>
      <c r="B421" s="2" t="s">
        <v>13</v>
      </c>
      <c r="C421" s="2" t="s">
        <v>32</v>
      </c>
      <c r="D421" s="2" t="s">
        <v>37</v>
      </c>
      <c r="E421" s="3" t="n">
        <v>45931</v>
      </c>
      <c r="F421" s="2" t="n">
        <v>15</v>
      </c>
      <c r="G421" s="4" t="n">
        <v>29.99</v>
      </c>
      <c r="H421" s="4" t="n">
        <v>20.9</v>
      </c>
      <c r="I421" s="4" t="n">
        <f aca="false">F421*G421</f>
        <v>449.85</v>
      </c>
      <c r="J421" s="4" t="n">
        <f aca="false">F421*H421</f>
        <v>313.5</v>
      </c>
      <c r="K421" s="4" t="n">
        <f aca="false">I421-J421</f>
        <v>136.35</v>
      </c>
      <c r="L421" s="5" t="n">
        <f aca="false">IFERROR(K421/I421,0)</f>
        <v>0.303101033677893</v>
      </c>
    </row>
    <row r="422" customFormat="false" ht="15" hidden="false" customHeight="false" outlineLevel="0" collapsed="false">
      <c r="A422" s="2" t="s">
        <v>12</v>
      </c>
      <c r="B422" s="2" t="s">
        <v>13</v>
      </c>
      <c r="C422" s="2" t="s">
        <v>38</v>
      </c>
      <c r="D422" s="2" t="s">
        <v>39</v>
      </c>
      <c r="E422" s="3" t="n">
        <v>45931</v>
      </c>
      <c r="F422" s="2" t="n">
        <v>16</v>
      </c>
      <c r="G422" s="4" t="n">
        <v>129.99</v>
      </c>
      <c r="H422" s="4" t="n">
        <v>73.38</v>
      </c>
      <c r="I422" s="4" t="n">
        <f aca="false">F422*G422</f>
        <v>2079.84</v>
      </c>
      <c r="J422" s="4" t="n">
        <f aca="false">F422*H422</f>
        <v>1174.08</v>
      </c>
      <c r="K422" s="4" t="n">
        <f aca="false">I422-J422</f>
        <v>905.76</v>
      </c>
      <c r="L422" s="5" t="n">
        <f aca="false">IFERROR(K422/I422,0)</f>
        <v>0.435495038079852</v>
      </c>
    </row>
    <row r="423" customFormat="false" ht="15" hidden="false" customHeight="false" outlineLevel="0" collapsed="false">
      <c r="A423" s="2" t="s">
        <v>12</v>
      </c>
      <c r="B423" s="2" t="s">
        <v>13</v>
      </c>
      <c r="C423" s="2" t="s">
        <v>38</v>
      </c>
      <c r="D423" s="2" t="s">
        <v>40</v>
      </c>
      <c r="E423" s="3" t="n">
        <v>45931</v>
      </c>
      <c r="F423" s="2" t="n">
        <v>23</v>
      </c>
      <c r="G423" s="4" t="n">
        <v>74.99</v>
      </c>
      <c r="H423" s="4" t="n">
        <v>41.13</v>
      </c>
      <c r="I423" s="4" t="n">
        <f aca="false">F423*G423</f>
        <v>1724.77</v>
      </c>
      <c r="J423" s="4" t="n">
        <f aca="false">F423*H423</f>
        <v>945.99</v>
      </c>
      <c r="K423" s="4" t="n">
        <f aca="false">I423-J423</f>
        <v>778.78</v>
      </c>
      <c r="L423" s="5" t="n">
        <f aca="false">IFERROR(K423/I423,0)</f>
        <v>0.451526870249367</v>
      </c>
    </row>
    <row r="424" customFormat="false" ht="15" hidden="false" customHeight="false" outlineLevel="0" collapsed="false">
      <c r="A424" s="2" t="s">
        <v>12</v>
      </c>
      <c r="B424" s="2" t="s">
        <v>13</v>
      </c>
      <c r="C424" s="2" t="s">
        <v>38</v>
      </c>
      <c r="D424" s="2" t="s">
        <v>41</v>
      </c>
      <c r="E424" s="3" t="n">
        <v>45931</v>
      </c>
      <c r="F424" s="2" t="n">
        <v>19</v>
      </c>
      <c r="G424" s="4" t="n">
        <v>19.99</v>
      </c>
      <c r="H424" s="4" t="n">
        <v>9.83</v>
      </c>
      <c r="I424" s="4" t="n">
        <f aca="false">F424*G424</f>
        <v>379.81</v>
      </c>
      <c r="J424" s="4" t="n">
        <f aca="false">F424*H424</f>
        <v>186.77</v>
      </c>
      <c r="K424" s="4" t="n">
        <f aca="false">I424-J424</f>
        <v>193.04</v>
      </c>
      <c r="L424" s="5" t="n">
        <f aca="false">IFERROR(K424/I424,0)</f>
        <v>0.508254127063532</v>
      </c>
    </row>
    <row r="425" customFormat="false" ht="15" hidden="false" customHeight="false" outlineLevel="0" collapsed="false">
      <c r="A425" s="2" t="s">
        <v>12</v>
      </c>
      <c r="B425" s="2" t="s">
        <v>13</v>
      </c>
      <c r="C425" s="2" t="s">
        <v>38</v>
      </c>
      <c r="D425" s="2" t="s">
        <v>42</v>
      </c>
      <c r="E425" s="3" t="n">
        <v>45931</v>
      </c>
      <c r="F425" s="2" t="n">
        <v>18</v>
      </c>
      <c r="G425" s="4" t="n">
        <v>16.99</v>
      </c>
      <c r="H425" s="4" t="n">
        <v>8.51</v>
      </c>
      <c r="I425" s="4" t="n">
        <f aca="false">F425*G425</f>
        <v>305.82</v>
      </c>
      <c r="J425" s="4" t="n">
        <f aca="false">F425*H425</f>
        <v>153.18</v>
      </c>
      <c r="K425" s="4" t="n">
        <f aca="false">I425-J425</f>
        <v>152.64</v>
      </c>
      <c r="L425" s="5" t="n">
        <f aca="false">IFERROR(K425/I425,0)</f>
        <v>0.499117127722189</v>
      </c>
    </row>
    <row r="426" customFormat="false" ht="15" hidden="false" customHeight="false" outlineLevel="0" collapsed="false">
      <c r="A426" s="2" t="s">
        <v>12</v>
      </c>
      <c r="B426" s="2" t="s">
        <v>13</v>
      </c>
      <c r="C426" s="2" t="s">
        <v>38</v>
      </c>
      <c r="D426" s="2" t="s">
        <v>43</v>
      </c>
      <c r="E426" s="3" t="n">
        <v>45931</v>
      </c>
      <c r="F426" s="2" t="n">
        <v>9</v>
      </c>
      <c r="G426" s="4" t="n">
        <v>24.99</v>
      </c>
      <c r="H426" s="4" t="n">
        <v>13.37</v>
      </c>
      <c r="I426" s="4" t="n">
        <f aca="false">F426*G426</f>
        <v>224.91</v>
      </c>
      <c r="J426" s="4" t="n">
        <f aca="false">F426*H426</f>
        <v>120.33</v>
      </c>
      <c r="K426" s="4" t="n">
        <f aca="false">I426-J426</f>
        <v>104.58</v>
      </c>
      <c r="L426" s="5" t="n">
        <f aca="false">IFERROR(K426/I426,0)</f>
        <v>0.464985994397759</v>
      </c>
    </row>
    <row r="427" customFormat="false" ht="15" hidden="false" customHeight="false" outlineLevel="0" collapsed="false">
      <c r="A427" s="2" t="s">
        <v>44</v>
      </c>
      <c r="B427" s="2" t="s">
        <v>45</v>
      </c>
      <c r="C427" s="2" t="s">
        <v>14</v>
      </c>
      <c r="D427" s="2" t="s">
        <v>15</v>
      </c>
      <c r="E427" s="3" t="n">
        <v>45931</v>
      </c>
      <c r="F427" s="2" t="n">
        <v>17</v>
      </c>
      <c r="G427" s="4" t="n">
        <v>69.99</v>
      </c>
      <c r="H427" s="4" t="n">
        <v>32.92</v>
      </c>
      <c r="I427" s="4" t="n">
        <f aca="false">F427*G427</f>
        <v>1189.83</v>
      </c>
      <c r="J427" s="4" t="n">
        <f aca="false">F427*H427</f>
        <v>559.64</v>
      </c>
      <c r="K427" s="4" t="n">
        <f aca="false">I427-J427</f>
        <v>630.19</v>
      </c>
      <c r="L427" s="5" t="n">
        <f aca="false">IFERROR(K427/I427,0)</f>
        <v>0.529647092441777</v>
      </c>
    </row>
    <row r="428" customFormat="false" ht="15" hidden="false" customHeight="false" outlineLevel="0" collapsed="false">
      <c r="A428" s="2" t="s">
        <v>44</v>
      </c>
      <c r="B428" s="2" t="s">
        <v>45</v>
      </c>
      <c r="C428" s="2" t="s">
        <v>14</v>
      </c>
      <c r="D428" s="2" t="s">
        <v>16</v>
      </c>
      <c r="E428" s="3" t="n">
        <v>45931</v>
      </c>
      <c r="F428" s="2" t="n">
        <v>6</v>
      </c>
      <c r="G428" s="4" t="n">
        <v>19.99</v>
      </c>
      <c r="H428" s="4" t="n">
        <v>9.24</v>
      </c>
      <c r="I428" s="4" t="n">
        <f aca="false">F428*G428</f>
        <v>119.94</v>
      </c>
      <c r="J428" s="4" t="n">
        <f aca="false">F428*H428</f>
        <v>55.44</v>
      </c>
      <c r="K428" s="4" t="n">
        <f aca="false">I428-J428</f>
        <v>64.5</v>
      </c>
      <c r="L428" s="5" t="n">
        <f aca="false">IFERROR(K428/I428,0)</f>
        <v>0.537768884442221</v>
      </c>
    </row>
    <row r="429" customFormat="false" ht="15" hidden="false" customHeight="false" outlineLevel="0" collapsed="false">
      <c r="A429" s="2" t="s">
        <v>44</v>
      </c>
      <c r="B429" s="2" t="s">
        <v>45</v>
      </c>
      <c r="C429" s="2" t="s">
        <v>14</v>
      </c>
      <c r="D429" s="2" t="s">
        <v>17</v>
      </c>
      <c r="E429" s="3" t="n">
        <v>45931</v>
      </c>
      <c r="F429" s="2" t="n">
        <v>16</v>
      </c>
      <c r="G429" s="4" t="n">
        <v>79.99</v>
      </c>
      <c r="H429" s="4" t="n">
        <v>39.41</v>
      </c>
      <c r="I429" s="4" t="n">
        <f aca="false">F429*G429</f>
        <v>1279.84</v>
      </c>
      <c r="J429" s="4" t="n">
        <f aca="false">F429*H429</f>
        <v>630.56</v>
      </c>
      <c r="K429" s="4" t="n">
        <f aca="false">I429-J429</f>
        <v>649.28</v>
      </c>
      <c r="L429" s="5" t="n">
        <f aca="false">IFERROR(K429/I429,0)</f>
        <v>0.507313414176772</v>
      </c>
    </row>
    <row r="430" customFormat="false" ht="15" hidden="false" customHeight="false" outlineLevel="0" collapsed="false">
      <c r="A430" s="2" t="s">
        <v>44</v>
      </c>
      <c r="B430" s="2" t="s">
        <v>45</v>
      </c>
      <c r="C430" s="2" t="s">
        <v>14</v>
      </c>
      <c r="D430" s="2" t="s">
        <v>18</v>
      </c>
      <c r="E430" s="3" t="n">
        <v>45931</v>
      </c>
      <c r="F430" s="2" t="n">
        <v>16</v>
      </c>
      <c r="G430" s="4" t="n">
        <v>34.99</v>
      </c>
      <c r="H430" s="4" t="n">
        <v>14.82</v>
      </c>
      <c r="I430" s="4" t="n">
        <f aca="false">F430*G430</f>
        <v>559.84</v>
      </c>
      <c r="J430" s="4" t="n">
        <f aca="false">F430*H430</f>
        <v>237.12</v>
      </c>
      <c r="K430" s="4" t="n">
        <f aca="false">I430-J430</f>
        <v>322.72</v>
      </c>
      <c r="L430" s="5" t="n">
        <f aca="false">IFERROR(K430/I430,0)</f>
        <v>0.576450414404116</v>
      </c>
    </row>
    <row r="431" customFormat="false" ht="15" hidden="false" customHeight="false" outlineLevel="0" collapsed="false">
      <c r="A431" s="2" t="s">
        <v>44</v>
      </c>
      <c r="B431" s="2" t="s">
        <v>45</v>
      </c>
      <c r="C431" s="2" t="s">
        <v>14</v>
      </c>
      <c r="D431" s="2" t="s">
        <v>19</v>
      </c>
      <c r="E431" s="3" t="n">
        <v>45931</v>
      </c>
      <c r="F431" s="2" t="n">
        <v>21</v>
      </c>
      <c r="G431" s="4" t="n">
        <v>54.99</v>
      </c>
      <c r="H431" s="4" t="n">
        <v>24.41</v>
      </c>
      <c r="I431" s="4" t="n">
        <f aca="false">F431*G431</f>
        <v>1154.79</v>
      </c>
      <c r="J431" s="4" t="n">
        <f aca="false">F431*H431</f>
        <v>512.61</v>
      </c>
      <c r="K431" s="4" t="n">
        <f aca="false">I431-J431</f>
        <v>642.18</v>
      </c>
      <c r="L431" s="5" t="n">
        <f aca="false">IFERROR(K431/I431,0)</f>
        <v>0.556101109292599</v>
      </c>
    </row>
    <row r="432" customFormat="false" ht="15" hidden="false" customHeight="false" outlineLevel="0" collapsed="false">
      <c r="A432" s="2" t="s">
        <v>44</v>
      </c>
      <c r="B432" s="2" t="s">
        <v>45</v>
      </c>
      <c r="C432" s="2" t="s">
        <v>20</v>
      </c>
      <c r="D432" s="2" t="s">
        <v>21</v>
      </c>
      <c r="E432" s="3" t="n">
        <v>45931</v>
      </c>
      <c r="F432" s="2" t="n">
        <v>15</v>
      </c>
      <c r="G432" s="4" t="n">
        <v>44.99</v>
      </c>
      <c r="H432" s="4" t="n">
        <v>20.22</v>
      </c>
      <c r="I432" s="4" t="n">
        <f aca="false">F432*G432</f>
        <v>674.85</v>
      </c>
      <c r="J432" s="4" t="n">
        <f aca="false">F432*H432</f>
        <v>303.3</v>
      </c>
      <c r="K432" s="4" t="n">
        <f aca="false">I432-J432</f>
        <v>371.55</v>
      </c>
      <c r="L432" s="5" t="n">
        <f aca="false">IFERROR(K432/I432,0)</f>
        <v>0.550566792620582</v>
      </c>
    </row>
    <row r="433" customFormat="false" ht="15" hidden="false" customHeight="false" outlineLevel="0" collapsed="false">
      <c r="A433" s="2" t="s">
        <v>44</v>
      </c>
      <c r="B433" s="2" t="s">
        <v>45</v>
      </c>
      <c r="C433" s="2" t="s">
        <v>20</v>
      </c>
      <c r="D433" s="2" t="s">
        <v>22</v>
      </c>
      <c r="E433" s="3" t="n">
        <v>45931</v>
      </c>
      <c r="F433" s="2" t="n">
        <v>18</v>
      </c>
      <c r="G433" s="4" t="n">
        <v>14.99</v>
      </c>
      <c r="H433" s="4" t="n">
        <v>5.58</v>
      </c>
      <c r="I433" s="4" t="n">
        <f aca="false">F433*G433</f>
        <v>269.82</v>
      </c>
      <c r="J433" s="4" t="n">
        <f aca="false">F433*H433</f>
        <v>100.44</v>
      </c>
      <c r="K433" s="4" t="n">
        <f aca="false">I433-J433</f>
        <v>169.38</v>
      </c>
      <c r="L433" s="5" t="n">
        <f aca="false">IFERROR(K433/I433,0)</f>
        <v>0.627751834556371</v>
      </c>
    </row>
    <row r="434" customFormat="false" ht="15" hidden="false" customHeight="false" outlineLevel="0" collapsed="false">
      <c r="A434" s="2" t="s">
        <v>44</v>
      </c>
      <c r="B434" s="2" t="s">
        <v>45</v>
      </c>
      <c r="C434" s="2" t="s">
        <v>20</v>
      </c>
      <c r="D434" s="2" t="s">
        <v>23</v>
      </c>
      <c r="E434" s="3" t="n">
        <v>45931</v>
      </c>
      <c r="F434" s="2" t="n">
        <v>15</v>
      </c>
      <c r="G434" s="4" t="n">
        <v>39.99</v>
      </c>
      <c r="H434" s="4" t="n">
        <v>17.17</v>
      </c>
      <c r="I434" s="4" t="n">
        <f aca="false">F434*G434</f>
        <v>599.85</v>
      </c>
      <c r="J434" s="4" t="n">
        <f aca="false">F434*H434</f>
        <v>257.55</v>
      </c>
      <c r="K434" s="4" t="n">
        <f aca="false">I434-J434</f>
        <v>342.3</v>
      </c>
      <c r="L434" s="5" t="n">
        <f aca="false">IFERROR(K434/I434,0)</f>
        <v>0.570642660665166</v>
      </c>
    </row>
    <row r="435" customFormat="false" ht="15" hidden="false" customHeight="false" outlineLevel="0" collapsed="false">
      <c r="A435" s="2" t="s">
        <v>44</v>
      </c>
      <c r="B435" s="2" t="s">
        <v>45</v>
      </c>
      <c r="C435" s="2" t="s">
        <v>20</v>
      </c>
      <c r="D435" s="2" t="s">
        <v>24</v>
      </c>
      <c r="E435" s="3" t="n">
        <v>45931</v>
      </c>
      <c r="F435" s="2" t="n">
        <v>12</v>
      </c>
      <c r="G435" s="4" t="n">
        <v>18.99</v>
      </c>
      <c r="H435" s="4" t="n">
        <v>7.72</v>
      </c>
      <c r="I435" s="4" t="n">
        <f aca="false">F435*G435</f>
        <v>227.88</v>
      </c>
      <c r="J435" s="4" t="n">
        <f aca="false">F435*H435</f>
        <v>92.64</v>
      </c>
      <c r="K435" s="4" t="n">
        <f aca="false">I435-J435</f>
        <v>135.24</v>
      </c>
      <c r="L435" s="5" t="n">
        <f aca="false">IFERROR(K435/I435,0)</f>
        <v>0.593470247498684</v>
      </c>
    </row>
    <row r="436" customFormat="false" ht="15" hidden="false" customHeight="false" outlineLevel="0" collapsed="false">
      <c r="A436" s="2" t="s">
        <v>44</v>
      </c>
      <c r="B436" s="2" t="s">
        <v>45</v>
      </c>
      <c r="C436" s="2" t="s">
        <v>20</v>
      </c>
      <c r="D436" s="2" t="s">
        <v>25</v>
      </c>
      <c r="E436" s="3" t="n">
        <v>45931</v>
      </c>
      <c r="F436" s="2" t="n">
        <v>9</v>
      </c>
      <c r="G436" s="4" t="n">
        <v>42.99</v>
      </c>
      <c r="H436" s="4" t="n">
        <v>16.01</v>
      </c>
      <c r="I436" s="4" t="n">
        <f aca="false">F436*G436</f>
        <v>386.91</v>
      </c>
      <c r="J436" s="4" t="n">
        <f aca="false">F436*H436</f>
        <v>144.09</v>
      </c>
      <c r="K436" s="4" t="n">
        <f aca="false">I436-J436</f>
        <v>242.82</v>
      </c>
      <c r="L436" s="5" t="n">
        <f aca="false">IFERROR(K436/I436,0)</f>
        <v>0.627587811118865</v>
      </c>
    </row>
    <row r="437" customFormat="false" ht="15" hidden="false" customHeight="false" outlineLevel="0" collapsed="false">
      <c r="A437" s="2" t="s">
        <v>44</v>
      </c>
      <c r="B437" s="2" t="s">
        <v>45</v>
      </c>
      <c r="C437" s="2" t="s">
        <v>26</v>
      </c>
      <c r="D437" s="2" t="s">
        <v>27</v>
      </c>
      <c r="E437" s="3" t="n">
        <v>45931</v>
      </c>
      <c r="F437" s="2" t="n">
        <v>21</v>
      </c>
      <c r="G437" s="4" t="n">
        <v>44.99</v>
      </c>
      <c r="H437" s="4" t="n">
        <v>27.49</v>
      </c>
      <c r="I437" s="4" t="n">
        <f aca="false">F437*G437</f>
        <v>944.79</v>
      </c>
      <c r="J437" s="4" t="n">
        <f aca="false">F437*H437</f>
        <v>577.29</v>
      </c>
      <c r="K437" s="4" t="n">
        <f aca="false">I437-J437</f>
        <v>367.5</v>
      </c>
      <c r="L437" s="5" t="n">
        <f aca="false">IFERROR(K437/I437,0)</f>
        <v>0.388975327850634</v>
      </c>
    </row>
    <row r="438" customFormat="false" ht="15" hidden="false" customHeight="false" outlineLevel="0" collapsed="false">
      <c r="A438" s="2" t="s">
        <v>44</v>
      </c>
      <c r="B438" s="2" t="s">
        <v>45</v>
      </c>
      <c r="C438" s="2" t="s">
        <v>26</v>
      </c>
      <c r="D438" s="2" t="s">
        <v>28</v>
      </c>
      <c r="E438" s="3" t="n">
        <v>45931</v>
      </c>
      <c r="F438" s="2" t="n">
        <v>21</v>
      </c>
      <c r="G438" s="4" t="n">
        <v>34.99</v>
      </c>
      <c r="H438" s="4" t="n">
        <v>22.07</v>
      </c>
      <c r="I438" s="4" t="n">
        <f aca="false">F438*G438</f>
        <v>734.79</v>
      </c>
      <c r="J438" s="4" t="n">
        <f aca="false">F438*H438</f>
        <v>463.47</v>
      </c>
      <c r="K438" s="4" t="n">
        <f aca="false">I438-J438</f>
        <v>271.32</v>
      </c>
      <c r="L438" s="5" t="n">
        <f aca="false">IFERROR(K438/I438,0)</f>
        <v>0.369248356673335</v>
      </c>
    </row>
    <row r="439" customFormat="false" ht="15" hidden="false" customHeight="false" outlineLevel="0" collapsed="false">
      <c r="A439" s="2" t="s">
        <v>44</v>
      </c>
      <c r="B439" s="2" t="s">
        <v>45</v>
      </c>
      <c r="C439" s="2" t="s">
        <v>26</v>
      </c>
      <c r="D439" s="2" t="s">
        <v>29</v>
      </c>
      <c r="E439" s="3" t="n">
        <v>45931</v>
      </c>
      <c r="F439" s="2" t="n">
        <v>9</v>
      </c>
      <c r="G439" s="4" t="n">
        <v>119.99</v>
      </c>
      <c r="H439" s="4" t="n">
        <v>83.36</v>
      </c>
      <c r="I439" s="4" t="n">
        <f aca="false">F439*G439</f>
        <v>1079.91</v>
      </c>
      <c r="J439" s="4" t="n">
        <f aca="false">F439*H439</f>
        <v>750.24</v>
      </c>
      <c r="K439" s="4" t="n">
        <f aca="false">I439-J439</f>
        <v>329.67</v>
      </c>
      <c r="L439" s="5" t="n">
        <f aca="false">IFERROR(K439/I439,0)</f>
        <v>0.305275439619968</v>
      </c>
    </row>
    <row r="440" customFormat="false" ht="15" hidden="false" customHeight="false" outlineLevel="0" collapsed="false">
      <c r="A440" s="2" t="s">
        <v>44</v>
      </c>
      <c r="B440" s="2" t="s">
        <v>45</v>
      </c>
      <c r="C440" s="2" t="s">
        <v>26</v>
      </c>
      <c r="D440" s="2" t="s">
        <v>30</v>
      </c>
      <c r="E440" s="3" t="n">
        <v>45931</v>
      </c>
      <c r="F440" s="2" t="n">
        <v>18</v>
      </c>
      <c r="G440" s="4" t="n">
        <v>24.99</v>
      </c>
      <c r="H440" s="4" t="n">
        <v>15.31</v>
      </c>
      <c r="I440" s="4" t="n">
        <f aca="false">F440*G440</f>
        <v>449.82</v>
      </c>
      <c r="J440" s="4" t="n">
        <f aca="false">F440*H440</f>
        <v>275.58</v>
      </c>
      <c r="K440" s="4" t="n">
        <f aca="false">I440-J440</f>
        <v>174.24</v>
      </c>
      <c r="L440" s="5" t="n">
        <f aca="false">IFERROR(K440/I440,0)</f>
        <v>0.387354941976791</v>
      </c>
    </row>
    <row r="441" customFormat="false" ht="15" hidden="false" customHeight="false" outlineLevel="0" collapsed="false">
      <c r="A441" s="2" t="s">
        <v>44</v>
      </c>
      <c r="B441" s="2" t="s">
        <v>45</v>
      </c>
      <c r="C441" s="2" t="s">
        <v>26</v>
      </c>
      <c r="D441" s="2" t="s">
        <v>31</v>
      </c>
      <c r="E441" s="3" t="n">
        <v>45931</v>
      </c>
      <c r="F441" s="2" t="n">
        <v>12</v>
      </c>
      <c r="G441" s="4" t="n">
        <v>59.99</v>
      </c>
      <c r="H441" s="4" t="n">
        <v>39.76</v>
      </c>
      <c r="I441" s="4" t="n">
        <f aca="false">F441*G441</f>
        <v>719.88</v>
      </c>
      <c r="J441" s="4" t="n">
        <f aca="false">F441*H441</f>
        <v>477.12</v>
      </c>
      <c r="K441" s="4" t="n">
        <f aca="false">I441-J441</f>
        <v>242.76</v>
      </c>
      <c r="L441" s="5" t="n">
        <f aca="false">IFERROR(K441/I441,0)</f>
        <v>0.337222870478413</v>
      </c>
    </row>
    <row r="442" customFormat="false" ht="15" hidden="false" customHeight="false" outlineLevel="0" collapsed="false">
      <c r="A442" s="2" t="s">
        <v>44</v>
      </c>
      <c r="B442" s="2" t="s">
        <v>45</v>
      </c>
      <c r="C442" s="2" t="s">
        <v>32</v>
      </c>
      <c r="D442" s="2" t="s">
        <v>33</v>
      </c>
      <c r="E442" s="3" t="n">
        <v>45931</v>
      </c>
      <c r="F442" s="2" t="n">
        <v>12</v>
      </c>
      <c r="G442" s="4" t="n">
        <v>49.99</v>
      </c>
      <c r="H442" s="4" t="n">
        <v>35.71</v>
      </c>
      <c r="I442" s="4" t="n">
        <f aca="false">F442*G442</f>
        <v>599.88</v>
      </c>
      <c r="J442" s="4" t="n">
        <f aca="false">F442*H442</f>
        <v>428.52</v>
      </c>
      <c r="K442" s="4" t="n">
        <f aca="false">I442-J442</f>
        <v>171.36</v>
      </c>
      <c r="L442" s="5" t="n">
        <f aca="false">IFERROR(K442/I442,0)</f>
        <v>0.285657131426285</v>
      </c>
    </row>
    <row r="443" customFormat="false" ht="15" hidden="false" customHeight="false" outlineLevel="0" collapsed="false">
      <c r="A443" s="2" t="s">
        <v>44</v>
      </c>
      <c r="B443" s="2" t="s">
        <v>45</v>
      </c>
      <c r="C443" s="2" t="s">
        <v>32</v>
      </c>
      <c r="D443" s="2" t="s">
        <v>34</v>
      </c>
      <c r="E443" s="3" t="n">
        <v>45931</v>
      </c>
      <c r="F443" s="2" t="n">
        <v>18</v>
      </c>
      <c r="G443" s="4" t="n">
        <v>27.99</v>
      </c>
      <c r="H443" s="4" t="n">
        <v>19.97</v>
      </c>
      <c r="I443" s="4" t="n">
        <f aca="false">F443*G443</f>
        <v>503.82</v>
      </c>
      <c r="J443" s="4" t="n">
        <f aca="false">F443*H443</f>
        <v>359.46</v>
      </c>
      <c r="K443" s="4" t="n">
        <f aca="false">I443-J443</f>
        <v>144.36</v>
      </c>
      <c r="L443" s="5" t="n">
        <f aca="false">IFERROR(K443/I443,0)</f>
        <v>0.286530903894248</v>
      </c>
    </row>
    <row r="444" customFormat="false" ht="15" hidden="false" customHeight="false" outlineLevel="0" collapsed="false">
      <c r="A444" s="2" t="s">
        <v>44</v>
      </c>
      <c r="B444" s="2" t="s">
        <v>45</v>
      </c>
      <c r="C444" s="2" t="s">
        <v>32</v>
      </c>
      <c r="D444" s="2" t="s">
        <v>35</v>
      </c>
      <c r="E444" s="3" t="n">
        <v>45931</v>
      </c>
      <c r="F444" s="2" t="n">
        <v>18</v>
      </c>
      <c r="G444" s="4" t="n">
        <v>64.99</v>
      </c>
      <c r="H444" s="4" t="n">
        <v>46.61</v>
      </c>
      <c r="I444" s="4" t="n">
        <f aca="false">F444*G444</f>
        <v>1169.82</v>
      </c>
      <c r="J444" s="4" t="n">
        <f aca="false">F444*H444</f>
        <v>838.98</v>
      </c>
      <c r="K444" s="4" t="n">
        <f aca="false">I444-J444</f>
        <v>330.84</v>
      </c>
      <c r="L444" s="5" t="n">
        <f aca="false">IFERROR(K444/I444,0)</f>
        <v>0.282812740421603</v>
      </c>
    </row>
    <row r="445" customFormat="false" ht="15" hidden="false" customHeight="false" outlineLevel="0" collapsed="false">
      <c r="A445" s="2" t="s">
        <v>44</v>
      </c>
      <c r="B445" s="2" t="s">
        <v>45</v>
      </c>
      <c r="C445" s="2" t="s">
        <v>32</v>
      </c>
      <c r="D445" s="2" t="s">
        <v>36</v>
      </c>
      <c r="E445" s="3" t="n">
        <v>45931</v>
      </c>
      <c r="F445" s="2" t="n">
        <v>17</v>
      </c>
      <c r="G445" s="4" t="n">
        <v>22.99</v>
      </c>
      <c r="H445" s="4" t="n">
        <v>17.13</v>
      </c>
      <c r="I445" s="4" t="n">
        <f aca="false">F445*G445</f>
        <v>390.83</v>
      </c>
      <c r="J445" s="4" t="n">
        <f aca="false">F445*H445</f>
        <v>291.21</v>
      </c>
      <c r="K445" s="4" t="n">
        <f aca="false">I445-J445</f>
        <v>99.62</v>
      </c>
      <c r="L445" s="5" t="n">
        <f aca="false">IFERROR(K445/I445,0)</f>
        <v>0.254893431926925</v>
      </c>
    </row>
    <row r="446" customFormat="false" ht="15" hidden="false" customHeight="false" outlineLevel="0" collapsed="false">
      <c r="A446" s="2" t="s">
        <v>44</v>
      </c>
      <c r="B446" s="2" t="s">
        <v>45</v>
      </c>
      <c r="C446" s="2" t="s">
        <v>32</v>
      </c>
      <c r="D446" s="2" t="s">
        <v>37</v>
      </c>
      <c r="E446" s="3" t="n">
        <v>45931</v>
      </c>
      <c r="F446" s="2" t="n">
        <v>22</v>
      </c>
      <c r="G446" s="4" t="n">
        <v>29.99</v>
      </c>
      <c r="H446" s="4" t="n">
        <v>19.85</v>
      </c>
      <c r="I446" s="4" t="n">
        <f aca="false">F446*G446</f>
        <v>659.78</v>
      </c>
      <c r="J446" s="4" t="n">
        <f aca="false">F446*H446</f>
        <v>436.7</v>
      </c>
      <c r="K446" s="4" t="n">
        <f aca="false">I446-J446</f>
        <v>223.08</v>
      </c>
      <c r="L446" s="5" t="n">
        <f aca="false">IFERROR(K446/I446,0)</f>
        <v>0.338112704234745</v>
      </c>
    </row>
    <row r="447" customFormat="false" ht="15" hidden="false" customHeight="false" outlineLevel="0" collapsed="false">
      <c r="A447" s="2" t="s">
        <v>44</v>
      </c>
      <c r="B447" s="2" t="s">
        <v>45</v>
      </c>
      <c r="C447" s="2" t="s">
        <v>38</v>
      </c>
      <c r="D447" s="2" t="s">
        <v>39</v>
      </c>
      <c r="E447" s="3" t="n">
        <v>45931</v>
      </c>
      <c r="F447" s="2" t="n">
        <v>20</v>
      </c>
      <c r="G447" s="4" t="n">
        <v>129.99</v>
      </c>
      <c r="H447" s="4" t="n">
        <v>74.38</v>
      </c>
      <c r="I447" s="4" t="n">
        <f aca="false">F447*G447</f>
        <v>2599.8</v>
      </c>
      <c r="J447" s="4" t="n">
        <f aca="false">F447*H447</f>
        <v>1487.6</v>
      </c>
      <c r="K447" s="4" t="n">
        <f aca="false">I447-J447</f>
        <v>1112.2</v>
      </c>
      <c r="L447" s="5" t="n">
        <f aca="false">IFERROR(K447/I447,0)</f>
        <v>0.427802138626048</v>
      </c>
    </row>
    <row r="448" customFormat="false" ht="15" hidden="false" customHeight="false" outlineLevel="0" collapsed="false">
      <c r="A448" s="2" t="s">
        <v>44</v>
      </c>
      <c r="B448" s="2" t="s">
        <v>45</v>
      </c>
      <c r="C448" s="2" t="s">
        <v>38</v>
      </c>
      <c r="D448" s="2" t="s">
        <v>40</v>
      </c>
      <c r="E448" s="3" t="n">
        <v>45931</v>
      </c>
      <c r="F448" s="2" t="n">
        <v>23</v>
      </c>
      <c r="G448" s="4" t="n">
        <v>74.99</v>
      </c>
      <c r="H448" s="4" t="n">
        <v>41.73</v>
      </c>
      <c r="I448" s="4" t="n">
        <f aca="false">F448*G448</f>
        <v>1724.77</v>
      </c>
      <c r="J448" s="4" t="n">
        <f aca="false">F448*H448</f>
        <v>959.79</v>
      </c>
      <c r="K448" s="4" t="n">
        <f aca="false">I448-J448</f>
        <v>764.98</v>
      </c>
      <c r="L448" s="5" t="n">
        <f aca="false">IFERROR(K448/I448,0)</f>
        <v>0.443525803440459</v>
      </c>
    </row>
    <row r="449" customFormat="false" ht="15" hidden="false" customHeight="false" outlineLevel="0" collapsed="false">
      <c r="A449" s="2" t="s">
        <v>44</v>
      </c>
      <c r="B449" s="2" t="s">
        <v>45</v>
      </c>
      <c r="C449" s="2" t="s">
        <v>38</v>
      </c>
      <c r="D449" s="2" t="s">
        <v>41</v>
      </c>
      <c r="E449" s="3" t="n">
        <v>45931</v>
      </c>
      <c r="F449" s="2" t="n">
        <v>15</v>
      </c>
      <c r="G449" s="4" t="n">
        <v>19.99</v>
      </c>
      <c r="H449" s="4" t="n">
        <v>9.83</v>
      </c>
      <c r="I449" s="4" t="n">
        <f aca="false">F449*G449</f>
        <v>299.85</v>
      </c>
      <c r="J449" s="4" t="n">
        <f aca="false">F449*H449</f>
        <v>147.45</v>
      </c>
      <c r="K449" s="4" t="n">
        <f aca="false">I449-J449</f>
        <v>152.4</v>
      </c>
      <c r="L449" s="5" t="n">
        <f aca="false">IFERROR(K449/I449,0)</f>
        <v>0.508254127063532</v>
      </c>
    </row>
    <row r="450" customFormat="false" ht="15" hidden="false" customHeight="false" outlineLevel="0" collapsed="false">
      <c r="A450" s="2" t="s">
        <v>44</v>
      </c>
      <c r="B450" s="2" t="s">
        <v>45</v>
      </c>
      <c r="C450" s="2" t="s">
        <v>38</v>
      </c>
      <c r="D450" s="2" t="s">
        <v>42</v>
      </c>
      <c r="E450" s="3" t="n">
        <v>45931</v>
      </c>
      <c r="F450" s="2" t="n">
        <v>16</v>
      </c>
      <c r="G450" s="4" t="n">
        <v>16.99</v>
      </c>
      <c r="H450" s="4" t="n">
        <v>8.52</v>
      </c>
      <c r="I450" s="4" t="n">
        <f aca="false">F450*G450</f>
        <v>271.84</v>
      </c>
      <c r="J450" s="4" t="n">
        <f aca="false">F450*H450</f>
        <v>136.32</v>
      </c>
      <c r="K450" s="4" t="n">
        <f aca="false">I450-J450</f>
        <v>135.52</v>
      </c>
      <c r="L450" s="5" t="n">
        <f aca="false">IFERROR(K450/I450,0)</f>
        <v>0.498528546203649</v>
      </c>
    </row>
    <row r="451" customFormat="false" ht="15" hidden="false" customHeight="false" outlineLevel="0" collapsed="false">
      <c r="A451" s="2" t="s">
        <v>44</v>
      </c>
      <c r="B451" s="2" t="s">
        <v>45</v>
      </c>
      <c r="C451" s="2" t="s">
        <v>38</v>
      </c>
      <c r="D451" s="2" t="s">
        <v>43</v>
      </c>
      <c r="E451" s="3" t="n">
        <v>45931</v>
      </c>
      <c r="F451" s="2" t="n">
        <v>20</v>
      </c>
      <c r="G451" s="4" t="n">
        <v>24.99</v>
      </c>
      <c r="H451" s="4" t="n">
        <v>12.68</v>
      </c>
      <c r="I451" s="4" t="n">
        <f aca="false">F451*G451</f>
        <v>499.8</v>
      </c>
      <c r="J451" s="4" t="n">
        <f aca="false">F451*H451</f>
        <v>253.6</v>
      </c>
      <c r="K451" s="4" t="n">
        <f aca="false">I451-J451</f>
        <v>246.2</v>
      </c>
      <c r="L451" s="5" t="n">
        <f aca="false">IFERROR(K451/I451,0)</f>
        <v>0.492597038815526</v>
      </c>
    </row>
    <row r="452" customFormat="false" ht="15" hidden="false" customHeight="false" outlineLevel="0" collapsed="false">
      <c r="A452" s="2" t="s">
        <v>44</v>
      </c>
      <c r="B452" s="2" t="s">
        <v>46</v>
      </c>
      <c r="C452" s="2" t="s">
        <v>14</v>
      </c>
      <c r="D452" s="2" t="s">
        <v>15</v>
      </c>
      <c r="E452" s="3" t="n">
        <v>45931</v>
      </c>
      <c r="F452" s="2" t="n">
        <v>13</v>
      </c>
      <c r="G452" s="4" t="n">
        <v>69.99</v>
      </c>
      <c r="H452" s="4" t="n">
        <v>33.17</v>
      </c>
      <c r="I452" s="4" t="n">
        <f aca="false">F452*G452</f>
        <v>909.87</v>
      </c>
      <c r="J452" s="4" t="n">
        <f aca="false">F452*H452</f>
        <v>431.21</v>
      </c>
      <c r="K452" s="4" t="n">
        <f aca="false">I452-J452</f>
        <v>478.66</v>
      </c>
      <c r="L452" s="5" t="n">
        <f aca="false">IFERROR(K452/I452,0)</f>
        <v>0.52607515359337</v>
      </c>
    </row>
    <row r="453" customFormat="false" ht="15" hidden="false" customHeight="false" outlineLevel="0" collapsed="false">
      <c r="A453" s="2" t="s">
        <v>44</v>
      </c>
      <c r="B453" s="2" t="s">
        <v>46</v>
      </c>
      <c r="C453" s="2" t="s">
        <v>14</v>
      </c>
      <c r="D453" s="2" t="s">
        <v>16</v>
      </c>
      <c r="E453" s="3" t="n">
        <v>45931</v>
      </c>
      <c r="F453" s="2" t="n">
        <v>13</v>
      </c>
      <c r="G453" s="4" t="n">
        <v>19.99</v>
      </c>
      <c r="H453" s="4" t="n">
        <v>9.05</v>
      </c>
      <c r="I453" s="4" t="n">
        <f aca="false">F453*G453</f>
        <v>259.87</v>
      </c>
      <c r="J453" s="4" t="n">
        <f aca="false">F453*H453</f>
        <v>117.65</v>
      </c>
      <c r="K453" s="4" t="n">
        <f aca="false">I453-J453</f>
        <v>142.22</v>
      </c>
      <c r="L453" s="5" t="n">
        <f aca="false">IFERROR(K453/I453,0)</f>
        <v>0.547273636818409</v>
      </c>
    </row>
    <row r="454" customFormat="false" ht="15" hidden="false" customHeight="false" outlineLevel="0" collapsed="false">
      <c r="A454" s="2" t="s">
        <v>44</v>
      </c>
      <c r="B454" s="2" t="s">
        <v>46</v>
      </c>
      <c r="C454" s="2" t="s">
        <v>14</v>
      </c>
      <c r="D454" s="2" t="s">
        <v>17</v>
      </c>
      <c r="E454" s="3" t="n">
        <v>45931</v>
      </c>
      <c r="F454" s="2" t="n">
        <v>18</v>
      </c>
      <c r="G454" s="4" t="n">
        <v>79.99</v>
      </c>
      <c r="H454" s="4" t="n">
        <v>40.37</v>
      </c>
      <c r="I454" s="4" t="n">
        <f aca="false">F454*G454</f>
        <v>1439.82</v>
      </c>
      <c r="J454" s="4" t="n">
        <f aca="false">F454*H454</f>
        <v>726.66</v>
      </c>
      <c r="K454" s="4" t="n">
        <f aca="false">I454-J454</f>
        <v>713.16</v>
      </c>
      <c r="L454" s="5" t="n">
        <f aca="false">IFERROR(K454/I454,0)</f>
        <v>0.495311913989249</v>
      </c>
    </row>
    <row r="455" customFormat="false" ht="15" hidden="false" customHeight="false" outlineLevel="0" collapsed="false">
      <c r="A455" s="2" t="s">
        <v>44</v>
      </c>
      <c r="B455" s="2" t="s">
        <v>46</v>
      </c>
      <c r="C455" s="2" t="s">
        <v>14</v>
      </c>
      <c r="D455" s="2" t="s">
        <v>18</v>
      </c>
      <c r="E455" s="3" t="n">
        <v>45931</v>
      </c>
      <c r="F455" s="2" t="n">
        <v>17</v>
      </c>
      <c r="G455" s="4" t="n">
        <v>34.99</v>
      </c>
      <c r="H455" s="4" t="n">
        <v>14.91</v>
      </c>
      <c r="I455" s="4" t="n">
        <f aca="false">F455*G455</f>
        <v>594.83</v>
      </c>
      <c r="J455" s="4" t="n">
        <f aca="false">F455*H455</f>
        <v>253.47</v>
      </c>
      <c r="K455" s="4" t="n">
        <f aca="false">I455-J455</f>
        <v>341.36</v>
      </c>
      <c r="L455" s="5" t="n">
        <f aca="false">IFERROR(K455/I455,0)</f>
        <v>0.573878250928837</v>
      </c>
    </row>
    <row r="456" customFormat="false" ht="15" hidden="false" customHeight="false" outlineLevel="0" collapsed="false">
      <c r="A456" s="2" t="s">
        <v>44</v>
      </c>
      <c r="B456" s="2" t="s">
        <v>46</v>
      </c>
      <c r="C456" s="2" t="s">
        <v>14</v>
      </c>
      <c r="D456" s="2" t="s">
        <v>19</v>
      </c>
      <c r="E456" s="3" t="n">
        <v>45931</v>
      </c>
      <c r="F456" s="2" t="n">
        <v>14</v>
      </c>
      <c r="G456" s="4" t="n">
        <v>54.99</v>
      </c>
      <c r="H456" s="4" t="n">
        <v>24.33</v>
      </c>
      <c r="I456" s="4" t="n">
        <f aca="false">F456*G456</f>
        <v>769.86</v>
      </c>
      <c r="J456" s="4" t="n">
        <f aca="false">F456*H456</f>
        <v>340.62</v>
      </c>
      <c r="K456" s="4" t="n">
        <f aca="false">I456-J456</f>
        <v>429.24</v>
      </c>
      <c r="L456" s="5" t="n">
        <f aca="false">IFERROR(K456/I456,0)</f>
        <v>0.557555919258047</v>
      </c>
    </row>
    <row r="457" customFormat="false" ht="15" hidden="false" customHeight="false" outlineLevel="0" collapsed="false">
      <c r="A457" s="2" t="s">
        <v>44</v>
      </c>
      <c r="B457" s="2" t="s">
        <v>46</v>
      </c>
      <c r="C457" s="2" t="s">
        <v>20</v>
      </c>
      <c r="D457" s="2" t="s">
        <v>21</v>
      </c>
      <c r="E457" s="3" t="n">
        <v>45931</v>
      </c>
      <c r="F457" s="2" t="n">
        <v>14</v>
      </c>
      <c r="G457" s="4" t="n">
        <v>44.99</v>
      </c>
      <c r="H457" s="4" t="n">
        <v>20.72</v>
      </c>
      <c r="I457" s="4" t="n">
        <f aca="false">F457*G457</f>
        <v>629.86</v>
      </c>
      <c r="J457" s="4" t="n">
        <f aca="false">F457*H457</f>
        <v>290.08</v>
      </c>
      <c r="K457" s="4" t="n">
        <f aca="false">I457-J457</f>
        <v>339.78</v>
      </c>
      <c r="L457" s="5" t="n">
        <f aca="false">IFERROR(K457/I457,0)</f>
        <v>0.53945321182485</v>
      </c>
    </row>
    <row r="458" customFormat="false" ht="15" hidden="false" customHeight="false" outlineLevel="0" collapsed="false">
      <c r="A458" s="2" t="s">
        <v>44</v>
      </c>
      <c r="B458" s="2" t="s">
        <v>46</v>
      </c>
      <c r="C458" s="2" t="s">
        <v>20</v>
      </c>
      <c r="D458" s="2" t="s">
        <v>22</v>
      </c>
      <c r="E458" s="3" t="n">
        <v>45931</v>
      </c>
      <c r="F458" s="2" t="n">
        <v>14</v>
      </c>
      <c r="G458" s="4" t="n">
        <v>14.99</v>
      </c>
      <c r="H458" s="4" t="n">
        <v>5.58</v>
      </c>
      <c r="I458" s="4" t="n">
        <f aca="false">F458*G458</f>
        <v>209.86</v>
      </c>
      <c r="J458" s="4" t="n">
        <f aca="false">F458*H458</f>
        <v>78.12</v>
      </c>
      <c r="K458" s="4" t="n">
        <f aca="false">I458-J458</f>
        <v>131.74</v>
      </c>
      <c r="L458" s="5" t="n">
        <f aca="false">IFERROR(K458/I458,0)</f>
        <v>0.627751834556371</v>
      </c>
    </row>
    <row r="459" customFormat="false" ht="15" hidden="false" customHeight="false" outlineLevel="0" collapsed="false">
      <c r="A459" s="2" t="s">
        <v>44</v>
      </c>
      <c r="B459" s="2" t="s">
        <v>46</v>
      </c>
      <c r="C459" s="2" t="s">
        <v>20</v>
      </c>
      <c r="D459" s="2" t="s">
        <v>23</v>
      </c>
      <c r="E459" s="3" t="n">
        <v>45931</v>
      </c>
      <c r="F459" s="2" t="n">
        <v>14</v>
      </c>
      <c r="G459" s="4" t="n">
        <v>39.99</v>
      </c>
      <c r="H459" s="4" t="n">
        <v>16.55</v>
      </c>
      <c r="I459" s="4" t="n">
        <f aca="false">F459*G459</f>
        <v>559.86</v>
      </c>
      <c r="J459" s="4" t="n">
        <f aca="false">F459*H459</f>
        <v>231.7</v>
      </c>
      <c r="K459" s="4" t="n">
        <f aca="false">I459-J459</f>
        <v>328.16</v>
      </c>
      <c r="L459" s="5" t="n">
        <f aca="false">IFERROR(K459/I459,0)</f>
        <v>0.586146536634159</v>
      </c>
    </row>
    <row r="460" customFormat="false" ht="15" hidden="false" customHeight="false" outlineLevel="0" collapsed="false">
      <c r="A460" s="2" t="s">
        <v>44</v>
      </c>
      <c r="B460" s="2" t="s">
        <v>46</v>
      </c>
      <c r="C460" s="2" t="s">
        <v>20</v>
      </c>
      <c r="D460" s="2" t="s">
        <v>24</v>
      </c>
      <c r="E460" s="3" t="n">
        <v>45931</v>
      </c>
      <c r="F460" s="2" t="n">
        <v>11</v>
      </c>
      <c r="G460" s="4" t="n">
        <v>18.99</v>
      </c>
      <c r="H460" s="4" t="n">
        <v>7.5</v>
      </c>
      <c r="I460" s="4" t="n">
        <f aca="false">F460*G460</f>
        <v>208.89</v>
      </c>
      <c r="J460" s="4" t="n">
        <f aca="false">F460*H460</f>
        <v>82.5</v>
      </c>
      <c r="K460" s="4" t="n">
        <f aca="false">I460-J460</f>
        <v>126.39</v>
      </c>
      <c r="L460" s="5" t="n">
        <f aca="false">IFERROR(K460/I460,0)</f>
        <v>0.605055292259084</v>
      </c>
    </row>
    <row r="461" customFormat="false" ht="15" hidden="false" customHeight="false" outlineLevel="0" collapsed="false">
      <c r="A461" s="2" t="s">
        <v>44</v>
      </c>
      <c r="B461" s="2" t="s">
        <v>46</v>
      </c>
      <c r="C461" s="2" t="s">
        <v>20</v>
      </c>
      <c r="D461" s="2" t="s">
        <v>25</v>
      </c>
      <c r="E461" s="3" t="n">
        <v>45931</v>
      </c>
      <c r="F461" s="2" t="n">
        <v>10</v>
      </c>
      <c r="G461" s="4" t="n">
        <v>42.99</v>
      </c>
      <c r="H461" s="4" t="n">
        <v>16.05</v>
      </c>
      <c r="I461" s="4" t="n">
        <f aca="false">F461*G461</f>
        <v>429.9</v>
      </c>
      <c r="J461" s="4" t="n">
        <f aca="false">F461*H461</f>
        <v>160.5</v>
      </c>
      <c r="K461" s="4" t="n">
        <f aca="false">I461-J461</f>
        <v>269.4</v>
      </c>
      <c r="L461" s="5" t="n">
        <f aca="false">IFERROR(K461/I461,0)</f>
        <v>0.626657362177251</v>
      </c>
    </row>
    <row r="462" customFormat="false" ht="15" hidden="false" customHeight="false" outlineLevel="0" collapsed="false">
      <c r="A462" s="2" t="s">
        <v>44</v>
      </c>
      <c r="B462" s="2" t="s">
        <v>46</v>
      </c>
      <c r="C462" s="2" t="s">
        <v>26</v>
      </c>
      <c r="D462" s="2" t="s">
        <v>27</v>
      </c>
      <c r="E462" s="3" t="n">
        <v>45931</v>
      </c>
      <c r="F462" s="2" t="n">
        <v>16</v>
      </c>
      <c r="G462" s="4" t="n">
        <v>44.99</v>
      </c>
      <c r="H462" s="4" t="n">
        <v>27.4</v>
      </c>
      <c r="I462" s="4" t="n">
        <f aca="false">F462*G462</f>
        <v>719.84</v>
      </c>
      <c r="J462" s="4" t="n">
        <f aca="false">F462*H462</f>
        <v>438.4</v>
      </c>
      <c r="K462" s="4" t="n">
        <f aca="false">I462-J462</f>
        <v>281.44</v>
      </c>
      <c r="L462" s="5" t="n">
        <f aca="false">IFERROR(K462/I462,0)</f>
        <v>0.390975772393865</v>
      </c>
    </row>
    <row r="463" customFormat="false" ht="15" hidden="false" customHeight="false" outlineLevel="0" collapsed="false">
      <c r="A463" s="2" t="s">
        <v>44</v>
      </c>
      <c r="B463" s="2" t="s">
        <v>46</v>
      </c>
      <c r="C463" s="2" t="s">
        <v>26</v>
      </c>
      <c r="D463" s="2" t="s">
        <v>28</v>
      </c>
      <c r="E463" s="3" t="n">
        <v>45931</v>
      </c>
      <c r="F463" s="2" t="n">
        <v>10</v>
      </c>
      <c r="G463" s="4" t="n">
        <v>34.99</v>
      </c>
      <c r="H463" s="4" t="n">
        <v>22.96</v>
      </c>
      <c r="I463" s="4" t="n">
        <f aca="false">F463*G463</f>
        <v>349.9</v>
      </c>
      <c r="J463" s="4" t="n">
        <f aca="false">F463*H463</f>
        <v>229.6</v>
      </c>
      <c r="K463" s="4" t="n">
        <f aca="false">I463-J463</f>
        <v>120.3</v>
      </c>
      <c r="L463" s="5" t="n">
        <f aca="false">IFERROR(K463/I463,0)</f>
        <v>0.343812517862246</v>
      </c>
    </row>
    <row r="464" customFormat="false" ht="15" hidden="false" customHeight="false" outlineLevel="0" collapsed="false">
      <c r="A464" s="2" t="s">
        <v>44</v>
      </c>
      <c r="B464" s="2" t="s">
        <v>46</v>
      </c>
      <c r="C464" s="2" t="s">
        <v>26</v>
      </c>
      <c r="D464" s="2" t="s">
        <v>29</v>
      </c>
      <c r="E464" s="3" t="n">
        <v>45931</v>
      </c>
      <c r="F464" s="2" t="n">
        <v>10</v>
      </c>
      <c r="G464" s="4" t="n">
        <v>119.99</v>
      </c>
      <c r="H464" s="4" t="n">
        <v>79.67</v>
      </c>
      <c r="I464" s="4" t="n">
        <f aca="false">F464*G464</f>
        <v>1199.9</v>
      </c>
      <c r="J464" s="4" t="n">
        <f aca="false">F464*H464</f>
        <v>796.7</v>
      </c>
      <c r="K464" s="4" t="n">
        <f aca="false">I464-J464</f>
        <v>403.2</v>
      </c>
      <c r="L464" s="5" t="n">
        <f aca="false">IFERROR(K464/I464,0)</f>
        <v>0.336028002333528</v>
      </c>
    </row>
    <row r="465" customFormat="false" ht="15" hidden="false" customHeight="false" outlineLevel="0" collapsed="false">
      <c r="A465" s="2" t="s">
        <v>44</v>
      </c>
      <c r="B465" s="2" t="s">
        <v>46</v>
      </c>
      <c r="C465" s="2" t="s">
        <v>26</v>
      </c>
      <c r="D465" s="2" t="s">
        <v>30</v>
      </c>
      <c r="E465" s="3" t="n">
        <v>45931</v>
      </c>
      <c r="F465" s="2" t="n">
        <v>9</v>
      </c>
      <c r="G465" s="4" t="n">
        <v>24.99</v>
      </c>
      <c r="H465" s="4" t="n">
        <v>14.95</v>
      </c>
      <c r="I465" s="4" t="n">
        <f aca="false">F465*G465</f>
        <v>224.91</v>
      </c>
      <c r="J465" s="4" t="n">
        <f aca="false">F465*H465</f>
        <v>134.55</v>
      </c>
      <c r="K465" s="4" t="n">
        <f aca="false">I465-J465</f>
        <v>90.36</v>
      </c>
      <c r="L465" s="5" t="n">
        <f aca="false">IFERROR(K465/I465,0)</f>
        <v>0.401760704281713</v>
      </c>
    </row>
    <row r="466" customFormat="false" ht="15" hidden="false" customHeight="false" outlineLevel="0" collapsed="false">
      <c r="A466" s="2" t="s">
        <v>44</v>
      </c>
      <c r="B466" s="2" t="s">
        <v>46</v>
      </c>
      <c r="C466" s="2" t="s">
        <v>26</v>
      </c>
      <c r="D466" s="2" t="s">
        <v>31</v>
      </c>
      <c r="E466" s="3" t="n">
        <v>45931</v>
      </c>
      <c r="F466" s="2" t="n">
        <v>10</v>
      </c>
      <c r="G466" s="4" t="n">
        <v>59.99</v>
      </c>
      <c r="H466" s="4" t="n">
        <v>38.27</v>
      </c>
      <c r="I466" s="4" t="n">
        <f aca="false">F466*G466</f>
        <v>599.9</v>
      </c>
      <c r="J466" s="4" t="n">
        <f aca="false">F466*H466</f>
        <v>382.7</v>
      </c>
      <c r="K466" s="4" t="n">
        <f aca="false">I466-J466</f>
        <v>217.2</v>
      </c>
      <c r="L466" s="5" t="n">
        <f aca="false">IFERROR(K466/I466,0)</f>
        <v>0.362060343390565</v>
      </c>
    </row>
    <row r="467" customFormat="false" ht="15" hidden="false" customHeight="false" outlineLevel="0" collapsed="false">
      <c r="A467" s="2" t="s">
        <v>44</v>
      </c>
      <c r="B467" s="2" t="s">
        <v>46</v>
      </c>
      <c r="C467" s="2" t="s">
        <v>32</v>
      </c>
      <c r="D467" s="2" t="s">
        <v>33</v>
      </c>
      <c r="E467" s="3" t="n">
        <v>45931</v>
      </c>
      <c r="F467" s="2" t="n">
        <v>8</v>
      </c>
      <c r="G467" s="4" t="n">
        <v>49.99</v>
      </c>
      <c r="H467" s="4" t="n">
        <v>36.56</v>
      </c>
      <c r="I467" s="4" t="n">
        <f aca="false">F467*G467</f>
        <v>399.92</v>
      </c>
      <c r="J467" s="4" t="n">
        <f aca="false">F467*H467</f>
        <v>292.48</v>
      </c>
      <c r="K467" s="4" t="n">
        <f aca="false">I467-J467</f>
        <v>107.44</v>
      </c>
      <c r="L467" s="5" t="n">
        <f aca="false">IFERROR(K467/I467,0)</f>
        <v>0.268653730746149</v>
      </c>
    </row>
    <row r="468" customFormat="false" ht="15" hidden="false" customHeight="false" outlineLevel="0" collapsed="false">
      <c r="A468" s="2" t="s">
        <v>44</v>
      </c>
      <c r="B468" s="2" t="s">
        <v>46</v>
      </c>
      <c r="C468" s="2" t="s">
        <v>32</v>
      </c>
      <c r="D468" s="2" t="s">
        <v>34</v>
      </c>
      <c r="E468" s="3" t="n">
        <v>45931</v>
      </c>
      <c r="F468" s="2" t="n">
        <v>13</v>
      </c>
      <c r="G468" s="4" t="n">
        <v>27.99</v>
      </c>
      <c r="H468" s="4" t="n">
        <v>19.4</v>
      </c>
      <c r="I468" s="4" t="n">
        <f aca="false">F468*G468</f>
        <v>363.87</v>
      </c>
      <c r="J468" s="4" t="n">
        <f aca="false">F468*H468</f>
        <v>252.2</v>
      </c>
      <c r="K468" s="4" t="n">
        <f aca="false">I468-J468</f>
        <v>111.67</v>
      </c>
      <c r="L468" s="5" t="n">
        <f aca="false">IFERROR(K468/I468,0)</f>
        <v>0.306895319757056</v>
      </c>
    </row>
    <row r="469" customFormat="false" ht="15" hidden="false" customHeight="false" outlineLevel="0" collapsed="false">
      <c r="A469" s="2" t="s">
        <v>44</v>
      </c>
      <c r="B469" s="2" t="s">
        <v>46</v>
      </c>
      <c r="C469" s="2" t="s">
        <v>32</v>
      </c>
      <c r="D469" s="2" t="s">
        <v>35</v>
      </c>
      <c r="E469" s="3" t="n">
        <v>45931</v>
      </c>
      <c r="F469" s="2" t="n">
        <v>12</v>
      </c>
      <c r="G469" s="4" t="n">
        <v>64.99</v>
      </c>
      <c r="H469" s="4" t="n">
        <v>44.8</v>
      </c>
      <c r="I469" s="4" t="n">
        <f aca="false">F469*G469</f>
        <v>779.88</v>
      </c>
      <c r="J469" s="4" t="n">
        <f aca="false">F469*H469</f>
        <v>537.6</v>
      </c>
      <c r="K469" s="4" t="n">
        <f aca="false">I469-J469</f>
        <v>242.28</v>
      </c>
      <c r="L469" s="5" t="n">
        <f aca="false">IFERROR(K469/I469,0)</f>
        <v>0.310663178950608</v>
      </c>
    </row>
    <row r="470" customFormat="false" ht="15" hidden="false" customHeight="false" outlineLevel="0" collapsed="false">
      <c r="A470" s="2" t="s">
        <v>44</v>
      </c>
      <c r="B470" s="2" t="s">
        <v>46</v>
      </c>
      <c r="C470" s="2" t="s">
        <v>32</v>
      </c>
      <c r="D470" s="2" t="s">
        <v>36</v>
      </c>
      <c r="E470" s="3" t="n">
        <v>45931</v>
      </c>
      <c r="F470" s="2" t="n">
        <v>9</v>
      </c>
      <c r="G470" s="4" t="n">
        <v>22.99</v>
      </c>
      <c r="H470" s="4" t="n">
        <v>16.91</v>
      </c>
      <c r="I470" s="4" t="n">
        <f aca="false">F470*G470</f>
        <v>206.91</v>
      </c>
      <c r="J470" s="4" t="n">
        <f aca="false">F470*H470</f>
        <v>152.19</v>
      </c>
      <c r="K470" s="4" t="n">
        <f aca="false">I470-J470</f>
        <v>54.72</v>
      </c>
      <c r="L470" s="5" t="n">
        <f aca="false">IFERROR(K470/I470,0)</f>
        <v>0.264462809917355</v>
      </c>
    </row>
    <row r="471" customFormat="false" ht="15" hidden="false" customHeight="false" outlineLevel="0" collapsed="false">
      <c r="A471" s="2" t="s">
        <v>44</v>
      </c>
      <c r="B471" s="2" t="s">
        <v>46</v>
      </c>
      <c r="C471" s="2" t="s">
        <v>32</v>
      </c>
      <c r="D471" s="2" t="s">
        <v>37</v>
      </c>
      <c r="E471" s="3" t="n">
        <v>45931</v>
      </c>
      <c r="F471" s="2" t="n">
        <v>11</v>
      </c>
      <c r="G471" s="4" t="n">
        <v>29.99</v>
      </c>
      <c r="H471" s="4" t="n">
        <v>20.88</v>
      </c>
      <c r="I471" s="4" t="n">
        <f aca="false">F471*G471</f>
        <v>329.89</v>
      </c>
      <c r="J471" s="4" t="n">
        <f aca="false">F471*H471</f>
        <v>229.68</v>
      </c>
      <c r="K471" s="4" t="n">
        <f aca="false">I471-J471</f>
        <v>100.21</v>
      </c>
      <c r="L471" s="5" t="n">
        <f aca="false">IFERROR(K471/I471,0)</f>
        <v>0.30376792264088</v>
      </c>
    </row>
    <row r="472" customFormat="false" ht="15" hidden="false" customHeight="false" outlineLevel="0" collapsed="false">
      <c r="A472" s="2" t="s">
        <v>44</v>
      </c>
      <c r="B472" s="2" t="s">
        <v>46</v>
      </c>
      <c r="C472" s="2" t="s">
        <v>38</v>
      </c>
      <c r="D472" s="2" t="s">
        <v>39</v>
      </c>
      <c r="E472" s="3" t="n">
        <v>45931</v>
      </c>
      <c r="F472" s="2" t="n">
        <v>12</v>
      </c>
      <c r="G472" s="4" t="n">
        <v>129.99</v>
      </c>
      <c r="H472" s="4" t="n">
        <v>73.39</v>
      </c>
      <c r="I472" s="4" t="n">
        <f aca="false">F472*G472</f>
        <v>1559.88</v>
      </c>
      <c r="J472" s="4" t="n">
        <f aca="false">F472*H472</f>
        <v>880.68</v>
      </c>
      <c r="K472" s="4" t="n">
        <f aca="false">I472-J472</f>
        <v>679.2</v>
      </c>
      <c r="L472" s="5" t="n">
        <f aca="false">IFERROR(K472/I472,0)</f>
        <v>0.435418109085314</v>
      </c>
    </row>
    <row r="473" customFormat="false" ht="15" hidden="false" customHeight="false" outlineLevel="0" collapsed="false">
      <c r="A473" s="2" t="s">
        <v>44</v>
      </c>
      <c r="B473" s="2" t="s">
        <v>46</v>
      </c>
      <c r="C473" s="2" t="s">
        <v>38</v>
      </c>
      <c r="D473" s="2" t="s">
        <v>40</v>
      </c>
      <c r="E473" s="3" t="n">
        <v>45931</v>
      </c>
      <c r="F473" s="2" t="n">
        <v>7</v>
      </c>
      <c r="G473" s="4" t="n">
        <v>74.99</v>
      </c>
      <c r="H473" s="4" t="n">
        <v>42.45</v>
      </c>
      <c r="I473" s="4" t="n">
        <f aca="false">F473*G473</f>
        <v>524.93</v>
      </c>
      <c r="J473" s="4" t="n">
        <f aca="false">F473*H473</f>
        <v>297.15</v>
      </c>
      <c r="K473" s="4" t="n">
        <f aca="false">I473-J473</f>
        <v>227.78</v>
      </c>
      <c r="L473" s="5" t="n">
        <f aca="false">IFERROR(K473/I473,0)</f>
        <v>0.433924523269769</v>
      </c>
    </row>
    <row r="474" customFormat="false" ht="15" hidden="false" customHeight="false" outlineLevel="0" collapsed="false">
      <c r="A474" s="2" t="s">
        <v>44</v>
      </c>
      <c r="B474" s="2" t="s">
        <v>46</v>
      </c>
      <c r="C474" s="2" t="s">
        <v>38</v>
      </c>
      <c r="D474" s="2" t="s">
        <v>41</v>
      </c>
      <c r="E474" s="3" t="n">
        <v>45931</v>
      </c>
      <c r="F474" s="2" t="n">
        <v>12</v>
      </c>
      <c r="G474" s="4" t="n">
        <v>19.99</v>
      </c>
      <c r="H474" s="4" t="n">
        <v>9.82</v>
      </c>
      <c r="I474" s="4" t="n">
        <f aca="false">F474*G474</f>
        <v>239.88</v>
      </c>
      <c r="J474" s="4" t="n">
        <f aca="false">F474*H474</f>
        <v>117.84</v>
      </c>
      <c r="K474" s="4" t="n">
        <f aca="false">I474-J474</f>
        <v>122.04</v>
      </c>
      <c r="L474" s="5" t="n">
        <f aca="false">IFERROR(K474/I474,0)</f>
        <v>0.508754377188594</v>
      </c>
    </row>
    <row r="475" customFormat="false" ht="15" hidden="false" customHeight="false" outlineLevel="0" collapsed="false">
      <c r="A475" s="2" t="s">
        <v>44</v>
      </c>
      <c r="B475" s="2" t="s">
        <v>46</v>
      </c>
      <c r="C475" s="2" t="s">
        <v>38</v>
      </c>
      <c r="D475" s="2" t="s">
        <v>42</v>
      </c>
      <c r="E475" s="3" t="n">
        <v>45931</v>
      </c>
      <c r="F475" s="2" t="n">
        <v>13</v>
      </c>
      <c r="G475" s="4" t="n">
        <v>16.99</v>
      </c>
      <c r="H475" s="4" t="n">
        <v>8.26</v>
      </c>
      <c r="I475" s="4" t="n">
        <f aca="false">F475*G475</f>
        <v>220.87</v>
      </c>
      <c r="J475" s="4" t="n">
        <f aca="false">F475*H475</f>
        <v>107.38</v>
      </c>
      <c r="K475" s="4" t="n">
        <f aca="false">I475-J475</f>
        <v>113.49</v>
      </c>
      <c r="L475" s="5" t="n">
        <f aca="false">IFERROR(K475/I475,0)</f>
        <v>0.513831665685698</v>
      </c>
    </row>
    <row r="476" customFormat="false" ht="15" hidden="false" customHeight="false" outlineLevel="0" collapsed="false">
      <c r="A476" s="2" t="s">
        <v>44</v>
      </c>
      <c r="B476" s="2" t="s">
        <v>46</v>
      </c>
      <c r="C476" s="2" t="s">
        <v>38</v>
      </c>
      <c r="D476" s="2" t="s">
        <v>43</v>
      </c>
      <c r="E476" s="3" t="n">
        <v>45931</v>
      </c>
      <c r="F476" s="2" t="n">
        <v>10</v>
      </c>
      <c r="G476" s="4" t="n">
        <v>24.99</v>
      </c>
      <c r="H476" s="4" t="n">
        <v>13.03</v>
      </c>
      <c r="I476" s="4" t="n">
        <f aca="false">F476*G476</f>
        <v>249.9</v>
      </c>
      <c r="J476" s="4" t="n">
        <f aca="false">F476*H476</f>
        <v>130.3</v>
      </c>
      <c r="K476" s="4" t="n">
        <f aca="false">I476-J476</f>
        <v>119.6</v>
      </c>
      <c r="L476" s="5" t="n">
        <f aca="false">IFERROR(K476/I476,0)</f>
        <v>0.47859143657463</v>
      </c>
    </row>
    <row r="477" customFormat="false" ht="15" hidden="false" customHeight="false" outlineLevel="0" collapsed="false">
      <c r="A477" s="2" t="s">
        <v>47</v>
      </c>
      <c r="B477" s="2" t="s">
        <v>48</v>
      </c>
      <c r="C477" s="2" t="s">
        <v>14</v>
      </c>
      <c r="D477" s="2" t="s">
        <v>15</v>
      </c>
      <c r="E477" s="3" t="n">
        <v>45931</v>
      </c>
      <c r="F477" s="2" t="n">
        <v>16</v>
      </c>
      <c r="G477" s="4" t="n">
        <v>69.99</v>
      </c>
      <c r="H477" s="4" t="n">
        <v>34.1</v>
      </c>
      <c r="I477" s="4" t="n">
        <f aca="false">F477*G477</f>
        <v>1119.84</v>
      </c>
      <c r="J477" s="4" t="n">
        <f aca="false">F477*H477</f>
        <v>545.6</v>
      </c>
      <c r="K477" s="4" t="n">
        <f aca="false">I477-J477</f>
        <v>574.24</v>
      </c>
      <c r="L477" s="5" t="n">
        <f aca="false">IFERROR(K477/I477,0)</f>
        <v>0.512787541077297</v>
      </c>
    </row>
    <row r="478" customFormat="false" ht="15" hidden="false" customHeight="false" outlineLevel="0" collapsed="false">
      <c r="A478" s="2" t="s">
        <v>47</v>
      </c>
      <c r="B478" s="2" t="s">
        <v>48</v>
      </c>
      <c r="C478" s="2" t="s">
        <v>14</v>
      </c>
      <c r="D478" s="2" t="s">
        <v>16</v>
      </c>
      <c r="E478" s="3" t="n">
        <v>45931</v>
      </c>
      <c r="F478" s="2" t="n">
        <v>25</v>
      </c>
      <c r="G478" s="4" t="n">
        <v>19.99</v>
      </c>
      <c r="H478" s="4" t="n">
        <v>9.16</v>
      </c>
      <c r="I478" s="4" t="n">
        <f aca="false">F478*G478</f>
        <v>499.75</v>
      </c>
      <c r="J478" s="4" t="n">
        <f aca="false">F478*H478</f>
        <v>229</v>
      </c>
      <c r="K478" s="4" t="n">
        <f aca="false">I478-J478</f>
        <v>270.75</v>
      </c>
      <c r="L478" s="5" t="n">
        <f aca="false">IFERROR(K478/I478,0)</f>
        <v>0.541770885442721</v>
      </c>
    </row>
    <row r="479" customFormat="false" ht="15" hidden="false" customHeight="false" outlineLevel="0" collapsed="false">
      <c r="A479" s="2" t="s">
        <v>47</v>
      </c>
      <c r="B479" s="2" t="s">
        <v>48</v>
      </c>
      <c r="C479" s="2" t="s">
        <v>14</v>
      </c>
      <c r="D479" s="2" t="s">
        <v>17</v>
      </c>
      <c r="E479" s="3" t="n">
        <v>45931</v>
      </c>
      <c r="F479" s="2" t="n">
        <v>14</v>
      </c>
      <c r="G479" s="4" t="n">
        <v>79.99</v>
      </c>
      <c r="H479" s="4" t="n">
        <v>39.41</v>
      </c>
      <c r="I479" s="4" t="n">
        <f aca="false">F479*G479</f>
        <v>1119.86</v>
      </c>
      <c r="J479" s="4" t="n">
        <f aca="false">F479*H479</f>
        <v>551.74</v>
      </c>
      <c r="K479" s="4" t="n">
        <f aca="false">I479-J479</f>
        <v>568.12</v>
      </c>
      <c r="L479" s="5" t="n">
        <f aca="false">IFERROR(K479/I479,0)</f>
        <v>0.507313414176772</v>
      </c>
    </row>
    <row r="480" customFormat="false" ht="15" hidden="false" customHeight="false" outlineLevel="0" collapsed="false">
      <c r="A480" s="2" t="s">
        <v>47</v>
      </c>
      <c r="B480" s="2" t="s">
        <v>48</v>
      </c>
      <c r="C480" s="2" t="s">
        <v>14</v>
      </c>
      <c r="D480" s="2" t="s">
        <v>18</v>
      </c>
      <c r="E480" s="3" t="n">
        <v>45931</v>
      </c>
      <c r="F480" s="2" t="n">
        <v>10</v>
      </c>
      <c r="G480" s="4" t="n">
        <v>34.99</v>
      </c>
      <c r="H480" s="4" t="n">
        <v>14.91</v>
      </c>
      <c r="I480" s="4" t="n">
        <f aca="false">F480*G480</f>
        <v>349.9</v>
      </c>
      <c r="J480" s="4" t="n">
        <f aca="false">F480*H480</f>
        <v>149.1</v>
      </c>
      <c r="K480" s="4" t="n">
        <f aca="false">I480-J480</f>
        <v>200.8</v>
      </c>
      <c r="L480" s="5" t="n">
        <f aca="false">IFERROR(K480/I480,0)</f>
        <v>0.573878250928837</v>
      </c>
    </row>
    <row r="481" customFormat="false" ht="15" hidden="false" customHeight="false" outlineLevel="0" collapsed="false">
      <c r="A481" s="2" t="s">
        <v>47</v>
      </c>
      <c r="B481" s="2" t="s">
        <v>48</v>
      </c>
      <c r="C481" s="2" t="s">
        <v>14</v>
      </c>
      <c r="D481" s="2" t="s">
        <v>19</v>
      </c>
      <c r="E481" s="3" t="n">
        <v>45931</v>
      </c>
      <c r="F481" s="2" t="n">
        <v>11</v>
      </c>
      <c r="G481" s="4" t="n">
        <v>54.99</v>
      </c>
      <c r="H481" s="4" t="n">
        <v>24.12</v>
      </c>
      <c r="I481" s="4" t="n">
        <f aca="false">F481*G481</f>
        <v>604.89</v>
      </c>
      <c r="J481" s="4" t="n">
        <f aca="false">F481*H481</f>
        <v>265.32</v>
      </c>
      <c r="K481" s="4" t="n">
        <f aca="false">I481-J481</f>
        <v>339.57</v>
      </c>
      <c r="L481" s="5" t="n">
        <f aca="false">IFERROR(K481/I481,0)</f>
        <v>0.561374795417349</v>
      </c>
    </row>
    <row r="482" customFormat="false" ht="15" hidden="false" customHeight="false" outlineLevel="0" collapsed="false">
      <c r="A482" s="2" t="s">
        <v>47</v>
      </c>
      <c r="B482" s="2" t="s">
        <v>48</v>
      </c>
      <c r="C482" s="2" t="s">
        <v>20</v>
      </c>
      <c r="D482" s="2" t="s">
        <v>21</v>
      </c>
      <c r="E482" s="3" t="n">
        <v>45931</v>
      </c>
      <c r="F482" s="2" t="n">
        <v>9</v>
      </c>
      <c r="G482" s="4" t="n">
        <v>44.99</v>
      </c>
      <c r="H482" s="4" t="n">
        <v>20.43</v>
      </c>
      <c r="I482" s="4" t="n">
        <f aca="false">F482*G482</f>
        <v>404.91</v>
      </c>
      <c r="J482" s="4" t="n">
        <f aca="false">F482*H482</f>
        <v>183.87</v>
      </c>
      <c r="K482" s="4" t="n">
        <f aca="false">I482-J482</f>
        <v>221.04</v>
      </c>
      <c r="L482" s="5" t="n">
        <f aca="false">IFERROR(K482/I482,0)</f>
        <v>0.545899088686375</v>
      </c>
    </row>
    <row r="483" customFormat="false" ht="15" hidden="false" customHeight="false" outlineLevel="0" collapsed="false">
      <c r="A483" s="2" t="s">
        <v>47</v>
      </c>
      <c r="B483" s="2" t="s">
        <v>48</v>
      </c>
      <c r="C483" s="2" t="s">
        <v>20</v>
      </c>
      <c r="D483" s="2" t="s">
        <v>22</v>
      </c>
      <c r="E483" s="3" t="n">
        <v>45931</v>
      </c>
      <c r="F483" s="2" t="n">
        <v>16</v>
      </c>
      <c r="G483" s="4" t="n">
        <v>14.99</v>
      </c>
      <c r="H483" s="4" t="n">
        <v>5.77</v>
      </c>
      <c r="I483" s="4" t="n">
        <f aca="false">F483*G483</f>
        <v>239.84</v>
      </c>
      <c r="J483" s="4" t="n">
        <f aca="false">F483*H483</f>
        <v>92.32</v>
      </c>
      <c r="K483" s="4" t="n">
        <f aca="false">I483-J483</f>
        <v>147.52</v>
      </c>
      <c r="L483" s="5" t="n">
        <f aca="false">IFERROR(K483/I483,0)</f>
        <v>0.615076717811875</v>
      </c>
    </row>
    <row r="484" customFormat="false" ht="15" hidden="false" customHeight="false" outlineLevel="0" collapsed="false">
      <c r="A484" s="2" t="s">
        <v>47</v>
      </c>
      <c r="B484" s="2" t="s">
        <v>48</v>
      </c>
      <c r="C484" s="2" t="s">
        <v>20</v>
      </c>
      <c r="D484" s="2" t="s">
        <v>23</v>
      </c>
      <c r="E484" s="3" t="n">
        <v>45931</v>
      </c>
      <c r="F484" s="2" t="n">
        <v>14</v>
      </c>
      <c r="G484" s="4" t="n">
        <v>39.99</v>
      </c>
      <c r="H484" s="4" t="n">
        <v>16.46</v>
      </c>
      <c r="I484" s="4" t="n">
        <f aca="false">F484*G484</f>
        <v>559.86</v>
      </c>
      <c r="J484" s="4" t="n">
        <f aca="false">F484*H484</f>
        <v>230.44</v>
      </c>
      <c r="K484" s="4" t="n">
        <f aca="false">I484-J484</f>
        <v>329.42</v>
      </c>
      <c r="L484" s="5" t="n">
        <f aca="false">IFERROR(K484/I484,0)</f>
        <v>0.588397099274819</v>
      </c>
    </row>
    <row r="485" customFormat="false" ht="15" hidden="false" customHeight="false" outlineLevel="0" collapsed="false">
      <c r="A485" s="2" t="s">
        <v>47</v>
      </c>
      <c r="B485" s="2" t="s">
        <v>48</v>
      </c>
      <c r="C485" s="2" t="s">
        <v>20</v>
      </c>
      <c r="D485" s="2" t="s">
        <v>24</v>
      </c>
      <c r="E485" s="3" t="n">
        <v>45931</v>
      </c>
      <c r="F485" s="2" t="n">
        <v>15</v>
      </c>
      <c r="G485" s="4" t="n">
        <v>18.99</v>
      </c>
      <c r="H485" s="4" t="n">
        <v>7.39</v>
      </c>
      <c r="I485" s="4" t="n">
        <f aca="false">F485*G485</f>
        <v>284.85</v>
      </c>
      <c r="J485" s="4" t="n">
        <f aca="false">F485*H485</f>
        <v>110.85</v>
      </c>
      <c r="K485" s="4" t="n">
        <f aca="false">I485-J485</f>
        <v>174</v>
      </c>
      <c r="L485" s="5" t="n">
        <f aca="false">IFERROR(K485/I485,0)</f>
        <v>0.610847814639284</v>
      </c>
    </row>
    <row r="486" customFormat="false" ht="15" hidden="false" customHeight="false" outlineLevel="0" collapsed="false">
      <c r="A486" s="2" t="s">
        <v>47</v>
      </c>
      <c r="B486" s="2" t="s">
        <v>48</v>
      </c>
      <c r="C486" s="2" t="s">
        <v>20</v>
      </c>
      <c r="D486" s="2" t="s">
        <v>25</v>
      </c>
      <c r="E486" s="3" t="n">
        <v>45931</v>
      </c>
      <c r="F486" s="2" t="n">
        <v>19</v>
      </c>
      <c r="G486" s="4" t="n">
        <v>42.99</v>
      </c>
      <c r="H486" s="4" t="n">
        <v>15.54</v>
      </c>
      <c r="I486" s="4" t="n">
        <f aca="false">F486*G486</f>
        <v>816.81</v>
      </c>
      <c r="J486" s="4" t="n">
        <f aca="false">F486*H486</f>
        <v>295.26</v>
      </c>
      <c r="K486" s="4" t="n">
        <f aca="false">I486-J486</f>
        <v>521.55</v>
      </c>
      <c r="L486" s="5" t="n">
        <f aca="false">IFERROR(K486/I486,0)</f>
        <v>0.638520586182833</v>
      </c>
    </row>
    <row r="487" customFormat="false" ht="15" hidden="false" customHeight="false" outlineLevel="0" collapsed="false">
      <c r="A487" s="2" t="s">
        <v>47</v>
      </c>
      <c r="B487" s="2" t="s">
        <v>48</v>
      </c>
      <c r="C487" s="2" t="s">
        <v>26</v>
      </c>
      <c r="D487" s="2" t="s">
        <v>27</v>
      </c>
      <c r="E487" s="3" t="n">
        <v>45931</v>
      </c>
      <c r="F487" s="2" t="n">
        <v>12</v>
      </c>
      <c r="G487" s="4" t="n">
        <v>44.99</v>
      </c>
      <c r="H487" s="4" t="n">
        <v>27.72</v>
      </c>
      <c r="I487" s="4" t="n">
        <f aca="false">F487*G487</f>
        <v>539.88</v>
      </c>
      <c r="J487" s="4" t="n">
        <f aca="false">F487*H487</f>
        <v>332.64</v>
      </c>
      <c r="K487" s="4" t="n">
        <f aca="false">I487-J487</f>
        <v>207.24</v>
      </c>
      <c r="L487" s="5" t="n">
        <f aca="false">IFERROR(K487/I487,0)</f>
        <v>0.383863080684597</v>
      </c>
    </row>
    <row r="488" customFormat="false" ht="15" hidden="false" customHeight="false" outlineLevel="0" collapsed="false">
      <c r="A488" s="2" t="s">
        <v>47</v>
      </c>
      <c r="B488" s="2" t="s">
        <v>48</v>
      </c>
      <c r="C488" s="2" t="s">
        <v>26</v>
      </c>
      <c r="D488" s="2" t="s">
        <v>28</v>
      </c>
      <c r="E488" s="3" t="n">
        <v>45931</v>
      </c>
      <c r="F488" s="2" t="n">
        <v>9</v>
      </c>
      <c r="G488" s="4" t="n">
        <v>34.99</v>
      </c>
      <c r="H488" s="4" t="n">
        <v>23.02</v>
      </c>
      <c r="I488" s="4" t="n">
        <f aca="false">F488*G488</f>
        <v>314.91</v>
      </c>
      <c r="J488" s="4" t="n">
        <f aca="false">F488*H488</f>
        <v>207.18</v>
      </c>
      <c r="K488" s="4" t="n">
        <f aca="false">I488-J488</f>
        <v>107.73</v>
      </c>
      <c r="L488" s="5" t="n">
        <f aca="false">IFERROR(K488/I488,0)</f>
        <v>0.342097742212061</v>
      </c>
    </row>
    <row r="489" customFormat="false" ht="15" hidden="false" customHeight="false" outlineLevel="0" collapsed="false">
      <c r="A489" s="2" t="s">
        <v>47</v>
      </c>
      <c r="B489" s="2" t="s">
        <v>48</v>
      </c>
      <c r="C489" s="2" t="s">
        <v>26</v>
      </c>
      <c r="D489" s="2" t="s">
        <v>29</v>
      </c>
      <c r="E489" s="3" t="n">
        <v>45931</v>
      </c>
      <c r="F489" s="2" t="n">
        <v>13</v>
      </c>
      <c r="G489" s="4" t="n">
        <v>119.99</v>
      </c>
      <c r="H489" s="4" t="n">
        <v>83.46</v>
      </c>
      <c r="I489" s="4" t="n">
        <f aca="false">F489*G489</f>
        <v>1559.87</v>
      </c>
      <c r="J489" s="4" t="n">
        <f aca="false">F489*H489</f>
        <v>1084.98</v>
      </c>
      <c r="K489" s="4" t="n">
        <f aca="false">I489-J489</f>
        <v>474.89</v>
      </c>
      <c r="L489" s="5" t="n">
        <f aca="false">IFERROR(K489/I489,0)</f>
        <v>0.304442036836403</v>
      </c>
    </row>
    <row r="490" customFormat="false" ht="15" hidden="false" customHeight="false" outlineLevel="0" collapsed="false">
      <c r="A490" s="2" t="s">
        <v>47</v>
      </c>
      <c r="B490" s="2" t="s">
        <v>48</v>
      </c>
      <c r="C490" s="2" t="s">
        <v>26</v>
      </c>
      <c r="D490" s="2" t="s">
        <v>30</v>
      </c>
      <c r="E490" s="3" t="n">
        <v>45931</v>
      </c>
      <c r="F490" s="2" t="n">
        <v>17</v>
      </c>
      <c r="G490" s="4" t="n">
        <v>24.99</v>
      </c>
      <c r="H490" s="4" t="n">
        <v>15.25</v>
      </c>
      <c r="I490" s="4" t="n">
        <f aca="false">F490*G490</f>
        <v>424.83</v>
      </c>
      <c r="J490" s="4" t="n">
        <f aca="false">F490*H490</f>
        <v>259.25</v>
      </c>
      <c r="K490" s="4" t="n">
        <f aca="false">I490-J490</f>
        <v>165.58</v>
      </c>
      <c r="L490" s="5" t="n">
        <f aca="false">IFERROR(K490/I490,0)</f>
        <v>0.389755902360944</v>
      </c>
    </row>
    <row r="491" customFormat="false" ht="15" hidden="false" customHeight="false" outlineLevel="0" collapsed="false">
      <c r="A491" s="2" t="s">
        <v>47</v>
      </c>
      <c r="B491" s="2" t="s">
        <v>48</v>
      </c>
      <c r="C491" s="2" t="s">
        <v>26</v>
      </c>
      <c r="D491" s="2" t="s">
        <v>31</v>
      </c>
      <c r="E491" s="3" t="n">
        <v>45931</v>
      </c>
      <c r="F491" s="2" t="n">
        <v>8</v>
      </c>
      <c r="G491" s="4" t="n">
        <v>59.99</v>
      </c>
      <c r="H491" s="4" t="n">
        <v>38.15</v>
      </c>
      <c r="I491" s="4" t="n">
        <f aca="false">F491*G491</f>
        <v>479.92</v>
      </c>
      <c r="J491" s="4" t="n">
        <f aca="false">F491*H491</f>
        <v>305.2</v>
      </c>
      <c r="K491" s="4" t="n">
        <f aca="false">I491-J491</f>
        <v>174.72</v>
      </c>
      <c r="L491" s="5" t="n">
        <f aca="false">IFERROR(K491/I491,0)</f>
        <v>0.364060676779463</v>
      </c>
    </row>
    <row r="492" customFormat="false" ht="15" hidden="false" customHeight="false" outlineLevel="0" collapsed="false">
      <c r="A492" s="2" t="s">
        <v>47</v>
      </c>
      <c r="B492" s="2" t="s">
        <v>48</v>
      </c>
      <c r="C492" s="2" t="s">
        <v>32</v>
      </c>
      <c r="D492" s="2" t="s">
        <v>33</v>
      </c>
      <c r="E492" s="3" t="n">
        <v>45931</v>
      </c>
      <c r="F492" s="2" t="n">
        <v>14</v>
      </c>
      <c r="G492" s="4" t="n">
        <v>49.99</v>
      </c>
      <c r="H492" s="4" t="n">
        <v>35.53</v>
      </c>
      <c r="I492" s="4" t="n">
        <f aca="false">F492*G492</f>
        <v>699.86</v>
      </c>
      <c r="J492" s="4" t="n">
        <f aca="false">F492*H492</f>
        <v>497.42</v>
      </c>
      <c r="K492" s="4" t="n">
        <f aca="false">I492-J492</f>
        <v>202.44</v>
      </c>
      <c r="L492" s="5" t="n">
        <f aca="false">IFERROR(K492/I492,0)</f>
        <v>0.289257851570314</v>
      </c>
    </row>
    <row r="493" customFormat="false" ht="15" hidden="false" customHeight="false" outlineLevel="0" collapsed="false">
      <c r="A493" s="2" t="s">
        <v>47</v>
      </c>
      <c r="B493" s="2" t="s">
        <v>48</v>
      </c>
      <c r="C493" s="2" t="s">
        <v>32</v>
      </c>
      <c r="D493" s="2" t="s">
        <v>34</v>
      </c>
      <c r="E493" s="3" t="n">
        <v>45931</v>
      </c>
      <c r="F493" s="2" t="n">
        <v>14</v>
      </c>
      <c r="G493" s="4" t="n">
        <v>27.99</v>
      </c>
      <c r="H493" s="4" t="n">
        <v>19.56</v>
      </c>
      <c r="I493" s="4" t="n">
        <f aca="false">F493*G493</f>
        <v>391.86</v>
      </c>
      <c r="J493" s="4" t="n">
        <f aca="false">F493*H493</f>
        <v>273.84</v>
      </c>
      <c r="K493" s="4" t="n">
        <f aca="false">I493-J493</f>
        <v>118.02</v>
      </c>
      <c r="L493" s="5" t="n">
        <f aca="false">IFERROR(K493/I493,0)</f>
        <v>0.30117899249732</v>
      </c>
    </row>
    <row r="494" customFormat="false" ht="15" hidden="false" customHeight="false" outlineLevel="0" collapsed="false">
      <c r="A494" s="2" t="s">
        <v>47</v>
      </c>
      <c r="B494" s="2" t="s">
        <v>48</v>
      </c>
      <c r="C494" s="2" t="s">
        <v>32</v>
      </c>
      <c r="D494" s="2" t="s">
        <v>35</v>
      </c>
      <c r="E494" s="3" t="n">
        <v>45931</v>
      </c>
      <c r="F494" s="2" t="n">
        <v>12</v>
      </c>
      <c r="G494" s="4" t="n">
        <v>64.99</v>
      </c>
      <c r="H494" s="4" t="n">
        <v>45.56</v>
      </c>
      <c r="I494" s="4" t="n">
        <f aca="false">F494*G494</f>
        <v>779.88</v>
      </c>
      <c r="J494" s="4" t="n">
        <f aca="false">F494*H494</f>
        <v>546.72</v>
      </c>
      <c r="K494" s="4" t="n">
        <f aca="false">I494-J494</f>
        <v>233.16</v>
      </c>
      <c r="L494" s="5" t="n">
        <f aca="false">IFERROR(K494/I494,0)</f>
        <v>0.298969072164948</v>
      </c>
    </row>
    <row r="495" customFormat="false" ht="15" hidden="false" customHeight="false" outlineLevel="0" collapsed="false">
      <c r="A495" s="2" t="s">
        <v>47</v>
      </c>
      <c r="B495" s="2" t="s">
        <v>48</v>
      </c>
      <c r="C495" s="2" t="s">
        <v>32</v>
      </c>
      <c r="D495" s="2" t="s">
        <v>36</v>
      </c>
      <c r="E495" s="3" t="n">
        <v>45931</v>
      </c>
      <c r="F495" s="2" t="n">
        <v>14</v>
      </c>
      <c r="G495" s="4" t="n">
        <v>22.99</v>
      </c>
      <c r="H495" s="4" t="n">
        <v>16.61</v>
      </c>
      <c r="I495" s="4" t="n">
        <f aca="false">F495*G495</f>
        <v>321.86</v>
      </c>
      <c r="J495" s="4" t="n">
        <f aca="false">F495*H495</f>
        <v>232.54</v>
      </c>
      <c r="K495" s="4" t="n">
        <f aca="false">I495-J495</f>
        <v>89.32</v>
      </c>
      <c r="L495" s="5" t="n">
        <f aca="false">IFERROR(K495/I495,0)</f>
        <v>0.277511961722488</v>
      </c>
    </row>
    <row r="496" customFormat="false" ht="15" hidden="false" customHeight="false" outlineLevel="0" collapsed="false">
      <c r="A496" s="2" t="s">
        <v>47</v>
      </c>
      <c r="B496" s="2" t="s">
        <v>48</v>
      </c>
      <c r="C496" s="2" t="s">
        <v>32</v>
      </c>
      <c r="D496" s="2" t="s">
        <v>37</v>
      </c>
      <c r="E496" s="3" t="n">
        <v>45931</v>
      </c>
      <c r="F496" s="2" t="n">
        <v>19</v>
      </c>
      <c r="G496" s="4" t="n">
        <v>29.99</v>
      </c>
      <c r="H496" s="4" t="n">
        <v>20.85</v>
      </c>
      <c r="I496" s="4" t="n">
        <f aca="false">F496*G496</f>
        <v>569.81</v>
      </c>
      <c r="J496" s="4" t="n">
        <f aca="false">F496*H496</f>
        <v>396.15</v>
      </c>
      <c r="K496" s="4" t="n">
        <f aca="false">I496-J496</f>
        <v>173.66</v>
      </c>
      <c r="L496" s="5" t="n">
        <f aca="false">IFERROR(K496/I496,0)</f>
        <v>0.304768256085362</v>
      </c>
    </row>
    <row r="497" customFormat="false" ht="15" hidden="false" customHeight="false" outlineLevel="0" collapsed="false">
      <c r="A497" s="2" t="s">
        <v>47</v>
      </c>
      <c r="B497" s="2" t="s">
        <v>48</v>
      </c>
      <c r="C497" s="2" t="s">
        <v>38</v>
      </c>
      <c r="D497" s="2" t="s">
        <v>39</v>
      </c>
      <c r="E497" s="3" t="n">
        <v>45931</v>
      </c>
      <c r="F497" s="2" t="n">
        <v>9</v>
      </c>
      <c r="G497" s="4" t="n">
        <v>129.99</v>
      </c>
      <c r="H497" s="4" t="n">
        <v>74.98</v>
      </c>
      <c r="I497" s="4" t="n">
        <f aca="false">F497*G497</f>
        <v>1169.91</v>
      </c>
      <c r="J497" s="4" t="n">
        <f aca="false">F497*H497</f>
        <v>674.82</v>
      </c>
      <c r="K497" s="4" t="n">
        <f aca="false">I497-J497</f>
        <v>495.09</v>
      </c>
      <c r="L497" s="5" t="n">
        <f aca="false">IFERROR(K497/I497,0)</f>
        <v>0.423186398953766</v>
      </c>
    </row>
    <row r="498" customFormat="false" ht="15" hidden="false" customHeight="false" outlineLevel="0" collapsed="false">
      <c r="A498" s="2" t="s">
        <v>47</v>
      </c>
      <c r="B498" s="2" t="s">
        <v>48</v>
      </c>
      <c r="C498" s="2" t="s">
        <v>38</v>
      </c>
      <c r="D498" s="2" t="s">
        <v>40</v>
      </c>
      <c r="E498" s="3" t="n">
        <v>45931</v>
      </c>
      <c r="F498" s="2" t="n">
        <v>15</v>
      </c>
      <c r="G498" s="4" t="n">
        <v>74.99</v>
      </c>
      <c r="H498" s="4" t="n">
        <v>41.25</v>
      </c>
      <c r="I498" s="4" t="n">
        <f aca="false">F498*G498</f>
        <v>1124.85</v>
      </c>
      <c r="J498" s="4" t="n">
        <f aca="false">F498*H498</f>
        <v>618.75</v>
      </c>
      <c r="K498" s="4" t="n">
        <f aca="false">I498-J498</f>
        <v>506.1</v>
      </c>
      <c r="L498" s="5" t="n">
        <f aca="false">IFERROR(K498/I498,0)</f>
        <v>0.449926656887585</v>
      </c>
    </row>
    <row r="499" customFormat="false" ht="15" hidden="false" customHeight="false" outlineLevel="0" collapsed="false">
      <c r="A499" s="2" t="s">
        <v>47</v>
      </c>
      <c r="B499" s="2" t="s">
        <v>48</v>
      </c>
      <c r="C499" s="2" t="s">
        <v>38</v>
      </c>
      <c r="D499" s="2" t="s">
        <v>41</v>
      </c>
      <c r="E499" s="3" t="n">
        <v>45931</v>
      </c>
      <c r="F499" s="2" t="n">
        <v>13</v>
      </c>
      <c r="G499" s="4" t="n">
        <v>19.99</v>
      </c>
      <c r="H499" s="4" t="n">
        <v>9.46</v>
      </c>
      <c r="I499" s="4" t="n">
        <f aca="false">F499*G499</f>
        <v>259.87</v>
      </c>
      <c r="J499" s="4" t="n">
        <f aca="false">F499*H499</f>
        <v>122.98</v>
      </c>
      <c r="K499" s="4" t="n">
        <f aca="false">I499-J499</f>
        <v>136.89</v>
      </c>
      <c r="L499" s="5" t="n">
        <f aca="false">IFERROR(K499/I499,0)</f>
        <v>0.526763381690845</v>
      </c>
    </row>
    <row r="500" customFormat="false" ht="15" hidden="false" customHeight="false" outlineLevel="0" collapsed="false">
      <c r="A500" s="2" t="s">
        <v>47</v>
      </c>
      <c r="B500" s="2" t="s">
        <v>48</v>
      </c>
      <c r="C500" s="2" t="s">
        <v>38</v>
      </c>
      <c r="D500" s="2" t="s">
        <v>42</v>
      </c>
      <c r="E500" s="3" t="n">
        <v>45931</v>
      </c>
      <c r="F500" s="2" t="n">
        <v>11</v>
      </c>
      <c r="G500" s="4" t="n">
        <v>16.99</v>
      </c>
      <c r="H500" s="4" t="n">
        <v>8.44</v>
      </c>
      <c r="I500" s="4" t="n">
        <f aca="false">F500*G500</f>
        <v>186.89</v>
      </c>
      <c r="J500" s="4" t="n">
        <f aca="false">F500*H500</f>
        <v>92.84</v>
      </c>
      <c r="K500" s="4" t="n">
        <f aca="false">I500-J500</f>
        <v>94.05</v>
      </c>
      <c r="L500" s="5" t="n">
        <f aca="false">IFERROR(K500/I500,0)</f>
        <v>0.503237198351972</v>
      </c>
    </row>
    <row r="501" customFormat="false" ht="15" hidden="false" customHeight="false" outlineLevel="0" collapsed="false">
      <c r="A501" s="2" t="s">
        <v>47</v>
      </c>
      <c r="B501" s="2" t="s">
        <v>48</v>
      </c>
      <c r="C501" s="2" t="s">
        <v>38</v>
      </c>
      <c r="D501" s="2" t="s">
        <v>43</v>
      </c>
      <c r="E501" s="3" t="n">
        <v>45931</v>
      </c>
      <c r="F501" s="2" t="n">
        <v>17</v>
      </c>
      <c r="G501" s="4" t="n">
        <v>24.99</v>
      </c>
      <c r="H501" s="4" t="n">
        <v>12.61</v>
      </c>
      <c r="I501" s="4" t="n">
        <f aca="false">F501*G501</f>
        <v>424.83</v>
      </c>
      <c r="J501" s="4" t="n">
        <f aca="false">F501*H501</f>
        <v>214.37</v>
      </c>
      <c r="K501" s="4" t="n">
        <f aca="false">I501-J501</f>
        <v>210.46</v>
      </c>
      <c r="L501" s="5" t="n">
        <f aca="false">IFERROR(K501/I501,0)</f>
        <v>0.495398159263705</v>
      </c>
    </row>
    <row r="502" customFormat="false" ht="15" hidden="false" customHeight="false" outlineLevel="0" collapsed="false">
      <c r="A502" s="2" t="s">
        <v>47</v>
      </c>
      <c r="B502" s="2" t="s">
        <v>49</v>
      </c>
      <c r="C502" s="2" t="s">
        <v>14</v>
      </c>
      <c r="D502" s="2" t="s">
        <v>15</v>
      </c>
      <c r="E502" s="3" t="n">
        <v>45931</v>
      </c>
      <c r="F502" s="2" t="n">
        <v>17</v>
      </c>
      <c r="G502" s="4" t="n">
        <v>69.99</v>
      </c>
      <c r="H502" s="4" t="n">
        <v>33.6</v>
      </c>
      <c r="I502" s="4" t="n">
        <f aca="false">F502*G502</f>
        <v>1189.83</v>
      </c>
      <c r="J502" s="4" t="n">
        <f aca="false">F502*H502</f>
        <v>571.2</v>
      </c>
      <c r="K502" s="4" t="n">
        <f aca="false">I502-J502</f>
        <v>618.63</v>
      </c>
      <c r="L502" s="5" t="n">
        <f aca="false">IFERROR(K502/I502,0)</f>
        <v>0.519931418774111</v>
      </c>
    </row>
    <row r="503" customFormat="false" ht="15" hidden="false" customHeight="false" outlineLevel="0" collapsed="false">
      <c r="A503" s="2" t="s">
        <v>47</v>
      </c>
      <c r="B503" s="2" t="s">
        <v>49</v>
      </c>
      <c r="C503" s="2" t="s">
        <v>14</v>
      </c>
      <c r="D503" s="2" t="s">
        <v>16</v>
      </c>
      <c r="E503" s="3" t="n">
        <v>45931</v>
      </c>
      <c r="F503" s="2" t="n">
        <v>13</v>
      </c>
      <c r="G503" s="4" t="n">
        <v>19.99</v>
      </c>
      <c r="H503" s="4" t="n">
        <v>9.22</v>
      </c>
      <c r="I503" s="4" t="n">
        <f aca="false">F503*G503</f>
        <v>259.87</v>
      </c>
      <c r="J503" s="4" t="n">
        <f aca="false">F503*H503</f>
        <v>119.86</v>
      </c>
      <c r="K503" s="4" t="n">
        <f aca="false">I503-J503</f>
        <v>140.01</v>
      </c>
      <c r="L503" s="5" t="n">
        <f aca="false">IFERROR(K503/I503,0)</f>
        <v>0.538769384692346</v>
      </c>
    </row>
    <row r="504" customFormat="false" ht="15" hidden="false" customHeight="false" outlineLevel="0" collapsed="false">
      <c r="A504" s="2" t="s">
        <v>47</v>
      </c>
      <c r="B504" s="2" t="s">
        <v>49</v>
      </c>
      <c r="C504" s="2" t="s">
        <v>14</v>
      </c>
      <c r="D504" s="2" t="s">
        <v>17</v>
      </c>
      <c r="E504" s="3" t="n">
        <v>45931</v>
      </c>
      <c r="F504" s="2" t="n">
        <v>29</v>
      </c>
      <c r="G504" s="4" t="n">
        <v>79.99</v>
      </c>
      <c r="H504" s="4" t="n">
        <v>40.08</v>
      </c>
      <c r="I504" s="4" t="n">
        <f aca="false">F504*G504</f>
        <v>2319.71</v>
      </c>
      <c r="J504" s="4" t="n">
        <f aca="false">F504*H504</f>
        <v>1162.32</v>
      </c>
      <c r="K504" s="4" t="n">
        <f aca="false">I504-J504</f>
        <v>1157.39</v>
      </c>
      <c r="L504" s="5" t="n">
        <f aca="false">IFERROR(K504/I504,0)</f>
        <v>0.498937367170896</v>
      </c>
    </row>
    <row r="505" customFormat="false" ht="15" hidden="false" customHeight="false" outlineLevel="0" collapsed="false">
      <c r="A505" s="2" t="s">
        <v>47</v>
      </c>
      <c r="B505" s="2" t="s">
        <v>49</v>
      </c>
      <c r="C505" s="2" t="s">
        <v>14</v>
      </c>
      <c r="D505" s="2" t="s">
        <v>18</v>
      </c>
      <c r="E505" s="3" t="n">
        <v>45931</v>
      </c>
      <c r="F505" s="2" t="n">
        <v>15</v>
      </c>
      <c r="G505" s="4" t="n">
        <v>34.99</v>
      </c>
      <c r="H505" s="4" t="n">
        <v>14.42</v>
      </c>
      <c r="I505" s="4" t="n">
        <f aca="false">F505*G505</f>
        <v>524.85</v>
      </c>
      <c r="J505" s="4" t="n">
        <f aca="false">F505*H505</f>
        <v>216.3</v>
      </c>
      <c r="K505" s="4" t="n">
        <f aca="false">I505-J505</f>
        <v>308.55</v>
      </c>
      <c r="L505" s="5" t="n">
        <f aca="false">IFERROR(K505/I505,0)</f>
        <v>0.587882252072021</v>
      </c>
    </row>
    <row r="506" customFormat="false" ht="15" hidden="false" customHeight="false" outlineLevel="0" collapsed="false">
      <c r="A506" s="2" t="s">
        <v>47</v>
      </c>
      <c r="B506" s="2" t="s">
        <v>49</v>
      </c>
      <c r="C506" s="2" t="s">
        <v>14</v>
      </c>
      <c r="D506" s="2" t="s">
        <v>19</v>
      </c>
      <c r="E506" s="3" t="n">
        <v>45931</v>
      </c>
      <c r="F506" s="2" t="n">
        <v>15</v>
      </c>
      <c r="G506" s="4" t="n">
        <v>54.99</v>
      </c>
      <c r="H506" s="4" t="n">
        <v>24.47</v>
      </c>
      <c r="I506" s="4" t="n">
        <f aca="false">F506*G506</f>
        <v>824.85</v>
      </c>
      <c r="J506" s="4" t="n">
        <f aca="false">F506*H506</f>
        <v>367.05</v>
      </c>
      <c r="K506" s="4" t="n">
        <f aca="false">I506-J506</f>
        <v>457.8</v>
      </c>
      <c r="L506" s="5" t="n">
        <f aca="false">IFERROR(K506/I506,0)</f>
        <v>0.555010001818513</v>
      </c>
    </row>
    <row r="507" customFormat="false" ht="15" hidden="false" customHeight="false" outlineLevel="0" collapsed="false">
      <c r="A507" s="2" t="s">
        <v>47</v>
      </c>
      <c r="B507" s="2" t="s">
        <v>49</v>
      </c>
      <c r="C507" s="2" t="s">
        <v>20</v>
      </c>
      <c r="D507" s="2" t="s">
        <v>21</v>
      </c>
      <c r="E507" s="3" t="n">
        <v>45931</v>
      </c>
      <c r="F507" s="2" t="n">
        <v>16</v>
      </c>
      <c r="G507" s="4" t="n">
        <v>44.99</v>
      </c>
      <c r="H507" s="4" t="n">
        <v>20.53</v>
      </c>
      <c r="I507" s="4" t="n">
        <f aca="false">F507*G507</f>
        <v>719.84</v>
      </c>
      <c r="J507" s="4" t="n">
        <f aca="false">F507*H507</f>
        <v>328.48</v>
      </c>
      <c r="K507" s="4" t="n">
        <f aca="false">I507-J507</f>
        <v>391.36</v>
      </c>
      <c r="L507" s="5" t="n">
        <f aca="false">IFERROR(K507/I507,0)</f>
        <v>0.543676372527228</v>
      </c>
    </row>
    <row r="508" customFormat="false" ht="15" hidden="false" customHeight="false" outlineLevel="0" collapsed="false">
      <c r="A508" s="2" t="s">
        <v>47</v>
      </c>
      <c r="B508" s="2" t="s">
        <v>49</v>
      </c>
      <c r="C508" s="2" t="s">
        <v>20</v>
      </c>
      <c r="D508" s="2" t="s">
        <v>22</v>
      </c>
      <c r="E508" s="3" t="n">
        <v>45931</v>
      </c>
      <c r="F508" s="2" t="n">
        <v>16</v>
      </c>
      <c r="G508" s="4" t="n">
        <v>14.99</v>
      </c>
      <c r="H508" s="4" t="n">
        <v>5.83</v>
      </c>
      <c r="I508" s="4" t="n">
        <f aca="false">F508*G508</f>
        <v>239.84</v>
      </c>
      <c r="J508" s="4" t="n">
        <f aca="false">F508*H508</f>
        <v>93.28</v>
      </c>
      <c r="K508" s="4" t="n">
        <f aca="false">I508-J508</f>
        <v>146.56</v>
      </c>
      <c r="L508" s="5" t="n">
        <f aca="false">IFERROR(K508/I508,0)</f>
        <v>0.611074049366244</v>
      </c>
    </row>
    <row r="509" customFormat="false" ht="15" hidden="false" customHeight="false" outlineLevel="0" collapsed="false">
      <c r="A509" s="2" t="s">
        <v>47</v>
      </c>
      <c r="B509" s="2" t="s">
        <v>49</v>
      </c>
      <c r="C509" s="2" t="s">
        <v>20</v>
      </c>
      <c r="D509" s="2" t="s">
        <v>23</v>
      </c>
      <c r="E509" s="3" t="n">
        <v>45931</v>
      </c>
      <c r="F509" s="2" t="n">
        <v>27</v>
      </c>
      <c r="G509" s="4" t="n">
        <v>39.99</v>
      </c>
      <c r="H509" s="4" t="n">
        <v>16.56</v>
      </c>
      <c r="I509" s="4" t="n">
        <f aca="false">F509*G509</f>
        <v>1079.73</v>
      </c>
      <c r="J509" s="4" t="n">
        <f aca="false">F509*H509</f>
        <v>447.12</v>
      </c>
      <c r="K509" s="4" t="n">
        <f aca="false">I509-J509</f>
        <v>632.61</v>
      </c>
      <c r="L509" s="5" t="n">
        <f aca="false">IFERROR(K509/I509,0)</f>
        <v>0.58589647411853</v>
      </c>
    </row>
    <row r="510" customFormat="false" ht="15" hidden="false" customHeight="false" outlineLevel="0" collapsed="false">
      <c r="A510" s="2" t="s">
        <v>47</v>
      </c>
      <c r="B510" s="2" t="s">
        <v>49</v>
      </c>
      <c r="C510" s="2" t="s">
        <v>20</v>
      </c>
      <c r="D510" s="2" t="s">
        <v>24</v>
      </c>
      <c r="E510" s="3" t="n">
        <v>45931</v>
      </c>
      <c r="F510" s="2" t="n">
        <v>12</v>
      </c>
      <c r="G510" s="4" t="n">
        <v>18.99</v>
      </c>
      <c r="H510" s="4" t="n">
        <v>7.51</v>
      </c>
      <c r="I510" s="4" t="n">
        <f aca="false">F510*G510</f>
        <v>227.88</v>
      </c>
      <c r="J510" s="4" t="n">
        <f aca="false">F510*H510</f>
        <v>90.12</v>
      </c>
      <c r="K510" s="4" t="n">
        <f aca="false">I510-J510</f>
        <v>137.76</v>
      </c>
      <c r="L510" s="5" t="n">
        <f aca="false">IFERROR(K510/I510,0)</f>
        <v>0.604528699315429</v>
      </c>
    </row>
    <row r="511" customFormat="false" ht="15" hidden="false" customHeight="false" outlineLevel="0" collapsed="false">
      <c r="A511" s="2" t="s">
        <v>47</v>
      </c>
      <c r="B511" s="2" t="s">
        <v>49</v>
      </c>
      <c r="C511" s="2" t="s">
        <v>20</v>
      </c>
      <c r="D511" s="2" t="s">
        <v>25</v>
      </c>
      <c r="E511" s="3" t="n">
        <v>45931</v>
      </c>
      <c r="F511" s="2" t="n">
        <v>21</v>
      </c>
      <c r="G511" s="4" t="n">
        <v>42.99</v>
      </c>
      <c r="H511" s="4" t="n">
        <v>15.77</v>
      </c>
      <c r="I511" s="4" t="n">
        <f aca="false">F511*G511</f>
        <v>902.79</v>
      </c>
      <c r="J511" s="4" t="n">
        <f aca="false">F511*H511</f>
        <v>331.17</v>
      </c>
      <c r="K511" s="4" t="n">
        <f aca="false">I511-J511</f>
        <v>571.62</v>
      </c>
      <c r="L511" s="5" t="n">
        <f aca="false">IFERROR(K511/I511,0)</f>
        <v>0.633170504768551</v>
      </c>
    </row>
    <row r="512" customFormat="false" ht="15" hidden="false" customHeight="false" outlineLevel="0" collapsed="false">
      <c r="A512" s="2" t="s">
        <v>47</v>
      </c>
      <c r="B512" s="2" t="s">
        <v>49</v>
      </c>
      <c r="C512" s="2" t="s">
        <v>26</v>
      </c>
      <c r="D512" s="2" t="s">
        <v>27</v>
      </c>
      <c r="E512" s="3" t="n">
        <v>45931</v>
      </c>
      <c r="F512" s="2" t="n">
        <v>17</v>
      </c>
      <c r="G512" s="4" t="n">
        <v>44.99</v>
      </c>
      <c r="H512" s="4" t="n">
        <v>27.78</v>
      </c>
      <c r="I512" s="4" t="n">
        <f aca="false">F512*G512</f>
        <v>764.83</v>
      </c>
      <c r="J512" s="4" t="n">
        <f aca="false">F512*H512</f>
        <v>472.26</v>
      </c>
      <c r="K512" s="4" t="n">
        <f aca="false">I512-J512</f>
        <v>292.57</v>
      </c>
      <c r="L512" s="5" t="n">
        <f aca="false">IFERROR(K512/I512,0)</f>
        <v>0.382529450989109</v>
      </c>
    </row>
    <row r="513" customFormat="false" ht="15" hidden="false" customHeight="false" outlineLevel="0" collapsed="false">
      <c r="A513" s="2" t="s">
        <v>47</v>
      </c>
      <c r="B513" s="2" t="s">
        <v>49</v>
      </c>
      <c r="C513" s="2" t="s">
        <v>26</v>
      </c>
      <c r="D513" s="2" t="s">
        <v>28</v>
      </c>
      <c r="E513" s="3" t="n">
        <v>45931</v>
      </c>
      <c r="F513" s="2" t="n">
        <v>16</v>
      </c>
      <c r="G513" s="4" t="n">
        <v>34.99</v>
      </c>
      <c r="H513" s="4" t="n">
        <v>22.06</v>
      </c>
      <c r="I513" s="4" t="n">
        <f aca="false">F513*G513</f>
        <v>559.84</v>
      </c>
      <c r="J513" s="4" t="n">
        <f aca="false">F513*H513</f>
        <v>352.96</v>
      </c>
      <c r="K513" s="4" t="n">
        <f aca="false">I513-J513</f>
        <v>206.88</v>
      </c>
      <c r="L513" s="5" t="n">
        <f aca="false">IFERROR(K513/I513,0)</f>
        <v>0.369534152615033</v>
      </c>
    </row>
    <row r="514" customFormat="false" ht="15" hidden="false" customHeight="false" outlineLevel="0" collapsed="false">
      <c r="A514" s="2" t="s">
        <v>47</v>
      </c>
      <c r="B514" s="2" t="s">
        <v>49</v>
      </c>
      <c r="C514" s="2" t="s">
        <v>26</v>
      </c>
      <c r="D514" s="2" t="s">
        <v>29</v>
      </c>
      <c r="E514" s="3" t="n">
        <v>45931</v>
      </c>
      <c r="F514" s="2" t="n">
        <v>12</v>
      </c>
      <c r="G514" s="4" t="n">
        <v>119.99</v>
      </c>
      <c r="H514" s="4" t="n">
        <v>81.96</v>
      </c>
      <c r="I514" s="4" t="n">
        <f aca="false">F514*G514</f>
        <v>1439.88</v>
      </c>
      <c r="J514" s="4" t="n">
        <f aca="false">F514*H514</f>
        <v>983.52</v>
      </c>
      <c r="K514" s="4" t="n">
        <f aca="false">I514-J514</f>
        <v>456.36</v>
      </c>
      <c r="L514" s="5" t="n">
        <f aca="false">IFERROR(K514/I514,0)</f>
        <v>0.316943078589882</v>
      </c>
    </row>
    <row r="515" customFormat="false" ht="15" hidden="false" customHeight="false" outlineLevel="0" collapsed="false">
      <c r="A515" s="2" t="s">
        <v>47</v>
      </c>
      <c r="B515" s="2" t="s">
        <v>49</v>
      </c>
      <c r="C515" s="2" t="s">
        <v>26</v>
      </c>
      <c r="D515" s="2" t="s">
        <v>30</v>
      </c>
      <c r="E515" s="3" t="n">
        <v>45931</v>
      </c>
      <c r="F515" s="2" t="n">
        <v>15</v>
      </c>
      <c r="G515" s="4" t="n">
        <v>24.99</v>
      </c>
      <c r="H515" s="4" t="n">
        <v>15.28</v>
      </c>
      <c r="I515" s="4" t="n">
        <f aca="false">F515*G515</f>
        <v>374.85</v>
      </c>
      <c r="J515" s="4" t="n">
        <f aca="false">F515*H515</f>
        <v>229.2</v>
      </c>
      <c r="K515" s="4" t="n">
        <f aca="false">I515-J515</f>
        <v>145.65</v>
      </c>
      <c r="L515" s="5" t="n">
        <f aca="false">IFERROR(K515/I515,0)</f>
        <v>0.388555422168868</v>
      </c>
    </row>
    <row r="516" customFormat="false" ht="15" hidden="false" customHeight="false" outlineLevel="0" collapsed="false">
      <c r="A516" s="2" t="s">
        <v>47</v>
      </c>
      <c r="B516" s="2" t="s">
        <v>49</v>
      </c>
      <c r="C516" s="2" t="s">
        <v>26</v>
      </c>
      <c r="D516" s="2" t="s">
        <v>31</v>
      </c>
      <c r="E516" s="3" t="n">
        <v>45931</v>
      </c>
      <c r="F516" s="2" t="n">
        <v>16</v>
      </c>
      <c r="G516" s="4" t="n">
        <v>59.99</v>
      </c>
      <c r="H516" s="4" t="n">
        <v>39.16</v>
      </c>
      <c r="I516" s="4" t="n">
        <f aca="false">F516*G516</f>
        <v>959.84</v>
      </c>
      <c r="J516" s="4" t="n">
        <f aca="false">F516*H516</f>
        <v>626.56</v>
      </c>
      <c r="K516" s="4" t="n">
        <f aca="false">I516-J516</f>
        <v>333.28</v>
      </c>
      <c r="L516" s="5" t="n">
        <f aca="false">IFERROR(K516/I516,0)</f>
        <v>0.347224537422904</v>
      </c>
    </row>
    <row r="517" customFormat="false" ht="15" hidden="false" customHeight="false" outlineLevel="0" collapsed="false">
      <c r="A517" s="2" t="s">
        <v>47</v>
      </c>
      <c r="B517" s="2" t="s">
        <v>49</v>
      </c>
      <c r="C517" s="2" t="s">
        <v>32</v>
      </c>
      <c r="D517" s="2" t="s">
        <v>33</v>
      </c>
      <c r="E517" s="3" t="n">
        <v>45931</v>
      </c>
      <c r="F517" s="2" t="n">
        <v>27</v>
      </c>
      <c r="G517" s="4" t="n">
        <v>49.99</v>
      </c>
      <c r="H517" s="4" t="n">
        <v>36.16</v>
      </c>
      <c r="I517" s="4" t="n">
        <f aca="false">F517*G517</f>
        <v>1349.73</v>
      </c>
      <c r="J517" s="4" t="n">
        <f aca="false">F517*H517</f>
        <v>976.32</v>
      </c>
      <c r="K517" s="4" t="n">
        <f aca="false">I517-J517</f>
        <v>373.41</v>
      </c>
      <c r="L517" s="5" t="n">
        <f aca="false">IFERROR(K517/I517,0)</f>
        <v>0.276655331066213</v>
      </c>
    </row>
    <row r="518" customFormat="false" ht="15" hidden="false" customHeight="false" outlineLevel="0" collapsed="false">
      <c r="A518" s="2" t="s">
        <v>47</v>
      </c>
      <c r="B518" s="2" t="s">
        <v>49</v>
      </c>
      <c r="C518" s="2" t="s">
        <v>32</v>
      </c>
      <c r="D518" s="2" t="s">
        <v>34</v>
      </c>
      <c r="E518" s="3" t="n">
        <v>45931</v>
      </c>
      <c r="F518" s="2" t="n">
        <v>19</v>
      </c>
      <c r="G518" s="4" t="n">
        <v>27.99</v>
      </c>
      <c r="H518" s="4" t="n">
        <v>20.03</v>
      </c>
      <c r="I518" s="4" t="n">
        <f aca="false">F518*G518</f>
        <v>531.81</v>
      </c>
      <c r="J518" s="4" t="n">
        <f aca="false">F518*H518</f>
        <v>380.57</v>
      </c>
      <c r="K518" s="4" t="n">
        <f aca="false">I518-J518</f>
        <v>151.24</v>
      </c>
      <c r="L518" s="5" t="n">
        <f aca="false">IFERROR(K518/I518,0)</f>
        <v>0.284387281171847</v>
      </c>
    </row>
    <row r="519" customFormat="false" ht="15" hidden="false" customHeight="false" outlineLevel="0" collapsed="false">
      <c r="A519" s="2" t="s">
        <v>47</v>
      </c>
      <c r="B519" s="2" t="s">
        <v>49</v>
      </c>
      <c r="C519" s="2" t="s">
        <v>32</v>
      </c>
      <c r="D519" s="2" t="s">
        <v>35</v>
      </c>
      <c r="E519" s="3" t="n">
        <v>45931</v>
      </c>
      <c r="F519" s="2" t="n">
        <v>17</v>
      </c>
      <c r="G519" s="4" t="n">
        <v>64.99</v>
      </c>
      <c r="H519" s="4" t="n">
        <v>45.92</v>
      </c>
      <c r="I519" s="4" t="n">
        <f aca="false">F519*G519</f>
        <v>1104.83</v>
      </c>
      <c r="J519" s="4" t="n">
        <f aca="false">F519*H519</f>
        <v>780.64</v>
      </c>
      <c r="K519" s="4" t="n">
        <f aca="false">I519-J519</f>
        <v>324.19</v>
      </c>
      <c r="L519" s="5" t="n">
        <f aca="false">IFERROR(K519/I519,0)</f>
        <v>0.293429758424373</v>
      </c>
    </row>
    <row r="520" customFormat="false" ht="15" hidden="false" customHeight="false" outlineLevel="0" collapsed="false">
      <c r="A520" s="2" t="s">
        <v>47</v>
      </c>
      <c r="B520" s="2" t="s">
        <v>49</v>
      </c>
      <c r="C520" s="2" t="s">
        <v>32</v>
      </c>
      <c r="D520" s="2" t="s">
        <v>36</v>
      </c>
      <c r="E520" s="3" t="n">
        <v>45931</v>
      </c>
      <c r="F520" s="2" t="n">
        <v>21</v>
      </c>
      <c r="G520" s="4" t="n">
        <v>22.99</v>
      </c>
      <c r="H520" s="4" t="n">
        <v>16.72</v>
      </c>
      <c r="I520" s="4" t="n">
        <f aca="false">F520*G520</f>
        <v>482.79</v>
      </c>
      <c r="J520" s="4" t="n">
        <f aca="false">F520*H520</f>
        <v>351.12</v>
      </c>
      <c r="K520" s="4" t="n">
        <f aca="false">I520-J520</f>
        <v>131.67</v>
      </c>
      <c r="L520" s="5" t="n">
        <f aca="false">IFERROR(K520/I520,0)</f>
        <v>0.272727272727273</v>
      </c>
    </row>
    <row r="521" customFormat="false" ht="15" hidden="false" customHeight="false" outlineLevel="0" collapsed="false">
      <c r="A521" s="2" t="s">
        <v>47</v>
      </c>
      <c r="B521" s="2" t="s">
        <v>49</v>
      </c>
      <c r="C521" s="2" t="s">
        <v>32</v>
      </c>
      <c r="D521" s="2" t="s">
        <v>37</v>
      </c>
      <c r="E521" s="3" t="n">
        <v>45931</v>
      </c>
      <c r="F521" s="2" t="n">
        <v>27</v>
      </c>
      <c r="G521" s="4" t="n">
        <v>29.99</v>
      </c>
      <c r="H521" s="4" t="n">
        <v>20.19</v>
      </c>
      <c r="I521" s="4" t="n">
        <f aca="false">F521*G521</f>
        <v>809.73</v>
      </c>
      <c r="J521" s="4" t="n">
        <f aca="false">F521*H521</f>
        <v>545.13</v>
      </c>
      <c r="K521" s="4" t="n">
        <f aca="false">I521-J521</f>
        <v>264.6</v>
      </c>
      <c r="L521" s="5" t="n">
        <f aca="false">IFERROR(K521/I521,0)</f>
        <v>0.326775591863955</v>
      </c>
    </row>
    <row r="522" customFormat="false" ht="15" hidden="false" customHeight="false" outlineLevel="0" collapsed="false">
      <c r="A522" s="2" t="s">
        <v>47</v>
      </c>
      <c r="B522" s="2" t="s">
        <v>49</v>
      </c>
      <c r="C522" s="2" t="s">
        <v>38</v>
      </c>
      <c r="D522" s="2" t="s">
        <v>39</v>
      </c>
      <c r="E522" s="3" t="n">
        <v>45931</v>
      </c>
      <c r="F522" s="2" t="n">
        <v>12</v>
      </c>
      <c r="G522" s="4" t="n">
        <v>129.99</v>
      </c>
      <c r="H522" s="4" t="n">
        <v>76.05</v>
      </c>
      <c r="I522" s="4" t="n">
        <f aca="false">F522*G522</f>
        <v>1559.88</v>
      </c>
      <c r="J522" s="4" t="n">
        <f aca="false">F522*H522</f>
        <v>912.6</v>
      </c>
      <c r="K522" s="4" t="n">
        <f aca="false">I522-J522</f>
        <v>647.28</v>
      </c>
      <c r="L522" s="5" t="n">
        <f aca="false">IFERROR(K522/I522,0)</f>
        <v>0.414954996538195</v>
      </c>
    </row>
    <row r="523" customFormat="false" ht="15" hidden="false" customHeight="false" outlineLevel="0" collapsed="false">
      <c r="A523" s="2" t="s">
        <v>47</v>
      </c>
      <c r="B523" s="2" t="s">
        <v>49</v>
      </c>
      <c r="C523" s="2" t="s">
        <v>38</v>
      </c>
      <c r="D523" s="2" t="s">
        <v>40</v>
      </c>
      <c r="E523" s="3" t="n">
        <v>45931</v>
      </c>
      <c r="F523" s="2" t="n">
        <v>25</v>
      </c>
      <c r="G523" s="4" t="n">
        <v>74.99</v>
      </c>
      <c r="H523" s="4" t="n">
        <v>41.6</v>
      </c>
      <c r="I523" s="4" t="n">
        <f aca="false">F523*G523</f>
        <v>1874.75</v>
      </c>
      <c r="J523" s="4" t="n">
        <f aca="false">F523*H523</f>
        <v>1040</v>
      </c>
      <c r="K523" s="4" t="n">
        <f aca="false">I523-J523</f>
        <v>834.75</v>
      </c>
      <c r="L523" s="5" t="n">
        <f aca="false">IFERROR(K523/I523,0)</f>
        <v>0.445259367915722</v>
      </c>
    </row>
    <row r="524" customFormat="false" ht="15" hidden="false" customHeight="false" outlineLevel="0" collapsed="false">
      <c r="A524" s="2" t="s">
        <v>47</v>
      </c>
      <c r="B524" s="2" t="s">
        <v>49</v>
      </c>
      <c r="C524" s="2" t="s">
        <v>38</v>
      </c>
      <c r="D524" s="2" t="s">
        <v>41</v>
      </c>
      <c r="E524" s="3" t="n">
        <v>45931</v>
      </c>
      <c r="F524" s="2" t="n">
        <v>13</v>
      </c>
      <c r="G524" s="4" t="n">
        <v>19.99</v>
      </c>
      <c r="H524" s="4" t="n">
        <v>9.78</v>
      </c>
      <c r="I524" s="4" t="n">
        <f aca="false">F524*G524</f>
        <v>259.87</v>
      </c>
      <c r="J524" s="4" t="n">
        <f aca="false">F524*H524</f>
        <v>127.14</v>
      </c>
      <c r="K524" s="4" t="n">
        <f aca="false">I524-J524</f>
        <v>132.73</v>
      </c>
      <c r="L524" s="5" t="n">
        <f aca="false">IFERROR(K524/I524,0)</f>
        <v>0.510755377688845</v>
      </c>
    </row>
    <row r="525" customFormat="false" ht="15" hidden="false" customHeight="false" outlineLevel="0" collapsed="false">
      <c r="A525" s="2" t="s">
        <v>47</v>
      </c>
      <c r="B525" s="2" t="s">
        <v>49</v>
      </c>
      <c r="C525" s="2" t="s">
        <v>38</v>
      </c>
      <c r="D525" s="2" t="s">
        <v>42</v>
      </c>
      <c r="E525" s="3" t="n">
        <v>45931</v>
      </c>
      <c r="F525" s="2" t="n">
        <v>25</v>
      </c>
      <c r="G525" s="4" t="n">
        <v>16.99</v>
      </c>
      <c r="H525" s="4" t="n">
        <v>8.65</v>
      </c>
      <c r="I525" s="4" t="n">
        <f aca="false">F525*G525</f>
        <v>424.75</v>
      </c>
      <c r="J525" s="4" t="n">
        <f aca="false">F525*H525</f>
        <v>216.25</v>
      </c>
      <c r="K525" s="4" t="n">
        <f aca="false">I525-J525</f>
        <v>208.5</v>
      </c>
      <c r="L525" s="5" t="n">
        <f aca="false">IFERROR(K525/I525,0)</f>
        <v>0.490876986462625</v>
      </c>
    </row>
    <row r="526" customFormat="false" ht="15" hidden="false" customHeight="false" outlineLevel="0" collapsed="false">
      <c r="A526" s="2" t="s">
        <v>47</v>
      </c>
      <c r="B526" s="2" t="s">
        <v>49</v>
      </c>
      <c r="C526" s="2" t="s">
        <v>38</v>
      </c>
      <c r="D526" s="2" t="s">
        <v>43</v>
      </c>
      <c r="E526" s="3" t="n">
        <v>45931</v>
      </c>
      <c r="F526" s="2" t="n">
        <v>16</v>
      </c>
      <c r="G526" s="4" t="n">
        <v>24.99</v>
      </c>
      <c r="H526" s="4" t="n">
        <v>13.02</v>
      </c>
      <c r="I526" s="4" t="n">
        <f aca="false">F526*G526</f>
        <v>399.84</v>
      </c>
      <c r="J526" s="4" t="n">
        <f aca="false">F526*H526</f>
        <v>208.32</v>
      </c>
      <c r="K526" s="4" t="n">
        <f aca="false">I526-J526</f>
        <v>191.52</v>
      </c>
      <c r="L526" s="5" t="n">
        <f aca="false">IFERROR(K526/I526,0)</f>
        <v>0.478991596638655</v>
      </c>
    </row>
    <row r="527" customFormat="false" ht="15" hidden="false" customHeight="false" outlineLevel="0" collapsed="false">
      <c r="A527" s="2" t="s">
        <v>50</v>
      </c>
      <c r="B527" s="2" t="s">
        <v>51</v>
      </c>
      <c r="C527" s="2" t="s">
        <v>14</v>
      </c>
      <c r="D527" s="2" t="s">
        <v>15</v>
      </c>
      <c r="E527" s="3" t="n">
        <v>45931</v>
      </c>
      <c r="F527" s="2" t="n">
        <v>19</v>
      </c>
      <c r="G527" s="4" t="n">
        <v>69.99</v>
      </c>
      <c r="H527" s="4" t="n">
        <v>33.15</v>
      </c>
      <c r="I527" s="4" t="n">
        <f aca="false">F527*G527</f>
        <v>1329.81</v>
      </c>
      <c r="J527" s="4" t="n">
        <f aca="false">F527*H527</f>
        <v>629.85</v>
      </c>
      <c r="K527" s="4" t="n">
        <f aca="false">I527-J527</f>
        <v>699.96</v>
      </c>
      <c r="L527" s="5" t="n">
        <f aca="false">IFERROR(K527/I527,0)</f>
        <v>0.526360908701243</v>
      </c>
    </row>
    <row r="528" customFormat="false" ht="15" hidden="false" customHeight="false" outlineLevel="0" collapsed="false">
      <c r="A528" s="2" t="s">
        <v>50</v>
      </c>
      <c r="B528" s="2" t="s">
        <v>51</v>
      </c>
      <c r="C528" s="2" t="s">
        <v>14</v>
      </c>
      <c r="D528" s="2" t="s">
        <v>16</v>
      </c>
      <c r="E528" s="3" t="n">
        <v>45931</v>
      </c>
      <c r="F528" s="2" t="n">
        <v>7</v>
      </c>
      <c r="G528" s="4" t="n">
        <v>19.99</v>
      </c>
      <c r="H528" s="4" t="n">
        <v>9.11</v>
      </c>
      <c r="I528" s="4" t="n">
        <f aca="false">F528*G528</f>
        <v>139.93</v>
      </c>
      <c r="J528" s="4" t="n">
        <f aca="false">F528*H528</f>
        <v>63.77</v>
      </c>
      <c r="K528" s="4" t="n">
        <f aca="false">I528-J528</f>
        <v>76.16</v>
      </c>
      <c r="L528" s="5" t="n">
        <f aca="false">IFERROR(K528/I528,0)</f>
        <v>0.544272136068034</v>
      </c>
    </row>
    <row r="529" customFormat="false" ht="15" hidden="false" customHeight="false" outlineLevel="0" collapsed="false">
      <c r="A529" s="2" t="s">
        <v>50</v>
      </c>
      <c r="B529" s="2" t="s">
        <v>51</v>
      </c>
      <c r="C529" s="2" t="s">
        <v>14</v>
      </c>
      <c r="D529" s="2" t="s">
        <v>17</v>
      </c>
      <c r="E529" s="3" t="n">
        <v>45931</v>
      </c>
      <c r="F529" s="2" t="n">
        <v>12</v>
      </c>
      <c r="G529" s="4" t="n">
        <v>79.99</v>
      </c>
      <c r="H529" s="4" t="n">
        <v>38.98</v>
      </c>
      <c r="I529" s="4" t="n">
        <f aca="false">F529*G529</f>
        <v>959.88</v>
      </c>
      <c r="J529" s="4" t="n">
        <f aca="false">F529*H529</f>
        <v>467.76</v>
      </c>
      <c r="K529" s="4" t="n">
        <f aca="false">I529-J529</f>
        <v>492.12</v>
      </c>
      <c r="L529" s="5" t="n">
        <f aca="false">IFERROR(K529/I529,0)</f>
        <v>0.512689086135767</v>
      </c>
    </row>
    <row r="530" customFormat="false" ht="15" hidden="false" customHeight="false" outlineLevel="0" collapsed="false">
      <c r="A530" s="2" t="s">
        <v>50</v>
      </c>
      <c r="B530" s="2" t="s">
        <v>51</v>
      </c>
      <c r="C530" s="2" t="s">
        <v>14</v>
      </c>
      <c r="D530" s="2" t="s">
        <v>18</v>
      </c>
      <c r="E530" s="3" t="n">
        <v>45931</v>
      </c>
      <c r="F530" s="2" t="n">
        <v>16</v>
      </c>
      <c r="G530" s="4" t="n">
        <v>34.99</v>
      </c>
      <c r="H530" s="4" t="n">
        <v>14.55</v>
      </c>
      <c r="I530" s="4" t="n">
        <f aca="false">F530*G530</f>
        <v>559.84</v>
      </c>
      <c r="J530" s="4" t="n">
        <f aca="false">F530*H530</f>
        <v>232.8</v>
      </c>
      <c r="K530" s="4" t="n">
        <f aca="false">I530-J530</f>
        <v>327.04</v>
      </c>
      <c r="L530" s="5" t="n">
        <f aca="false">IFERROR(K530/I530,0)</f>
        <v>0.584166904829951</v>
      </c>
    </row>
    <row r="531" customFormat="false" ht="15" hidden="false" customHeight="false" outlineLevel="0" collapsed="false">
      <c r="A531" s="2" t="s">
        <v>50</v>
      </c>
      <c r="B531" s="2" t="s">
        <v>51</v>
      </c>
      <c r="C531" s="2" t="s">
        <v>14</v>
      </c>
      <c r="D531" s="2" t="s">
        <v>19</v>
      </c>
      <c r="E531" s="3" t="n">
        <v>45931</v>
      </c>
      <c r="F531" s="2" t="n">
        <v>16</v>
      </c>
      <c r="G531" s="4" t="n">
        <v>54.99</v>
      </c>
      <c r="H531" s="4" t="n">
        <v>23.83</v>
      </c>
      <c r="I531" s="4" t="n">
        <f aca="false">F531*G531</f>
        <v>879.84</v>
      </c>
      <c r="J531" s="4" t="n">
        <f aca="false">F531*H531</f>
        <v>381.28</v>
      </c>
      <c r="K531" s="4" t="n">
        <f aca="false">I531-J531</f>
        <v>498.56</v>
      </c>
      <c r="L531" s="5" t="n">
        <f aca="false">IFERROR(K531/I531,0)</f>
        <v>0.566648481542099</v>
      </c>
    </row>
    <row r="532" customFormat="false" ht="15" hidden="false" customHeight="false" outlineLevel="0" collapsed="false">
      <c r="A532" s="2" t="s">
        <v>50</v>
      </c>
      <c r="B532" s="2" t="s">
        <v>51</v>
      </c>
      <c r="C532" s="2" t="s">
        <v>20</v>
      </c>
      <c r="D532" s="2" t="s">
        <v>21</v>
      </c>
      <c r="E532" s="3" t="n">
        <v>45931</v>
      </c>
      <c r="F532" s="2" t="n">
        <v>11</v>
      </c>
      <c r="G532" s="4" t="n">
        <v>44.99</v>
      </c>
      <c r="H532" s="4" t="n">
        <v>20.45</v>
      </c>
      <c r="I532" s="4" t="n">
        <f aca="false">F532*G532</f>
        <v>494.89</v>
      </c>
      <c r="J532" s="4" t="n">
        <f aca="false">F532*H532</f>
        <v>224.95</v>
      </c>
      <c r="K532" s="4" t="n">
        <f aca="false">I532-J532</f>
        <v>269.94</v>
      </c>
      <c r="L532" s="5" t="n">
        <f aca="false">IFERROR(K532/I532,0)</f>
        <v>0.545454545454546</v>
      </c>
    </row>
    <row r="533" customFormat="false" ht="15" hidden="false" customHeight="false" outlineLevel="0" collapsed="false">
      <c r="A533" s="2" t="s">
        <v>50</v>
      </c>
      <c r="B533" s="2" t="s">
        <v>51</v>
      </c>
      <c r="C533" s="2" t="s">
        <v>20</v>
      </c>
      <c r="D533" s="2" t="s">
        <v>22</v>
      </c>
      <c r="E533" s="3" t="n">
        <v>45931</v>
      </c>
      <c r="F533" s="2" t="n">
        <v>10</v>
      </c>
      <c r="G533" s="4" t="n">
        <v>14.99</v>
      </c>
      <c r="H533" s="4" t="n">
        <v>5.64</v>
      </c>
      <c r="I533" s="4" t="n">
        <f aca="false">F533*G533</f>
        <v>149.9</v>
      </c>
      <c r="J533" s="4" t="n">
        <f aca="false">F533*H533</f>
        <v>56.4</v>
      </c>
      <c r="K533" s="4" t="n">
        <f aca="false">I533-J533</f>
        <v>93.5</v>
      </c>
      <c r="L533" s="5" t="n">
        <f aca="false">IFERROR(K533/I533,0)</f>
        <v>0.623749166110741</v>
      </c>
    </row>
    <row r="534" customFormat="false" ht="15" hidden="false" customHeight="false" outlineLevel="0" collapsed="false">
      <c r="A534" s="2" t="s">
        <v>50</v>
      </c>
      <c r="B534" s="2" t="s">
        <v>51</v>
      </c>
      <c r="C534" s="2" t="s">
        <v>20</v>
      </c>
      <c r="D534" s="2" t="s">
        <v>23</v>
      </c>
      <c r="E534" s="3" t="n">
        <v>45931</v>
      </c>
      <c r="F534" s="2" t="n">
        <v>17</v>
      </c>
      <c r="G534" s="4" t="n">
        <v>39.99</v>
      </c>
      <c r="H534" s="4" t="n">
        <v>16.89</v>
      </c>
      <c r="I534" s="4" t="n">
        <f aca="false">F534*G534</f>
        <v>679.83</v>
      </c>
      <c r="J534" s="4" t="n">
        <f aca="false">F534*H534</f>
        <v>287.13</v>
      </c>
      <c r="K534" s="4" t="n">
        <f aca="false">I534-J534</f>
        <v>392.7</v>
      </c>
      <c r="L534" s="5" t="n">
        <f aca="false">IFERROR(K534/I534,0)</f>
        <v>0.577644411102776</v>
      </c>
    </row>
    <row r="535" customFormat="false" ht="15" hidden="false" customHeight="false" outlineLevel="0" collapsed="false">
      <c r="A535" s="2" t="s">
        <v>50</v>
      </c>
      <c r="B535" s="2" t="s">
        <v>51</v>
      </c>
      <c r="C535" s="2" t="s">
        <v>20</v>
      </c>
      <c r="D535" s="2" t="s">
        <v>24</v>
      </c>
      <c r="E535" s="3" t="n">
        <v>45931</v>
      </c>
      <c r="F535" s="2" t="n">
        <v>14</v>
      </c>
      <c r="G535" s="4" t="n">
        <v>18.99</v>
      </c>
      <c r="H535" s="4" t="n">
        <v>7.38</v>
      </c>
      <c r="I535" s="4" t="n">
        <f aca="false">F535*G535</f>
        <v>265.86</v>
      </c>
      <c r="J535" s="4" t="n">
        <f aca="false">F535*H535</f>
        <v>103.32</v>
      </c>
      <c r="K535" s="4" t="n">
        <f aca="false">I535-J535</f>
        <v>162.54</v>
      </c>
      <c r="L535" s="5" t="n">
        <f aca="false">IFERROR(K535/I535,0)</f>
        <v>0.611374407582938</v>
      </c>
    </row>
    <row r="536" customFormat="false" ht="15" hidden="false" customHeight="false" outlineLevel="0" collapsed="false">
      <c r="A536" s="2" t="s">
        <v>50</v>
      </c>
      <c r="B536" s="2" t="s">
        <v>51</v>
      </c>
      <c r="C536" s="2" t="s">
        <v>20</v>
      </c>
      <c r="D536" s="2" t="s">
        <v>25</v>
      </c>
      <c r="E536" s="3" t="n">
        <v>45931</v>
      </c>
      <c r="F536" s="2" t="n">
        <v>11</v>
      </c>
      <c r="G536" s="4" t="n">
        <v>42.99</v>
      </c>
      <c r="H536" s="4" t="n">
        <v>16.32</v>
      </c>
      <c r="I536" s="4" t="n">
        <f aca="false">F536*G536</f>
        <v>472.89</v>
      </c>
      <c r="J536" s="4" t="n">
        <f aca="false">F536*H536</f>
        <v>179.52</v>
      </c>
      <c r="K536" s="4" t="n">
        <f aca="false">I536-J536</f>
        <v>293.37</v>
      </c>
      <c r="L536" s="5" t="n">
        <f aca="false">IFERROR(K536/I536,0)</f>
        <v>0.620376831821354</v>
      </c>
    </row>
    <row r="537" customFormat="false" ht="15" hidden="false" customHeight="false" outlineLevel="0" collapsed="false">
      <c r="A537" s="2" t="s">
        <v>50</v>
      </c>
      <c r="B537" s="2" t="s">
        <v>51</v>
      </c>
      <c r="C537" s="2" t="s">
        <v>26</v>
      </c>
      <c r="D537" s="2" t="s">
        <v>27</v>
      </c>
      <c r="E537" s="3" t="n">
        <v>45931</v>
      </c>
      <c r="F537" s="2" t="n">
        <v>24</v>
      </c>
      <c r="G537" s="4" t="n">
        <v>44.99</v>
      </c>
      <c r="H537" s="4" t="n">
        <v>27.34</v>
      </c>
      <c r="I537" s="4" t="n">
        <f aca="false">F537*G537</f>
        <v>1079.76</v>
      </c>
      <c r="J537" s="4" t="n">
        <f aca="false">F537*H537</f>
        <v>656.16</v>
      </c>
      <c r="K537" s="4" t="n">
        <f aca="false">I537-J537</f>
        <v>423.6</v>
      </c>
      <c r="L537" s="5" t="n">
        <f aca="false">IFERROR(K537/I537,0)</f>
        <v>0.392309402089353</v>
      </c>
    </row>
    <row r="538" customFormat="false" ht="15" hidden="false" customHeight="false" outlineLevel="0" collapsed="false">
      <c r="A538" s="2" t="s">
        <v>50</v>
      </c>
      <c r="B538" s="2" t="s">
        <v>51</v>
      </c>
      <c r="C538" s="2" t="s">
        <v>26</v>
      </c>
      <c r="D538" s="2" t="s">
        <v>28</v>
      </c>
      <c r="E538" s="3" t="n">
        <v>45931</v>
      </c>
      <c r="F538" s="2" t="n">
        <v>16</v>
      </c>
      <c r="G538" s="4" t="n">
        <v>34.99</v>
      </c>
      <c r="H538" s="4" t="n">
        <v>22.57</v>
      </c>
      <c r="I538" s="4" t="n">
        <f aca="false">F538*G538</f>
        <v>559.84</v>
      </c>
      <c r="J538" s="4" t="n">
        <f aca="false">F538*H538</f>
        <v>361.12</v>
      </c>
      <c r="K538" s="4" t="n">
        <f aca="false">I538-J538</f>
        <v>198.72</v>
      </c>
      <c r="L538" s="5" t="n">
        <f aca="false">IFERROR(K538/I538,0)</f>
        <v>0.354958559588454</v>
      </c>
    </row>
    <row r="539" customFormat="false" ht="15" hidden="false" customHeight="false" outlineLevel="0" collapsed="false">
      <c r="A539" s="2" t="s">
        <v>50</v>
      </c>
      <c r="B539" s="2" t="s">
        <v>51</v>
      </c>
      <c r="C539" s="2" t="s">
        <v>26</v>
      </c>
      <c r="D539" s="2" t="s">
        <v>29</v>
      </c>
      <c r="E539" s="3" t="n">
        <v>45931</v>
      </c>
      <c r="F539" s="2" t="n">
        <v>12</v>
      </c>
      <c r="G539" s="4" t="n">
        <v>119.99</v>
      </c>
      <c r="H539" s="4" t="n">
        <v>82.49</v>
      </c>
      <c r="I539" s="4" t="n">
        <f aca="false">F539*G539</f>
        <v>1439.88</v>
      </c>
      <c r="J539" s="4" t="n">
        <f aca="false">F539*H539</f>
        <v>989.88</v>
      </c>
      <c r="K539" s="4" t="n">
        <f aca="false">I539-J539</f>
        <v>450</v>
      </c>
      <c r="L539" s="5" t="n">
        <f aca="false">IFERROR(K539/I539,0)</f>
        <v>0.312526043836986</v>
      </c>
    </row>
    <row r="540" customFormat="false" ht="15" hidden="false" customHeight="false" outlineLevel="0" collapsed="false">
      <c r="A540" s="2" t="s">
        <v>50</v>
      </c>
      <c r="B540" s="2" t="s">
        <v>51</v>
      </c>
      <c r="C540" s="2" t="s">
        <v>26</v>
      </c>
      <c r="D540" s="2" t="s">
        <v>30</v>
      </c>
      <c r="E540" s="3" t="n">
        <v>45931</v>
      </c>
      <c r="F540" s="2" t="n">
        <v>12</v>
      </c>
      <c r="G540" s="4" t="n">
        <v>24.99</v>
      </c>
      <c r="H540" s="4" t="n">
        <v>14.74</v>
      </c>
      <c r="I540" s="4" t="n">
        <f aca="false">F540*G540</f>
        <v>299.88</v>
      </c>
      <c r="J540" s="4" t="n">
        <f aca="false">F540*H540</f>
        <v>176.88</v>
      </c>
      <c r="K540" s="4" t="n">
        <f aca="false">I540-J540</f>
        <v>123</v>
      </c>
      <c r="L540" s="5" t="n">
        <f aca="false">IFERROR(K540/I540,0)</f>
        <v>0.410164065626251</v>
      </c>
    </row>
    <row r="541" customFormat="false" ht="15" hidden="false" customHeight="false" outlineLevel="0" collapsed="false">
      <c r="A541" s="2" t="s">
        <v>50</v>
      </c>
      <c r="B541" s="2" t="s">
        <v>51</v>
      </c>
      <c r="C541" s="2" t="s">
        <v>26</v>
      </c>
      <c r="D541" s="2" t="s">
        <v>31</v>
      </c>
      <c r="E541" s="3" t="n">
        <v>45931</v>
      </c>
      <c r="F541" s="2" t="n">
        <v>16</v>
      </c>
      <c r="G541" s="4" t="n">
        <v>59.99</v>
      </c>
      <c r="H541" s="4" t="n">
        <v>40.11</v>
      </c>
      <c r="I541" s="4" t="n">
        <f aca="false">F541*G541</f>
        <v>959.84</v>
      </c>
      <c r="J541" s="4" t="n">
        <f aca="false">F541*H541</f>
        <v>641.76</v>
      </c>
      <c r="K541" s="4" t="n">
        <f aca="false">I541-J541</f>
        <v>318.08</v>
      </c>
      <c r="L541" s="5" t="n">
        <f aca="false">IFERROR(K541/I541,0)</f>
        <v>0.331388564760794</v>
      </c>
    </row>
    <row r="542" customFormat="false" ht="15" hidden="false" customHeight="false" outlineLevel="0" collapsed="false">
      <c r="A542" s="2" t="s">
        <v>50</v>
      </c>
      <c r="B542" s="2" t="s">
        <v>51</v>
      </c>
      <c r="C542" s="2" t="s">
        <v>32</v>
      </c>
      <c r="D542" s="2" t="s">
        <v>33</v>
      </c>
      <c r="E542" s="3" t="n">
        <v>45931</v>
      </c>
      <c r="F542" s="2" t="n">
        <v>17</v>
      </c>
      <c r="G542" s="4" t="n">
        <v>49.99</v>
      </c>
      <c r="H542" s="4" t="n">
        <v>36.91</v>
      </c>
      <c r="I542" s="4" t="n">
        <f aca="false">F542*G542</f>
        <v>849.83</v>
      </c>
      <c r="J542" s="4" t="n">
        <f aca="false">F542*H542</f>
        <v>627.47</v>
      </c>
      <c r="K542" s="4" t="n">
        <f aca="false">I542-J542</f>
        <v>222.36</v>
      </c>
      <c r="L542" s="5" t="n">
        <f aca="false">IFERROR(K542/I542,0)</f>
        <v>0.261652330466093</v>
      </c>
    </row>
    <row r="543" customFormat="false" ht="15" hidden="false" customHeight="false" outlineLevel="0" collapsed="false">
      <c r="A543" s="2" t="s">
        <v>50</v>
      </c>
      <c r="B543" s="2" t="s">
        <v>51</v>
      </c>
      <c r="C543" s="2" t="s">
        <v>32</v>
      </c>
      <c r="D543" s="2" t="s">
        <v>34</v>
      </c>
      <c r="E543" s="3" t="n">
        <v>45931</v>
      </c>
      <c r="F543" s="2" t="n">
        <v>13</v>
      </c>
      <c r="G543" s="4" t="n">
        <v>27.99</v>
      </c>
      <c r="H543" s="4" t="n">
        <v>19.69</v>
      </c>
      <c r="I543" s="4" t="n">
        <f aca="false">F543*G543</f>
        <v>363.87</v>
      </c>
      <c r="J543" s="4" t="n">
        <f aca="false">F543*H543</f>
        <v>255.97</v>
      </c>
      <c r="K543" s="4" t="n">
        <f aca="false">I543-J543</f>
        <v>107.9</v>
      </c>
      <c r="L543" s="5" t="n">
        <f aca="false">IFERROR(K543/I543,0)</f>
        <v>0.296534476598785</v>
      </c>
    </row>
    <row r="544" customFormat="false" ht="15" hidden="false" customHeight="false" outlineLevel="0" collapsed="false">
      <c r="A544" s="2" t="s">
        <v>50</v>
      </c>
      <c r="B544" s="2" t="s">
        <v>51</v>
      </c>
      <c r="C544" s="2" t="s">
        <v>32</v>
      </c>
      <c r="D544" s="2" t="s">
        <v>35</v>
      </c>
      <c r="E544" s="3" t="n">
        <v>45931</v>
      </c>
      <c r="F544" s="2" t="n">
        <v>20</v>
      </c>
      <c r="G544" s="4" t="n">
        <v>64.99</v>
      </c>
      <c r="H544" s="4" t="n">
        <v>44.44</v>
      </c>
      <c r="I544" s="4" t="n">
        <f aca="false">F544*G544</f>
        <v>1299.8</v>
      </c>
      <c r="J544" s="4" t="n">
        <f aca="false">F544*H544</f>
        <v>888.8</v>
      </c>
      <c r="K544" s="4" t="n">
        <f aca="false">I544-J544</f>
        <v>411</v>
      </c>
      <c r="L544" s="5" t="n">
        <f aca="false">IFERROR(K544/I544,0)</f>
        <v>0.316202492691183</v>
      </c>
    </row>
    <row r="545" customFormat="false" ht="15" hidden="false" customHeight="false" outlineLevel="0" collapsed="false">
      <c r="A545" s="2" t="s">
        <v>50</v>
      </c>
      <c r="B545" s="2" t="s">
        <v>51</v>
      </c>
      <c r="C545" s="2" t="s">
        <v>32</v>
      </c>
      <c r="D545" s="2" t="s">
        <v>36</v>
      </c>
      <c r="E545" s="3" t="n">
        <v>45931</v>
      </c>
      <c r="F545" s="2" t="n">
        <v>14</v>
      </c>
      <c r="G545" s="4" t="n">
        <v>22.99</v>
      </c>
      <c r="H545" s="4" t="n">
        <v>16.59</v>
      </c>
      <c r="I545" s="4" t="n">
        <f aca="false">F545*G545</f>
        <v>321.86</v>
      </c>
      <c r="J545" s="4" t="n">
        <f aca="false">F545*H545</f>
        <v>232.26</v>
      </c>
      <c r="K545" s="4" t="n">
        <f aca="false">I545-J545</f>
        <v>89.6</v>
      </c>
      <c r="L545" s="5" t="n">
        <f aca="false">IFERROR(K545/I545,0)</f>
        <v>0.278381905176163</v>
      </c>
    </row>
    <row r="546" customFormat="false" ht="15" hidden="false" customHeight="false" outlineLevel="0" collapsed="false">
      <c r="A546" s="2" t="s">
        <v>50</v>
      </c>
      <c r="B546" s="2" t="s">
        <v>51</v>
      </c>
      <c r="C546" s="2" t="s">
        <v>32</v>
      </c>
      <c r="D546" s="2" t="s">
        <v>37</v>
      </c>
      <c r="E546" s="3" t="n">
        <v>45931</v>
      </c>
      <c r="F546" s="2" t="n">
        <v>19</v>
      </c>
      <c r="G546" s="4" t="n">
        <v>29.99</v>
      </c>
      <c r="H546" s="4" t="n">
        <v>20.46</v>
      </c>
      <c r="I546" s="4" t="n">
        <f aca="false">F546*G546</f>
        <v>569.81</v>
      </c>
      <c r="J546" s="4" t="n">
        <f aca="false">F546*H546</f>
        <v>388.74</v>
      </c>
      <c r="K546" s="4" t="n">
        <f aca="false">I546-J546</f>
        <v>181.07</v>
      </c>
      <c r="L546" s="5" t="n">
        <f aca="false">IFERROR(K546/I546,0)</f>
        <v>0.317772590863621</v>
      </c>
    </row>
    <row r="547" customFormat="false" ht="15" hidden="false" customHeight="false" outlineLevel="0" collapsed="false">
      <c r="A547" s="2" t="s">
        <v>50</v>
      </c>
      <c r="B547" s="2" t="s">
        <v>51</v>
      </c>
      <c r="C547" s="2" t="s">
        <v>38</v>
      </c>
      <c r="D547" s="2" t="s">
        <v>39</v>
      </c>
      <c r="E547" s="3" t="n">
        <v>45931</v>
      </c>
      <c r="F547" s="2" t="n">
        <v>4</v>
      </c>
      <c r="G547" s="4" t="n">
        <v>129.99</v>
      </c>
      <c r="H547" s="4" t="n">
        <v>76.83</v>
      </c>
      <c r="I547" s="4" t="n">
        <f aca="false">F547*G547</f>
        <v>519.96</v>
      </c>
      <c r="J547" s="4" t="n">
        <f aca="false">F547*H547</f>
        <v>307.32</v>
      </c>
      <c r="K547" s="4" t="n">
        <f aca="false">I547-J547</f>
        <v>212.64</v>
      </c>
      <c r="L547" s="5" t="n">
        <f aca="false">IFERROR(K547/I547,0)</f>
        <v>0.408954534964228</v>
      </c>
    </row>
    <row r="548" customFormat="false" ht="15" hidden="false" customHeight="false" outlineLevel="0" collapsed="false">
      <c r="A548" s="2" t="s">
        <v>50</v>
      </c>
      <c r="B548" s="2" t="s">
        <v>51</v>
      </c>
      <c r="C548" s="2" t="s">
        <v>38</v>
      </c>
      <c r="D548" s="2" t="s">
        <v>40</v>
      </c>
      <c r="E548" s="3" t="n">
        <v>45931</v>
      </c>
      <c r="F548" s="2" t="n">
        <v>3</v>
      </c>
      <c r="G548" s="4" t="n">
        <v>74.99</v>
      </c>
      <c r="H548" s="4" t="n">
        <v>41.15</v>
      </c>
      <c r="I548" s="4" t="n">
        <f aca="false">F548*G548</f>
        <v>224.97</v>
      </c>
      <c r="J548" s="4" t="n">
        <f aca="false">F548*H548</f>
        <v>123.45</v>
      </c>
      <c r="K548" s="4" t="n">
        <f aca="false">I548-J548</f>
        <v>101.52</v>
      </c>
      <c r="L548" s="5" t="n">
        <f aca="false">IFERROR(K548/I548,0)</f>
        <v>0.451260168022403</v>
      </c>
    </row>
    <row r="549" customFormat="false" ht="15" hidden="false" customHeight="false" outlineLevel="0" collapsed="false">
      <c r="A549" s="2" t="s">
        <v>50</v>
      </c>
      <c r="B549" s="2" t="s">
        <v>51</v>
      </c>
      <c r="C549" s="2" t="s">
        <v>38</v>
      </c>
      <c r="D549" s="2" t="s">
        <v>41</v>
      </c>
      <c r="E549" s="3" t="n">
        <v>45931</v>
      </c>
      <c r="F549" s="2" t="n">
        <v>5</v>
      </c>
      <c r="G549" s="4" t="n">
        <v>19.99</v>
      </c>
      <c r="H549" s="4" t="n">
        <v>9.35</v>
      </c>
      <c r="I549" s="4" t="n">
        <f aca="false">F549*G549</f>
        <v>99.95</v>
      </c>
      <c r="J549" s="4" t="n">
        <f aca="false">F549*H549</f>
        <v>46.75</v>
      </c>
      <c r="K549" s="4" t="n">
        <f aca="false">I549-J549</f>
        <v>53.2</v>
      </c>
      <c r="L549" s="5" t="n">
        <f aca="false">IFERROR(K549/I549,0)</f>
        <v>0.532266133066533</v>
      </c>
    </row>
    <row r="550" customFormat="false" ht="15" hidden="false" customHeight="false" outlineLevel="0" collapsed="false">
      <c r="A550" s="2" t="s">
        <v>50</v>
      </c>
      <c r="B550" s="2" t="s">
        <v>51</v>
      </c>
      <c r="C550" s="2" t="s">
        <v>38</v>
      </c>
      <c r="D550" s="2" t="s">
        <v>42</v>
      </c>
      <c r="E550" s="3" t="n">
        <v>45931</v>
      </c>
      <c r="F550" s="2" t="n">
        <v>5</v>
      </c>
      <c r="G550" s="4" t="n">
        <v>16.99</v>
      </c>
      <c r="H550" s="4" t="n">
        <v>8.39</v>
      </c>
      <c r="I550" s="4" t="n">
        <f aca="false">F550*G550</f>
        <v>84.95</v>
      </c>
      <c r="J550" s="4" t="n">
        <f aca="false">F550*H550</f>
        <v>41.95</v>
      </c>
      <c r="K550" s="4" t="n">
        <f aca="false">I550-J550</f>
        <v>43</v>
      </c>
      <c r="L550" s="5" t="n">
        <f aca="false">IFERROR(K550/I550,0)</f>
        <v>0.506180105944673</v>
      </c>
    </row>
    <row r="551" customFormat="false" ht="15" hidden="false" customHeight="false" outlineLevel="0" collapsed="false">
      <c r="A551" s="2" t="s">
        <v>50</v>
      </c>
      <c r="B551" s="2" t="s">
        <v>51</v>
      </c>
      <c r="C551" s="2" t="s">
        <v>38</v>
      </c>
      <c r="D551" s="2" t="s">
        <v>43</v>
      </c>
      <c r="E551" s="3" t="n">
        <v>45931</v>
      </c>
      <c r="F551" s="2" t="n">
        <v>2</v>
      </c>
      <c r="G551" s="4" t="n">
        <v>24.99</v>
      </c>
      <c r="H551" s="4" t="n">
        <v>13.18</v>
      </c>
      <c r="I551" s="4" t="n">
        <f aca="false">F551*G551</f>
        <v>49.98</v>
      </c>
      <c r="J551" s="4" t="n">
        <f aca="false">F551*H551</f>
        <v>26.36</v>
      </c>
      <c r="K551" s="4" t="n">
        <f aca="false">I551-J551</f>
        <v>23.62</v>
      </c>
      <c r="L551" s="5" t="n">
        <f aca="false">IFERROR(K551/I551,0)</f>
        <v>0.472589035614246</v>
      </c>
    </row>
    <row r="552" customFormat="false" ht="15" hidden="false" customHeight="false" outlineLevel="0" collapsed="false">
      <c r="A552" s="2" t="s">
        <v>52</v>
      </c>
      <c r="B552" s="2" t="s">
        <v>53</v>
      </c>
      <c r="C552" s="2" t="s">
        <v>14</v>
      </c>
      <c r="D552" s="2" t="s">
        <v>15</v>
      </c>
      <c r="E552" s="3" t="n">
        <v>45931</v>
      </c>
      <c r="F552" s="2" t="n">
        <v>14</v>
      </c>
      <c r="G552" s="4" t="n">
        <v>69.99</v>
      </c>
      <c r="H552" s="4" t="n">
        <v>33.58</v>
      </c>
      <c r="I552" s="4" t="n">
        <f aca="false">F552*G552</f>
        <v>979.86</v>
      </c>
      <c r="J552" s="4" t="n">
        <f aca="false">F552*H552</f>
        <v>470.12</v>
      </c>
      <c r="K552" s="4" t="n">
        <f aca="false">I552-J552</f>
        <v>509.74</v>
      </c>
      <c r="L552" s="5" t="n">
        <f aca="false">IFERROR(K552/I552,0)</f>
        <v>0.520217173881983</v>
      </c>
    </row>
    <row r="553" customFormat="false" ht="15" hidden="false" customHeight="false" outlineLevel="0" collapsed="false">
      <c r="A553" s="2" t="s">
        <v>52</v>
      </c>
      <c r="B553" s="2" t="s">
        <v>53</v>
      </c>
      <c r="C553" s="2" t="s">
        <v>14</v>
      </c>
      <c r="D553" s="2" t="s">
        <v>16</v>
      </c>
      <c r="E553" s="3" t="n">
        <v>45931</v>
      </c>
      <c r="F553" s="2" t="n">
        <v>20</v>
      </c>
      <c r="G553" s="4" t="n">
        <v>19.99</v>
      </c>
      <c r="H553" s="4" t="n">
        <v>8.89</v>
      </c>
      <c r="I553" s="4" t="n">
        <f aca="false">F553*G553</f>
        <v>399.8</v>
      </c>
      <c r="J553" s="4" t="n">
        <f aca="false">F553*H553</f>
        <v>177.8</v>
      </c>
      <c r="K553" s="4" t="n">
        <f aca="false">I553-J553</f>
        <v>222</v>
      </c>
      <c r="L553" s="5" t="n">
        <f aca="false">IFERROR(K553/I553,0)</f>
        <v>0.55527763881941</v>
      </c>
    </row>
    <row r="554" customFormat="false" ht="15" hidden="false" customHeight="false" outlineLevel="0" collapsed="false">
      <c r="A554" s="2" t="s">
        <v>52</v>
      </c>
      <c r="B554" s="2" t="s">
        <v>53</v>
      </c>
      <c r="C554" s="2" t="s">
        <v>14</v>
      </c>
      <c r="D554" s="2" t="s">
        <v>17</v>
      </c>
      <c r="E554" s="3" t="n">
        <v>45931</v>
      </c>
      <c r="F554" s="2" t="n">
        <v>15</v>
      </c>
      <c r="G554" s="4" t="n">
        <v>79.99</v>
      </c>
      <c r="H554" s="4" t="n">
        <v>40.37</v>
      </c>
      <c r="I554" s="4" t="n">
        <f aca="false">F554*G554</f>
        <v>1199.85</v>
      </c>
      <c r="J554" s="4" t="n">
        <f aca="false">F554*H554</f>
        <v>605.55</v>
      </c>
      <c r="K554" s="4" t="n">
        <f aca="false">I554-J554</f>
        <v>594.3</v>
      </c>
      <c r="L554" s="5" t="n">
        <f aca="false">IFERROR(K554/I554,0)</f>
        <v>0.495311913989249</v>
      </c>
    </row>
    <row r="555" customFormat="false" ht="15" hidden="false" customHeight="false" outlineLevel="0" collapsed="false">
      <c r="A555" s="2" t="s">
        <v>52</v>
      </c>
      <c r="B555" s="2" t="s">
        <v>53</v>
      </c>
      <c r="C555" s="2" t="s">
        <v>14</v>
      </c>
      <c r="D555" s="2" t="s">
        <v>18</v>
      </c>
      <c r="E555" s="3" t="n">
        <v>45931</v>
      </c>
      <c r="F555" s="2" t="n">
        <v>18</v>
      </c>
      <c r="G555" s="4" t="n">
        <v>34.99</v>
      </c>
      <c r="H555" s="4" t="n">
        <v>15.05</v>
      </c>
      <c r="I555" s="4" t="n">
        <f aca="false">F555*G555</f>
        <v>629.82</v>
      </c>
      <c r="J555" s="4" t="n">
        <f aca="false">F555*H555</f>
        <v>270.9</v>
      </c>
      <c r="K555" s="4" t="n">
        <f aca="false">I555-J555</f>
        <v>358.92</v>
      </c>
      <c r="L555" s="5" t="n">
        <f aca="false">IFERROR(K555/I555,0)</f>
        <v>0.56987710774507</v>
      </c>
    </row>
    <row r="556" customFormat="false" ht="15" hidden="false" customHeight="false" outlineLevel="0" collapsed="false">
      <c r="A556" s="2" t="s">
        <v>52</v>
      </c>
      <c r="B556" s="2" t="s">
        <v>53</v>
      </c>
      <c r="C556" s="2" t="s">
        <v>14</v>
      </c>
      <c r="D556" s="2" t="s">
        <v>19</v>
      </c>
      <c r="E556" s="3" t="n">
        <v>45931</v>
      </c>
      <c r="F556" s="2" t="n">
        <v>22</v>
      </c>
      <c r="G556" s="4" t="n">
        <v>54.99</v>
      </c>
      <c r="H556" s="4" t="n">
        <v>24.09</v>
      </c>
      <c r="I556" s="4" t="n">
        <f aca="false">F556*G556</f>
        <v>1209.78</v>
      </c>
      <c r="J556" s="4" t="n">
        <f aca="false">F556*H556</f>
        <v>529.98</v>
      </c>
      <c r="K556" s="4" t="n">
        <f aca="false">I556-J556</f>
        <v>679.8</v>
      </c>
      <c r="L556" s="5" t="n">
        <f aca="false">IFERROR(K556/I556,0)</f>
        <v>0.561920349154392</v>
      </c>
    </row>
    <row r="557" customFormat="false" ht="15" hidden="false" customHeight="false" outlineLevel="0" collapsed="false">
      <c r="A557" s="2" t="s">
        <v>52</v>
      </c>
      <c r="B557" s="2" t="s">
        <v>53</v>
      </c>
      <c r="C557" s="2" t="s">
        <v>20</v>
      </c>
      <c r="D557" s="2" t="s">
        <v>21</v>
      </c>
      <c r="E557" s="3" t="n">
        <v>45931</v>
      </c>
      <c r="F557" s="2" t="n">
        <v>20</v>
      </c>
      <c r="G557" s="4" t="n">
        <v>44.99</v>
      </c>
      <c r="H557" s="4" t="n">
        <v>19.97</v>
      </c>
      <c r="I557" s="4" t="n">
        <f aca="false">F557*G557</f>
        <v>899.8</v>
      </c>
      <c r="J557" s="4" t="n">
        <f aca="false">F557*H557</f>
        <v>399.4</v>
      </c>
      <c r="K557" s="4" t="n">
        <f aca="false">I557-J557</f>
        <v>500.4</v>
      </c>
      <c r="L557" s="5" t="n">
        <f aca="false">IFERROR(K557/I557,0)</f>
        <v>0.556123583018449</v>
      </c>
    </row>
    <row r="558" customFormat="false" ht="15" hidden="false" customHeight="false" outlineLevel="0" collapsed="false">
      <c r="A558" s="2" t="s">
        <v>52</v>
      </c>
      <c r="B558" s="2" t="s">
        <v>53</v>
      </c>
      <c r="C558" s="2" t="s">
        <v>20</v>
      </c>
      <c r="D558" s="2" t="s">
        <v>22</v>
      </c>
      <c r="E558" s="3" t="n">
        <v>45931</v>
      </c>
      <c r="F558" s="2" t="n">
        <v>10</v>
      </c>
      <c r="G558" s="4" t="n">
        <v>14.99</v>
      </c>
      <c r="H558" s="4" t="n">
        <v>5.69</v>
      </c>
      <c r="I558" s="4" t="n">
        <f aca="false">F558*G558</f>
        <v>149.9</v>
      </c>
      <c r="J558" s="4" t="n">
        <f aca="false">F558*H558</f>
        <v>56.9</v>
      </c>
      <c r="K558" s="4" t="n">
        <f aca="false">I558-J558</f>
        <v>93</v>
      </c>
      <c r="L558" s="5" t="n">
        <f aca="false">IFERROR(K558/I558,0)</f>
        <v>0.620413609072715</v>
      </c>
    </row>
    <row r="559" customFormat="false" ht="15" hidden="false" customHeight="false" outlineLevel="0" collapsed="false">
      <c r="A559" s="2" t="s">
        <v>52</v>
      </c>
      <c r="B559" s="2" t="s">
        <v>53</v>
      </c>
      <c r="C559" s="2" t="s">
        <v>20</v>
      </c>
      <c r="D559" s="2" t="s">
        <v>23</v>
      </c>
      <c r="E559" s="3" t="n">
        <v>45931</v>
      </c>
      <c r="F559" s="2" t="n">
        <v>16</v>
      </c>
      <c r="G559" s="4" t="n">
        <v>39.99</v>
      </c>
      <c r="H559" s="4" t="n">
        <v>16.5</v>
      </c>
      <c r="I559" s="4" t="n">
        <f aca="false">F559*G559</f>
        <v>639.84</v>
      </c>
      <c r="J559" s="4" t="n">
        <f aca="false">F559*H559</f>
        <v>264</v>
      </c>
      <c r="K559" s="4" t="n">
        <f aca="false">I559-J559</f>
        <v>375.84</v>
      </c>
      <c r="L559" s="5" t="n">
        <f aca="false">IFERROR(K559/I559,0)</f>
        <v>0.587396849212303</v>
      </c>
    </row>
    <row r="560" customFormat="false" ht="15" hidden="false" customHeight="false" outlineLevel="0" collapsed="false">
      <c r="A560" s="2" t="s">
        <v>52</v>
      </c>
      <c r="B560" s="2" t="s">
        <v>53</v>
      </c>
      <c r="C560" s="2" t="s">
        <v>20</v>
      </c>
      <c r="D560" s="2" t="s">
        <v>24</v>
      </c>
      <c r="E560" s="3" t="n">
        <v>45931</v>
      </c>
      <c r="F560" s="2" t="n">
        <v>10</v>
      </c>
      <c r="G560" s="4" t="n">
        <v>18.99</v>
      </c>
      <c r="H560" s="4" t="n">
        <v>7.53</v>
      </c>
      <c r="I560" s="4" t="n">
        <f aca="false">F560*G560</f>
        <v>189.9</v>
      </c>
      <c r="J560" s="4" t="n">
        <f aca="false">F560*H560</f>
        <v>75.3</v>
      </c>
      <c r="K560" s="4" t="n">
        <f aca="false">I560-J560</f>
        <v>114.6</v>
      </c>
      <c r="L560" s="5" t="n">
        <f aca="false">IFERROR(K560/I560,0)</f>
        <v>0.60347551342812</v>
      </c>
    </row>
    <row r="561" customFormat="false" ht="15" hidden="false" customHeight="false" outlineLevel="0" collapsed="false">
      <c r="A561" s="2" t="s">
        <v>52</v>
      </c>
      <c r="B561" s="2" t="s">
        <v>53</v>
      </c>
      <c r="C561" s="2" t="s">
        <v>20</v>
      </c>
      <c r="D561" s="2" t="s">
        <v>25</v>
      </c>
      <c r="E561" s="3" t="n">
        <v>45931</v>
      </c>
      <c r="F561" s="2" t="n">
        <v>19</v>
      </c>
      <c r="G561" s="4" t="n">
        <v>42.99</v>
      </c>
      <c r="H561" s="4" t="n">
        <v>16.05</v>
      </c>
      <c r="I561" s="4" t="n">
        <f aca="false">F561*G561</f>
        <v>816.81</v>
      </c>
      <c r="J561" s="4" t="n">
        <f aca="false">F561*H561</f>
        <v>304.95</v>
      </c>
      <c r="K561" s="4" t="n">
        <f aca="false">I561-J561</f>
        <v>511.86</v>
      </c>
      <c r="L561" s="5" t="n">
        <f aca="false">IFERROR(K561/I561,0)</f>
        <v>0.626657362177251</v>
      </c>
    </row>
    <row r="562" customFormat="false" ht="15" hidden="false" customHeight="false" outlineLevel="0" collapsed="false">
      <c r="A562" s="2" t="s">
        <v>52</v>
      </c>
      <c r="B562" s="2" t="s">
        <v>53</v>
      </c>
      <c r="C562" s="2" t="s">
        <v>26</v>
      </c>
      <c r="D562" s="2" t="s">
        <v>27</v>
      </c>
      <c r="E562" s="3" t="n">
        <v>45931</v>
      </c>
      <c r="F562" s="2" t="n">
        <v>11</v>
      </c>
      <c r="G562" s="4" t="n">
        <v>44.99</v>
      </c>
      <c r="H562" s="4" t="n">
        <v>27.38</v>
      </c>
      <c r="I562" s="4" t="n">
        <f aca="false">F562*G562</f>
        <v>494.89</v>
      </c>
      <c r="J562" s="4" t="n">
        <f aca="false">F562*H562</f>
        <v>301.18</v>
      </c>
      <c r="K562" s="4" t="n">
        <f aca="false">I562-J562</f>
        <v>193.71</v>
      </c>
      <c r="L562" s="5" t="n">
        <f aca="false">IFERROR(K562/I562,0)</f>
        <v>0.391420315625695</v>
      </c>
    </row>
    <row r="563" customFormat="false" ht="15" hidden="false" customHeight="false" outlineLevel="0" collapsed="false">
      <c r="A563" s="2" t="s">
        <v>52</v>
      </c>
      <c r="B563" s="2" t="s">
        <v>53</v>
      </c>
      <c r="C563" s="2" t="s">
        <v>26</v>
      </c>
      <c r="D563" s="2" t="s">
        <v>28</v>
      </c>
      <c r="E563" s="3" t="n">
        <v>45931</v>
      </c>
      <c r="F563" s="2" t="n">
        <v>17</v>
      </c>
      <c r="G563" s="4" t="n">
        <v>34.99</v>
      </c>
      <c r="H563" s="4" t="n">
        <v>22.41</v>
      </c>
      <c r="I563" s="4" t="n">
        <f aca="false">F563*G563</f>
        <v>594.83</v>
      </c>
      <c r="J563" s="4" t="n">
        <f aca="false">F563*H563</f>
        <v>380.97</v>
      </c>
      <c r="K563" s="4" t="n">
        <f aca="false">I563-J563</f>
        <v>213.86</v>
      </c>
      <c r="L563" s="5" t="n">
        <f aca="false">IFERROR(K563/I563,0)</f>
        <v>0.359531294655616</v>
      </c>
    </row>
    <row r="564" customFormat="false" ht="15" hidden="false" customHeight="false" outlineLevel="0" collapsed="false">
      <c r="A564" s="2" t="s">
        <v>52</v>
      </c>
      <c r="B564" s="2" t="s">
        <v>53</v>
      </c>
      <c r="C564" s="2" t="s">
        <v>26</v>
      </c>
      <c r="D564" s="2" t="s">
        <v>29</v>
      </c>
      <c r="E564" s="3" t="n">
        <v>45931</v>
      </c>
      <c r="F564" s="2" t="n">
        <v>8</v>
      </c>
      <c r="G564" s="4" t="n">
        <v>119.99</v>
      </c>
      <c r="H564" s="4" t="n">
        <v>83.7</v>
      </c>
      <c r="I564" s="4" t="n">
        <f aca="false">F564*G564</f>
        <v>959.92</v>
      </c>
      <c r="J564" s="4" t="n">
        <f aca="false">F564*H564</f>
        <v>669.6</v>
      </c>
      <c r="K564" s="4" t="n">
        <f aca="false">I564-J564</f>
        <v>290.32</v>
      </c>
      <c r="L564" s="5" t="n">
        <f aca="false">IFERROR(K564/I564,0)</f>
        <v>0.302441870155846</v>
      </c>
    </row>
    <row r="565" customFormat="false" ht="15" hidden="false" customHeight="false" outlineLevel="0" collapsed="false">
      <c r="A565" s="2" t="s">
        <v>52</v>
      </c>
      <c r="B565" s="2" t="s">
        <v>53</v>
      </c>
      <c r="C565" s="2" t="s">
        <v>26</v>
      </c>
      <c r="D565" s="2" t="s">
        <v>30</v>
      </c>
      <c r="E565" s="3" t="n">
        <v>45931</v>
      </c>
      <c r="F565" s="2" t="n">
        <v>20</v>
      </c>
      <c r="G565" s="4" t="n">
        <v>24.99</v>
      </c>
      <c r="H565" s="4" t="n">
        <v>14.7</v>
      </c>
      <c r="I565" s="4" t="n">
        <f aca="false">F565*G565</f>
        <v>499.8</v>
      </c>
      <c r="J565" s="4" t="n">
        <f aca="false">F565*H565</f>
        <v>294</v>
      </c>
      <c r="K565" s="4" t="n">
        <f aca="false">I565-J565</f>
        <v>205.8</v>
      </c>
      <c r="L565" s="5" t="n">
        <f aca="false">IFERROR(K565/I565,0)</f>
        <v>0.411764705882353</v>
      </c>
    </row>
    <row r="566" customFormat="false" ht="15" hidden="false" customHeight="false" outlineLevel="0" collapsed="false">
      <c r="A566" s="2" t="s">
        <v>52</v>
      </c>
      <c r="B566" s="2" t="s">
        <v>53</v>
      </c>
      <c r="C566" s="2" t="s">
        <v>26</v>
      </c>
      <c r="D566" s="2" t="s">
        <v>31</v>
      </c>
      <c r="E566" s="3" t="n">
        <v>45931</v>
      </c>
      <c r="F566" s="2" t="n">
        <v>8</v>
      </c>
      <c r="G566" s="4" t="n">
        <v>59.99</v>
      </c>
      <c r="H566" s="4" t="n">
        <v>38.35</v>
      </c>
      <c r="I566" s="4" t="n">
        <f aca="false">F566*G566</f>
        <v>479.92</v>
      </c>
      <c r="J566" s="4" t="n">
        <f aca="false">F566*H566</f>
        <v>306.8</v>
      </c>
      <c r="K566" s="4" t="n">
        <f aca="false">I566-J566</f>
        <v>173.12</v>
      </c>
      <c r="L566" s="5" t="n">
        <f aca="false">IFERROR(K566/I566,0)</f>
        <v>0.360726787797966</v>
      </c>
    </row>
    <row r="567" customFormat="false" ht="15" hidden="false" customHeight="false" outlineLevel="0" collapsed="false">
      <c r="A567" s="2" t="s">
        <v>52</v>
      </c>
      <c r="B567" s="2" t="s">
        <v>53</v>
      </c>
      <c r="C567" s="2" t="s">
        <v>32</v>
      </c>
      <c r="D567" s="2" t="s">
        <v>33</v>
      </c>
      <c r="E567" s="3" t="n">
        <v>45931</v>
      </c>
      <c r="F567" s="2" t="n">
        <v>16</v>
      </c>
      <c r="G567" s="4" t="n">
        <v>49.99</v>
      </c>
      <c r="H567" s="4" t="n">
        <v>36.95</v>
      </c>
      <c r="I567" s="4" t="n">
        <f aca="false">F567*G567</f>
        <v>799.84</v>
      </c>
      <c r="J567" s="4" t="n">
        <f aca="false">F567*H567</f>
        <v>591.2</v>
      </c>
      <c r="K567" s="4" t="n">
        <f aca="false">I567-J567</f>
        <v>208.64</v>
      </c>
      <c r="L567" s="5" t="n">
        <f aca="false">IFERROR(K567/I567,0)</f>
        <v>0.260852170434087</v>
      </c>
    </row>
    <row r="568" customFormat="false" ht="15" hidden="false" customHeight="false" outlineLevel="0" collapsed="false">
      <c r="A568" s="2" t="s">
        <v>52</v>
      </c>
      <c r="B568" s="2" t="s">
        <v>53</v>
      </c>
      <c r="C568" s="2" t="s">
        <v>32</v>
      </c>
      <c r="D568" s="2" t="s">
        <v>34</v>
      </c>
      <c r="E568" s="3" t="n">
        <v>45931</v>
      </c>
      <c r="F568" s="2" t="n">
        <v>18</v>
      </c>
      <c r="G568" s="4" t="n">
        <v>27.99</v>
      </c>
      <c r="H568" s="4" t="n">
        <v>19.36</v>
      </c>
      <c r="I568" s="4" t="n">
        <f aca="false">F568*G568</f>
        <v>503.82</v>
      </c>
      <c r="J568" s="4" t="n">
        <f aca="false">F568*H568</f>
        <v>348.48</v>
      </c>
      <c r="K568" s="4" t="n">
        <f aca="false">I568-J568</f>
        <v>155.34</v>
      </c>
      <c r="L568" s="5" t="n">
        <f aca="false">IFERROR(K568/I568,0)</f>
        <v>0.30832440157199</v>
      </c>
    </row>
    <row r="569" customFormat="false" ht="15" hidden="false" customHeight="false" outlineLevel="0" collapsed="false">
      <c r="A569" s="2" t="s">
        <v>52</v>
      </c>
      <c r="B569" s="2" t="s">
        <v>53</v>
      </c>
      <c r="C569" s="2" t="s">
        <v>32</v>
      </c>
      <c r="D569" s="2" t="s">
        <v>35</v>
      </c>
      <c r="E569" s="3" t="n">
        <v>45931</v>
      </c>
      <c r="F569" s="2" t="n">
        <v>23</v>
      </c>
      <c r="G569" s="4" t="n">
        <v>64.99</v>
      </c>
      <c r="H569" s="4" t="n">
        <v>44.28</v>
      </c>
      <c r="I569" s="4" t="n">
        <f aca="false">F569*G569</f>
        <v>1494.77</v>
      </c>
      <c r="J569" s="4" t="n">
        <f aca="false">F569*H569</f>
        <v>1018.44</v>
      </c>
      <c r="K569" s="4" t="n">
        <f aca="false">I569-J569</f>
        <v>476.33</v>
      </c>
      <c r="L569" s="5" t="n">
        <f aca="false">IFERROR(K569/I569,0)</f>
        <v>0.318664409909217</v>
      </c>
    </row>
    <row r="570" customFormat="false" ht="15" hidden="false" customHeight="false" outlineLevel="0" collapsed="false">
      <c r="A570" s="2" t="s">
        <v>52</v>
      </c>
      <c r="B570" s="2" t="s">
        <v>53</v>
      </c>
      <c r="C570" s="2" t="s">
        <v>32</v>
      </c>
      <c r="D570" s="2" t="s">
        <v>36</v>
      </c>
      <c r="E570" s="3" t="n">
        <v>45931</v>
      </c>
      <c r="F570" s="2" t="n">
        <v>24</v>
      </c>
      <c r="G570" s="4" t="n">
        <v>22.99</v>
      </c>
      <c r="H570" s="4" t="n">
        <v>17.12</v>
      </c>
      <c r="I570" s="4" t="n">
        <f aca="false">F570*G570</f>
        <v>551.76</v>
      </c>
      <c r="J570" s="4" t="n">
        <f aca="false">F570*H570</f>
        <v>410.88</v>
      </c>
      <c r="K570" s="4" t="n">
        <f aca="false">I570-J570</f>
        <v>140.88</v>
      </c>
      <c r="L570" s="5" t="n">
        <f aca="false">IFERROR(K570/I570,0)</f>
        <v>0.255328403653763</v>
      </c>
    </row>
    <row r="571" customFormat="false" ht="15" hidden="false" customHeight="false" outlineLevel="0" collapsed="false">
      <c r="A571" s="2" t="s">
        <v>52</v>
      </c>
      <c r="B571" s="2" t="s">
        <v>53</v>
      </c>
      <c r="C571" s="2" t="s">
        <v>32</v>
      </c>
      <c r="D571" s="2" t="s">
        <v>37</v>
      </c>
      <c r="E571" s="3" t="n">
        <v>45931</v>
      </c>
      <c r="F571" s="2" t="n">
        <v>9</v>
      </c>
      <c r="G571" s="4" t="n">
        <v>29.99</v>
      </c>
      <c r="H571" s="4" t="n">
        <v>20.74</v>
      </c>
      <c r="I571" s="4" t="n">
        <f aca="false">F571*G571</f>
        <v>269.91</v>
      </c>
      <c r="J571" s="4" t="n">
        <f aca="false">F571*H571</f>
        <v>186.66</v>
      </c>
      <c r="K571" s="4" t="n">
        <f aca="false">I571-J571</f>
        <v>83.25</v>
      </c>
      <c r="L571" s="5" t="n">
        <f aca="false">IFERROR(K571/I571,0)</f>
        <v>0.308436145381794</v>
      </c>
    </row>
    <row r="572" customFormat="false" ht="15" hidden="false" customHeight="false" outlineLevel="0" collapsed="false">
      <c r="A572" s="2" t="s">
        <v>52</v>
      </c>
      <c r="B572" s="2" t="s">
        <v>53</v>
      </c>
      <c r="C572" s="2" t="s">
        <v>38</v>
      </c>
      <c r="D572" s="2" t="s">
        <v>39</v>
      </c>
      <c r="E572" s="3" t="n">
        <v>45931</v>
      </c>
      <c r="F572" s="2" t="n">
        <v>22</v>
      </c>
      <c r="G572" s="4" t="n">
        <v>129.99</v>
      </c>
      <c r="H572" s="4" t="n">
        <v>76.06</v>
      </c>
      <c r="I572" s="4" t="n">
        <f aca="false">F572*G572</f>
        <v>2859.78</v>
      </c>
      <c r="J572" s="4" t="n">
        <f aca="false">F572*H572</f>
        <v>1673.32</v>
      </c>
      <c r="K572" s="4" t="n">
        <f aca="false">I572-J572</f>
        <v>1186.46</v>
      </c>
      <c r="L572" s="5" t="n">
        <f aca="false">IFERROR(K572/I572,0)</f>
        <v>0.414878067543657</v>
      </c>
    </row>
    <row r="573" customFormat="false" ht="15" hidden="false" customHeight="false" outlineLevel="0" collapsed="false">
      <c r="A573" s="2" t="s">
        <v>52</v>
      </c>
      <c r="B573" s="2" t="s">
        <v>53</v>
      </c>
      <c r="C573" s="2" t="s">
        <v>38</v>
      </c>
      <c r="D573" s="2" t="s">
        <v>40</v>
      </c>
      <c r="E573" s="3" t="n">
        <v>45931</v>
      </c>
      <c r="F573" s="2" t="n">
        <v>15</v>
      </c>
      <c r="G573" s="4" t="n">
        <v>74.99</v>
      </c>
      <c r="H573" s="4" t="n">
        <v>41.12</v>
      </c>
      <c r="I573" s="4" t="n">
        <f aca="false">F573*G573</f>
        <v>1124.85</v>
      </c>
      <c r="J573" s="4" t="n">
        <f aca="false">F573*H573</f>
        <v>616.8</v>
      </c>
      <c r="K573" s="4" t="n">
        <f aca="false">I573-J573</f>
        <v>508.05</v>
      </c>
      <c r="L573" s="5" t="n">
        <f aca="false">IFERROR(K573/I573,0)</f>
        <v>0.451660221362848</v>
      </c>
    </row>
    <row r="574" customFormat="false" ht="15" hidden="false" customHeight="false" outlineLevel="0" collapsed="false">
      <c r="A574" s="2" t="s">
        <v>52</v>
      </c>
      <c r="B574" s="2" t="s">
        <v>53</v>
      </c>
      <c r="C574" s="2" t="s">
        <v>38</v>
      </c>
      <c r="D574" s="2" t="s">
        <v>41</v>
      </c>
      <c r="E574" s="3" t="n">
        <v>45931</v>
      </c>
      <c r="F574" s="2" t="n">
        <v>14</v>
      </c>
      <c r="G574" s="4" t="n">
        <v>19.99</v>
      </c>
      <c r="H574" s="4" t="n">
        <v>9.62</v>
      </c>
      <c r="I574" s="4" t="n">
        <f aca="false">F574*G574</f>
        <v>279.86</v>
      </c>
      <c r="J574" s="4" t="n">
        <f aca="false">F574*H574</f>
        <v>134.68</v>
      </c>
      <c r="K574" s="4" t="n">
        <f aca="false">I574-J574</f>
        <v>145.18</v>
      </c>
      <c r="L574" s="5" t="n">
        <f aca="false">IFERROR(K574/I574,0)</f>
        <v>0.518759379689845</v>
      </c>
    </row>
    <row r="575" customFormat="false" ht="15" hidden="false" customHeight="false" outlineLevel="0" collapsed="false">
      <c r="A575" s="2" t="s">
        <v>52</v>
      </c>
      <c r="B575" s="2" t="s">
        <v>53</v>
      </c>
      <c r="C575" s="2" t="s">
        <v>38</v>
      </c>
      <c r="D575" s="2" t="s">
        <v>42</v>
      </c>
      <c r="E575" s="3" t="n">
        <v>45931</v>
      </c>
      <c r="F575" s="2" t="n">
        <v>22</v>
      </c>
      <c r="G575" s="4" t="n">
        <v>16.99</v>
      </c>
      <c r="H575" s="4" t="n">
        <v>8.56</v>
      </c>
      <c r="I575" s="4" t="n">
        <f aca="false">F575*G575</f>
        <v>373.78</v>
      </c>
      <c r="J575" s="4" t="n">
        <f aca="false">F575*H575</f>
        <v>188.32</v>
      </c>
      <c r="K575" s="4" t="n">
        <f aca="false">I575-J575</f>
        <v>185.46</v>
      </c>
      <c r="L575" s="5" t="n">
        <f aca="false">IFERROR(K575/I575,0)</f>
        <v>0.496174220129488</v>
      </c>
    </row>
    <row r="576" customFormat="false" ht="15" hidden="false" customHeight="false" outlineLevel="0" collapsed="false">
      <c r="A576" s="2" t="s">
        <v>52</v>
      </c>
      <c r="B576" s="2" t="s">
        <v>53</v>
      </c>
      <c r="C576" s="2" t="s">
        <v>38</v>
      </c>
      <c r="D576" s="2" t="s">
        <v>43</v>
      </c>
      <c r="E576" s="3" t="n">
        <v>45931</v>
      </c>
      <c r="F576" s="2" t="n">
        <v>8</v>
      </c>
      <c r="G576" s="4" t="n">
        <v>24.99</v>
      </c>
      <c r="H576" s="4" t="n">
        <v>13.36</v>
      </c>
      <c r="I576" s="4" t="n">
        <f aca="false">F576*G576</f>
        <v>199.92</v>
      </c>
      <c r="J576" s="4" t="n">
        <f aca="false">F576*H576</f>
        <v>106.88</v>
      </c>
      <c r="K576" s="4" t="n">
        <f aca="false">I576-J576</f>
        <v>93.04</v>
      </c>
      <c r="L576" s="5" t="n">
        <f aca="false">IFERROR(K576/I576,0)</f>
        <v>0.465386154461785</v>
      </c>
    </row>
    <row r="577" customFormat="false" ht="15" hidden="false" customHeight="false" outlineLevel="0" collapsed="false">
      <c r="A577" s="2" t="s">
        <v>52</v>
      </c>
      <c r="B577" s="2" t="s">
        <v>54</v>
      </c>
      <c r="C577" s="2" t="s">
        <v>14</v>
      </c>
      <c r="D577" s="2" t="s">
        <v>15</v>
      </c>
      <c r="E577" s="3" t="n">
        <v>45931</v>
      </c>
      <c r="F577" s="2" t="n">
        <v>15</v>
      </c>
      <c r="G577" s="4" t="n">
        <v>69.99</v>
      </c>
      <c r="H577" s="4" t="n">
        <v>34.2</v>
      </c>
      <c r="I577" s="4" t="n">
        <f aca="false">F577*G577</f>
        <v>1049.85</v>
      </c>
      <c r="J577" s="4" t="n">
        <f aca="false">F577*H577</f>
        <v>513</v>
      </c>
      <c r="K577" s="4" t="n">
        <f aca="false">I577-J577</f>
        <v>536.85</v>
      </c>
      <c r="L577" s="5" t="n">
        <f aca="false">IFERROR(K577/I577,0)</f>
        <v>0.511358765537934</v>
      </c>
    </row>
    <row r="578" customFormat="false" ht="15" hidden="false" customHeight="false" outlineLevel="0" collapsed="false">
      <c r="A578" s="2" t="s">
        <v>52</v>
      </c>
      <c r="B578" s="2" t="s">
        <v>54</v>
      </c>
      <c r="C578" s="2" t="s">
        <v>14</v>
      </c>
      <c r="D578" s="2" t="s">
        <v>16</v>
      </c>
      <c r="E578" s="3" t="n">
        <v>45931</v>
      </c>
      <c r="F578" s="2" t="n">
        <v>17</v>
      </c>
      <c r="G578" s="4" t="n">
        <v>19.99</v>
      </c>
      <c r="H578" s="4" t="n">
        <v>9.25</v>
      </c>
      <c r="I578" s="4" t="n">
        <f aca="false">F578*G578</f>
        <v>339.83</v>
      </c>
      <c r="J578" s="4" t="n">
        <f aca="false">F578*H578</f>
        <v>157.25</v>
      </c>
      <c r="K578" s="4" t="n">
        <f aca="false">I578-J578</f>
        <v>182.58</v>
      </c>
      <c r="L578" s="5" t="n">
        <f aca="false">IFERROR(K578/I578,0)</f>
        <v>0.537268634317159</v>
      </c>
    </row>
    <row r="579" customFormat="false" ht="15" hidden="false" customHeight="false" outlineLevel="0" collapsed="false">
      <c r="A579" s="2" t="s">
        <v>52</v>
      </c>
      <c r="B579" s="2" t="s">
        <v>54</v>
      </c>
      <c r="C579" s="2" t="s">
        <v>14</v>
      </c>
      <c r="D579" s="2" t="s">
        <v>17</v>
      </c>
      <c r="E579" s="3" t="n">
        <v>45931</v>
      </c>
      <c r="F579" s="2" t="n">
        <v>16</v>
      </c>
      <c r="G579" s="4" t="n">
        <v>79.99</v>
      </c>
      <c r="H579" s="4" t="n">
        <v>39.47</v>
      </c>
      <c r="I579" s="4" t="n">
        <f aca="false">F579*G579</f>
        <v>1279.84</v>
      </c>
      <c r="J579" s="4" t="n">
        <f aca="false">F579*H579</f>
        <v>631.52</v>
      </c>
      <c r="K579" s="4" t="n">
        <f aca="false">I579-J579</f>
        <v>648.32</v>
      </c>
      <c r="L579" s="5" t="n">
        <f aca="false">IFERROR(K579/I579,0)</f>
        <v>0.506563320415052</v>
      </c>
    </row>
    <row r="580" customFormat="false" ht="15" hidden="false" customHeight="false" outlineLevel="0" collapsed="false">
      <c r="A580" s="2" t="s">
        <v>52</v>
      </c>
      <c r="B580" s="2" t="s">
        <v>54</v>
      </c>
      <c r="C580" s="2" t="s">
        <v>14</v>
      </c>
      <c r="D580" s="2" t="s">
        <v>18</v>
      </c>
      <c r="E580" s="3" t="n">
        <v>45931</v>
      </c>
      <c r="F580" s="2" t="n">
        <v>20</v>
      </c>
      <c r="G580" s="4" t="n">
        <v>34.99</v>
      </c>
      <c r="H580" s="4" t="n">
        <v>15.1</v>
      </c>
      <c r="I580" s="4" t="n">
        <f aca="false">F580*G580</f>
        <v>699.8</v>
      </c>
      <c r="J580" s="4" t="n">
        <f aca="false">F580*H580</f>
        <v>302</v>
      </c>
      <c r="K580" s="4" t="n">
        <f aca="false">I580-J580</f>
        <v>397.8</v>
      </c>
      <c r="L580" s="5" t="n">
        <f aca="false">IFERROR(K580/I580,0)</f>
        <v>0.568448128036582</v>
      </c>
    </row>
    <row r="581" customFormat="false" ht="15" hidden="false" customHeight="false" outlineLevel="0" collapsed="false">
      <c r="A581" s="2" t="s">
        <v>52</v>
      </c>
      <c r="B581" s="2" t="s">
        <v>54</v>
      </c>
      <c r="C581" s="2" t="s">
        <v>14</v>
      </c>
      <c r="D581" s="2" t="s">
        <v>19</v>
      </c>
      <c r="E581" s="3" t="n">
        <v>45931</v>
      </c>
      <c r="F581" s="2" t="n">
        <v>21</v>
      </c>
      <c r="G581" s="4" t="n">
        <v>54.99</v>
      </c>
      <c r="H581" s="4" t="n">
        <v>23.9</v>
      </c>
      <c r="I581" s="4" t="n">
        <f aca="false">F581*G581</f>
        <v>1154.79</v>
      </c>
      <c r="J581" s="4" t="n">
        <f aca="false">F581*H581</f>
        <v>501.9</v>
      </c>
      <c r="K581" s="4" t="n">
        <f aca="false">I581-J581</f>
        <v>652.89</v>
      </c>
      <c r="L581" s="5" t="n">
        <f aca="false">IFERROR(K581/I581,0)</f>
        <v>0.565375522822331</v>
      </c>
    </row>
    <row r="582" customFormat="false" ht="15" hidden="false" customHeight="false" outlineLevel="0" collapsed="false">
      <c r="A582" s="2" t="s">
        <v>52</v>
      </c>
      <c r="B582" s="2" t="s">
        <v>54</v>
      </c>
      <c r="C582" s="2" t="s">
        <v>20</v>
      </c>
      <c r="D582" s="2" t="s">
        <v>21</v>
      </c>
      <c r="E582" s="3" t="n">
        <v>45931</v>
      </c>
      <c r="F582" s="2" t="n">
        <v>12</v>
      </c>
      <c r="G582" s="4" t="n">
        <v>44.99</v>
      </c>
      <c r="H582" s="4" t="n">
        <v>20.28</v>
      </c>
      <c r="I582" s="4" t="n">
        <f aca="false">F582*G582</f>
        <v>539.88</v>
      </c>
      <c r="J582" s="4" t="n">
        <f aca="false">F582*H582</f>
        <v>243.36</v>
      </c>
      <c r="K582" s="4" t="n">
        <f aca="false">I582-J582</f>
        <v>296.52</v>
      </c>
      <c r="L582" s="5" t="n">
        <f aca="false">IFERROR(K582/I582,0)</f>
        <v>0.549233162925094</v>
      </c>
    </row>
    <row r="583" customFormat="false" ht="15" hidden="false" customHeight="false" outlineLevel="0" collapsed="false">
      <c r="A583" s="2" t="s">
        <v>52</v>
      </c>
      <c r="B583" s="2" t="s">
        <v>54</v>
      </c>
      <c r="C583" s="2" t="s">
        <v>20</v>
      </c>
      <c r="D583" s="2" t="s">
        <v>22</v>
      </c>
      <c r="E583" s="3" t="n">
        <v>45931</v>
      </c>
      <c r="F583" s="2" t="n">
        <v>16</v>
      </c>
      <c r="G583" s="4" t="n">
        <v>14.99</v>
      </c>
      <c r="H583" s="4" t="n">
        <v>5.86</v>
      </c>
      <c r="I583" s="4" t="n">
        <f aca="false">F583*G583</f>
        <v>239.84</v>
      </c>
      <c r="J583" s="4" t="n">
        <f aca="false">F583*H583</f>
        <v>93.76</v>
      </c>
      <c r="K583" s="4" t="n">
        <f aca="false">I583-J583</f>
        <v>146.08</v>
      </c>
      <c r="L583" s="5" t="n">
        <f aca="false">IFERROR(K583/I583,0)</f>
        <v>0.609072715143429</v>
      </c>
    </row>
    <row r="584" customFormat="false" ht="15" hidden="false" customHeight="false" outlineLevel="0" collapsed="false">
      <c r="A584" s="2" t="s">
        <v>52</v>
      </c>
      <c r="B584" s="2" t="s">
        <v>54</v>
      </c>
      <c r="C584" s="2" t="s">
        <v>20</v>
      </c>
      <c r="D584" s="2" t="s">
        <v>23</v>
      </c>
      <c r="E584" s="3" t="n">
        <v>45931</v>
      </c>
      <c r="F584" s="2" t="n">
        <v>22</v>
      </c>
      <c r="G584" s="4" t="n">
        <v>39.99</v>
      </c>
      <c r="H584" s="4" t="n">
        <v>17.21</v>
      </c>
      <c r="I584" s="4" t="n">
        <f aca="false">F584*G584</f>
        <v>879.78</v>
      </c>
      <c r="J584" s="4" t="n">
        <f aca="false">F584*H584</f>
        <v>378.62</v>
      </c>
      <c r="K584" s="4" t="n">
        <f aca="false">I584-J584</f>
        <v>501.16</v>
      </c>
      <c r="L584" s="5" t="n">
        <f aca="false">IFERROR(K584/I584,0)</f>
        <v>0.569642410602651</v>
      </c>
    </row>
    <row r="585" customFormat="false" ht="15" hidden="false" customHeight="false" outlineLevel="0" collapsed="false">
      <c r="A585" s="2" t="s">
        <v>52</v>
      </c>
      <c r="B585" s="2" t="s">
        <v>54</v>
      </c>
      <c r="C585" s="2" t="s">
        <v>20</v>
      </c>
      <c r="D585" s="2" t="s">
        <v>24</v>
      </c>
      <c r="E585" s="3" t="n">
        <v>45931</v>
      </c>
      <c r="F585" s="2" t="n">
        <v>13</v>
      </c>
      <c r="G585" s="4" t="n">
        <v>18.99</v>
      </c>
      <c r="H585" s="4" t="n">
        <v>7.8</v>
      </c>
      <c r="I585" s="4" t="n">
        <f aca="false">F585*G585</f>
        <v>246.87</v>
      </c>
      <c r="J585" s="4" t="n">
        <f aca="false">F585*H585</f>
        <v>101.4</v>
      </c>
      <c r="K585" s="4" t="n">
        <f aca="false">I585-J585</f>
        <v>145.47</v>
      </c>
      <c r="L585" s="5" t="n">
        <f aca="false">IFERROR(K585/I585,0)</f>
        <v>0.589257503949447</v>
      </c>
    </row>
    <row r="586" customFormat="false" ht="15" hidden="false" customHeight="false" outlineLevel="0" collapsed="false">
      <c r="A586" s="2" t="s">
        <v>52</v>
      </c>
      <c r="B586" s="2" t="s">
        <v>54</v>
      </c>
      <c r="C586" s="2" t="s">
        <v>20</v>
      </c>
      <c r="D586" s="2" t="s">
        <v>25</v>
      </c>
      <c r="E586" s="3" t="n">
        <v>45931</v>
      </c>
      <c r="F586" s="2" t="n">
        <v>21</v>
      </c>
      <c r="G586" s="4" t="n">
        <v>42.99</v>
      </c>
      <c r="H586" s="4" t="n">
        <v>16.29</v>
      </c>
      <c r="I586" s="4" t="n">
        <f aca="false">F586*G586</f>
        <v>902.79</v>
      </c>
      <c r="J586" s="4" t="n">
        <f aca="false">F586*H586</f>
        <v>342.09</v>
      </c>
      <c r="K586" s="4" t="n">
        <f aca="false">I586-J586</f>
        <v>560.7</v>
      </c>
      <c r="L586" s="5" t="n">
        <f aca="false">IFERROR(K586/I586,0)</f>
        <v>0.621074668527565</v>
      </c>
    </row>
    <row r="587" customFormat="false" ht="15" hidden="false" customHeight="false" outlineLevel="0" collapsed="false">
      <c r="A587" s="2" t="s">
        <v>52</v>
      </c>
      <c r="B587" s="2" t="s">
        <v>54</v>
      </c>
      <c r="C587" s="2" t="s">
        <v>26</v>
      </c>
      <c r="D587" s="2" t="s">
        <v>27</v>
      </c>
      <c r="E587" s="3" t="n">
        <v>45931</v>
      </c>
      <c r="F587" s="2" t="n">
        <v>15</v>
      </c>
      <c r="G587" s="4" t="n">
        <v>44.99</v>
      </c>
      <c r="H587" s="4" t="n">
        <v>27.17</v>
      </c>
      <c r="I587" s="4" t="n">
        <f aca="false">F587*G587</f>
        <v>674.85</v>
      </c>
      <c r="J587" s="4" t="n">
        <f aca="false">F587*H587</f>
        <v>407.55</v>
      </c>
      <c r="K587" s="4" t="n">
        <f aca="false">I587-J587</f>
        <v>267.3</v>
      </c>
      <c r="L587" s="5" t="n">
        <f aca="false">IFERROR(K587/I587,0)</f>
        <v>0.396088019559902</v>
      </c>
    </row>
    <row r="588" customFormat="false" ht="15" hidden="false" customHeight="false" outlineLevel="0" collapsed="false">
      <c r="A588" s="2" t="s">
        <v>52</v>
      </c>
      <c r="B588" s="2" t="s">
        <v>54</v>
      </c>
      <c r="C588" s="2" t="s">
        <v>26</v>
      </c>
      <c r="D588" s="2" t="s">
        <v>28</v>
      </c>
      <c r="E588" s="3" t="n">
        <v>45931</v>
      </c>
      <c r="F588" s="2" t="n">
        <v>15</v>
      </c>
      <c r="G588" s="4" t="n">
        <v>34.99</v>
      </c>
      <c r="H588" s="4" t="n">
        <v>22.1</v>
      </c>
      <c r="I588" s="4" t="n">
        <f aca="false">F588*G588</f>
        <v>524.85</v>
      </c>
      <c r="J588" s="4" t="n">
        <f aca="false">F588*H588</f>
        <v>331.5</v>
      </c>
      <c r="K588" s="4" t="n">
        <f aca="false">I588-J588</f>
        <v>193.35</v>
      </c>
      <c r="L588" s="5" t="n">
        <f aca="false">IFERROR(K588/I588,0)</f>
        <v>0.368390968848242</v>
      </c>
    </row>
    <row r="589" customFormat="false" ht="15" hidden="false" customHeight="false" outlineLevel="0" collapsed="false">
      <c r="A589" s="2" t="s">
        <v>52</v>
      </c>
      <c r="B589" s="2" t="s">
        <v>54</v>
      </c>
      <c r="C589" s="2" t="s">
        <v>26</v>
      </c>
      <c r="D589" s="2" t="s">
        <v>29</v>
      </c>
      <c r="E589" s="3" t="n">
        <v>45931</v>
      </c>
      <c r="F589" s="2" t="n">
        <v>22</v>
      </c>
      <c r="G589" s="4" t="n">
        <v>119.99</v>
      </c>
      <c r="H589" s="4" t="n">
        <v>80.65</v>
      </c>
      <c r="I589" s="4" t="n">
        <f aca="false">F589*G589</f>
        <v>2639.78</v>
      </c>
      <c r="J589" s="4" t="n">
        <f aca="false">F589*H589</f>
        <v>1774.3</v>
      </c>
      <c r="K589" s="4" t="n">
        <f aca="false">I589-J589</f>
        <v>865.48</v>
      </c>
      <c r="L589" s="5" t="n">
        <f aca="false">IFERROR(K589/I589,0)</f>
        <v>0.327860655054588</v>
      </c>
    </row>
    <row r="590" customFormat="false" ht="15" hidden="false" customHeight="false" outlineLevel="0" collapsed="false">
      <c r="A590" s="2" t="s">
        <v>52</v>
      </c>
      <c r="B590" s="2" t="s">
        <v>54</v>
      </c>
      <c r="C590" s="2" t="s">
        <v>26</v>
      </c>
      <c r="D590" s="2" t="s">
        <v>30</v>
      </c>
      <c r="E590" s="3" t="n">
        <v>45931</v>
      </c>
      <c r="F590" s="2" t="n">
        <v>22</v>
      </c>
      <c r="G590" s="4" t="n">
        <v>24.99</v>
      </c>
      <c r="H590" s="4" t="n">
        <v>14.74</v>
      </c>
      <c r="I590" s="4" t="n">
        <f aca="false">F590*G590</f>
        <v>549.78</v>
      </c>
      <c r="J590" s="4" t="n">
        <f aca="false">F590*H590</f>
        <v>324.28</v>
      </c>
      <c r="K590" s="4" t="n">
        <f aca="false">I590-J590</f>
        <v>225.5</v>
      </c>
      <c r="L590" s="5" t="n">
        <f aca="false">IFERROR(K590/I590,0)</f>
        <v>0.41016406562625</v>
      </c>
    </row>
    <row r="591" customFormat="false" ht="15" hidden="false" customHeight="false" outlineLevel="0" collapsed="false">
      <c r="A591" s="2" t="s">
        <v>52</v>
      </c>
      <c r="B591" s="2" t="s">
        <v>54</v>
      </c>
      <c r="C591" s="2" t="s">
        <v>26</v>
      </c>
      <c r="D591" s="2" t="s">
        <v>31</v>
      </c>
      <c r="E591" s="3" t="n">
        <v>45931</v>
      </c>
      <c r="F591" s="2" t="n">
        <v>20</v>
      </c>
      <c r="G591" s="4" t="n">
        <v>59.99</v>
      </c>
      <c r="H591" s="4" t="n">
        <v>38.4</v>
      </c>
      <c r="I591" s="4" t="n">
        <f aca="false">F591*G591</f>
        <v>1199.8</v>
      </c>
      <c r="J591" s="4" t="n">
        <f aca="false">F591*H591</f>
        <v>768</v>
      </c>
      <c r="K591" s="4" t="n">
        <f aca="false">I591-J591</f>
        <v>431.8</v>
      </c>
      <c r="L591" s="5" t="n">
        <f aca="false">IFERROR(K591/I591,0)</f>
        <v>0.359893315552592</v>
      </c>
    </row>
    <row r="592" customFormat="false" ht="15" hidden="false" customHeight="false" outlineLevel="0" collapsed="false">
      <c r="A592" s="2" t="s">
        <v>52</v>
      </c>
      <c r="B592" s="2" t="s">
        <v>54</v>
      </c>
      <c r="C592" s="2" t="s">
        <v>32</v>
      </c>
      <c r="D592" s="2" t="s">
        <v>33</v>
      </c>
      <c r="E592" s="3" t="n">
        <v>45931</v>
      </c>
      <c r="F592" s="2" t="n">
        <v>11</v>
      </c>
      <c r="G592" s="4" t="n">
        <v>49.99</v>
      </c>
      <c r="H592" s="4" t="n">
        <v>36.96</v>
      </c>
      <c r="I592" s="4" t="n">
        <f aca="false">F592*G592</f>
        <v>549.89</v>
      </c>
      <c r="J592" s="4" t="n">
        <f aca="false">F592*H592</f>
        <v>406.56</v>
      </c>
      <c r="K592" s="4" t="n">
        <f aca="false">I592-J592</f>
        <v>143.33</v>
      </c>
      <c r="L592" s="5" t="n">
        <f aca="false">IFERROR(K592/I592,0)</f>
        <v>0.260652130426085</v>
      </c>
    </row>
    <row r="593" customFormat="false" ht="15" hidden="false" customHeight="false" outlineLevel="0" collapsed="false">
      <c r="A593" s="2" t="s">
        <v>52</v>
      </c>
      <c r="B593" s="2" t="s">
        <v>54</v>
      </c>
      <c r="C593" s="2" t="s">
        <v>32</v>
      </c>
      <c r="D593" s="2" t="s">
        <v>34</v>
      </c>
      <c r="E593" s="3" t="n">
        <v>45931</v>
      </c>
      <c r="F593" s="2" t="n">
        <v>23</v>
      </c>
      <c r="G593" s="4" t="n">
        <v>27.99</v>
      </c>
      <c r="H593" s="4" t="n">
        <v>19.91</v>
      </c>
      <c r="I593" s="4" t="n">
        <f aca="false">F593*G593</f>
        <v>643.77</v>
      </c>
      <c r="J593" s="4" t="n">
        <f aca="false">F593*H593</f>
        <v>457.93</v>
      </c>
      <c r="K593" s="4" t="n">
        <f aca="false">I593-J593</f>
        <v>185.84</v>
      </c>
      <c r="L593" s="5" t="n">
        <f aca="false">IFERROR(K593/I593,0)</f>
        <v>0.288674526616649</v>
      </c>
    </row>
    <row r="594" customFormat="false" ht="15" hidden="false" customHeight="false" outlineLevel="0" collapsed="false">
      <c r="A594" s="2" t="s">
        <v>52</v>
      </c>
      <c r="B594" s="2" t="s">
        <v>54</v>
      </c>
      <c r="C594" s="2" t="s">
        <v>32</v>
      </c>
      <c r="D594" s="2" t="s">
        <v>35</v>
      </c>
      <c r="E594" s="3" t="n">
        <v>45931</v>
      </c>
      <c r="F594" s="2" t="n">
        <v>13</v>
      </c>
      <c r="G594" s="4" t="n">
        <v>64.99</v>
      </c>
      <c r="H594" s="4" t="n">
        <v>45.76</v>
      </c>
      <c r="I594" s="4" t="n">
        <f aca="false">F594*G594</f>
        <v>844.87</v>
      </c>
      <c r="J594" s="4" t="n">
        <f aca="false">F594*H594</f>
        <v>594.88</v>
      </c>
      <c r="K594" s="4" t="n">
        <f aca="false">I594-J594</f>
        <v>249.99</v>
      </c>
      <c r="L594" s="5" t="n">
        <f aca="false">IFERROR(K594/I594,0)</f>
        <v>0.295891675642406</v>
      </c>
    </row>
    <row r="595" customFormat="false" ht="15" hidden="false" customHeight="false" outlineLevel="0" collapsed="false">
      <c r="A595" s="2" t="s">
        <v>52</v>
      </c>
      <c r="B595" s="2" t="s">
        <v>54</v>
      </c>
      <c r="C595" s="2" t="s">
        <v>32</v>
      </c>
      <c r="D595" s="2" t="s">
        <v>36</v>
      </c>
      <c r="E595" s="3" t="n">
        <v>45931</v>
      </c>
      <c r="F595" s="2" t="n">
        <v>21</v>
      </c>
      <c r="G595" s="4" t="n">
        <v>22.99</v>
      </c>
      <c r="H595" s="4" t="n">
        <v>17.06</v>
      </c>
      <c r="I595" s="4" t="n">
        <f aca="false">F595*G595</f>
        <v>482.79</v>
      </c>
      <c r="J595" s="4" t="n">
        <f aca="false">F595*H595</f>
        <v>358.26</v>
      </c>
      <c r="K595" s="4" t="n">
        <f aca="false">I595-J595</f>
        <v>124.53</v>
      </c>
      <c r="L595" s="5" t="n">
        <f aca="false">IFERROR(K595/I595,0)</f>
        <v>0.257938234014789</v>
      </c>
    </row>
    <row r="596" customFormat="false" ht="15" hidden="false" customHeight="false" outlineLevel="0" collapsed="false">
      <c r="A596" s="2" t="s">
        <v>52</v>
      </c>
      <c r="B596" s="2" t="s">
        <v>54</v>
      </c>
      <c r="C596" s="2" t="s">
        <v>32</v>
      </c>
      <c r="D596" s="2" t="s">
        <v>37</v>
      </c>
      <c r="E596" s="3" t="n">
        <v>45931</v>
      </c>
      <c r="F596" s="2" t="n">
        <v>12</v>
      </c>
      <c r="G596" s="4" t="n">
        <v>29.99</v>
      </c>
      <c r="H596" s="4" t="n">
        <v>20.52</v>
      </c>
      <c r="I596" s="4" t="n">
        <f aca="false">F596*G596</f>
        <v>359.88</v>
      </c>
      <c r="J596" s="4" t="n">
        <f aca="false">F596*H596</f>
        <v>246.24</v>
      </c>
      <c r="K596" s="4" t="n">
        <f aca="false">I596-J596</f>
        <v>113.64</v>
      </c>
      <c r="L596" s="5" t="n">
        <f aca="false">IFERROR(K596/I596,0)</f>
        <v>0.315771923974658</v>
      </c>
    </row>
    <row r="597" customFormat="false" ht="15" hidden="false" customHeight="false" outlineLevel="0" collapsed="false">
      <c r="A597" s="2" t="s">
        <v>52</v>
      </c>
      <c r="B597" s="2" t="s">
        <v>54</v>
      </c>
      <c r="C597" s="2" t="s">
        <v>38</v>
      </c>
      <c r="D597" s="2" t="s">
        <v>39</v>
      </c>
      <c r="E597" s="3" t="n">
        <v>45931</v>
      </c>
      <c r="F597" s="2" t="n">
        <v>15</v>
      </c>
      <c r="G597" s="4" t="n">
        <v>129.99</v>
      </c>
      <c r="H597" s="4" t="n">
        <v>73.62</v>
      </c>
      <c r="I597" s="4" t="n">
        <f aca="false">F597*G597</f>
        <v>1949.85</v>
      </c>
      <c r="J597" s="4" t="n">
        <f aca="false">F597*H597</f>
        <v>1104.3</v>
      </c>
      <c r="K597" s="4" t="n">
        <f aca="false">I597-J597</f>
        <v>845.55</v>
      </c>
      <c r="L597" s="5" t="n">
        <f aca="false">IFERROR(K597/I597,0)</f>
        <v>0.433648742210939</v>
      </c>
    </row>
    <row r="598" customFormat="false" ht="15" hidden="false" customHeight="false" outlineLevel="0" collapsed="false">
      <c r="A598" s="2" t="s">
        <v>52</v>
      </c>
      <c r="B598" s="2" t="s">
        <v>54</v>
      </c>
      <c r="C598" s="2" t="s">
        <v>38</v>
      </c>
      <c r="D598" s="2" t="s">
        <v>40</v>
      </c>
      <c r="E598" s="3" t="n">
        <v>45931</v>
      </c>
      <c r="F598" s="2" t="n">
        <v>17</v>
      </c>
      <c r="G598" s="4" t="n">
        <v>74.99</v>
      </c>
      <c r="H598" s="4" t="n">
        <v>42.01</v>
      </c>
      <c r="I598" s="4" t="n">
        <f aca="false">F598*G598</f>
        <v>1274.83</v>
      </c>
      <c r="J598" s="4" t="n">
        <f aca="false">F598*H598</f>
        <v>714.17</v>
      </c>
      <c r="K598" s="4" t="n">
        <f aca="false">I598-J598</f>
        <v>560.66</v>
      </c>
      <c r="L598" s="5" t="n">
        <f aca="false">IFERROR(K598/I598,0)</f>
        <v>0.439791972262968</v>
      </c>
    </row>
    <row r="599" customFormat="false" ht="15" hidden="false" customHeight="false" outlineLevel="0" collapsed="false">
      <c r="A599" s="2" t="s">
        <v>52</v>
      </c>
      <c r="B599" s="2" t="s">
        <v>54</v>
      </c>
      <c r="C599" s="2" t="s">
        <v>38</v>
      </c>
      <c r="D599" s="2" t="s">
        <v>41</v>
      </c>
      <c r="E599" s="3" t="n">
        <v>45931</v>
      </c>
      <c r="F599" s="2" t="n">
        <v>13</v>
      </c>
      <c r="G599" s="4" t="n">
        <v>19.99</v>
      </c>
      <c r="H599" s="4" t="n">
        <v>9.54</v>
      </c>
      <c r="I599" s="4" t="n">
        <f aca="false">F599*G599</f>
        <v>259.87</v>
      </c>
      <c r="J599" s="4" t="n">
        <f aca="false">F599*H599</f>
        <v>124.02</v>
      </c>
      <c r="K599" s="4" t="n">
        <f aca="false">I599-J599</f>
        <v>135.85</v>
      </c>
      <c r="L599" s="5" t="n">
        <f aca="false">IFERROR(K599/I599,0)</f>
        <v>0.522761380690345</v>
      </c>
    </row>
    <row r="600" customFormat="false" ht="15" hidden="false" customHeight="false" outlineLevel="0" collapsed="false">
      <c r="A600" s="2" t="s">
        <v>52</v>
      </c>
      <c r="B600" s="2" t="s">
        <v>54</v>
      </c>
      <c r="C600" s="2" t="s">
        <v>38</v>
      </c>
      <c r="D600" s="2" t="s">
        <v>42</v>
      </c>
      <c r="E600" s="3" t="n">
        <v>45931</v>
      </c>
      <c r="F600" s="2" t="n">
        <v>27</v>
      </c>
      <c r="G600" s="4" t="n">
        <v>16.99</v>
      </c>
      <c r="H600" s="4" t="n">
        <v>8.72</v>
      </c>
      <c r="I600" s="4" t="n">
        <f aca="false">F600*G600</f>
        <v>458.73</v>
      </c>
      <c r="J600" s="4" t="n">
        <f aca="false">F600*H600</f>
        <v>235.44</v>
      </c>
      <c r="K600" s="4" t="n">
        <f aca="false">I600-J600</f>
        <v>223.29</v>
      </c>
      <c r="L600" s="5" t="n">
        <f aca="false">IFERROR(K600/I600,0)</f>
        <v>0.486756915832843</v>
      </c>
    </row>
    <row r="601" customFormat="false" ht="15" hidden="false" customHeight="false" outlineLevel="0" collapsed="false">
      <c r="A601" s="2" t="s">
        <v>52</v>
      </c>
      <c r="B601" s="2" t="s">
        <v>54</v>
      </c>
      <c r="C601" s="2" t="s">
        <v>38</v>
      </c>
      <c r="D601" s="2" t="s">
        <v>43</v>
      </c>
      <c r="E601" s="3" t="n">
        <v>45931</v>
      </c>
      <c r="F601" s="2" t="n">
        <v>11</v>
      </c>
      <c r="G601" s="4" t="n">
        <v>24.99</v>
      </c>
      <c r="H601" s="4" t="n">
        <v>12.72</v>
      </c>
      <c r="I601" s="4" t="n">
        <f aca="false">F601*G601</f>
        <v>274.89</v>
      </c>
      <c r="J601" s="4" t="n">
        <f aca="false">F601*H601</f>
        <v>139.92</v>
      </c>
      <c r="K601" s="4" t="n">
        <f aca="false">I601-J601</f>
        <v>134.97</v>
      </c>
      <c r="L601" s="5" t="n">
        <f aca="false">IFERROR(K601/I601,0)</f>
        <v>0.490996398559424</v>
      </c>
    </row>
    <row r="602" customFormat="false" ht="15" hidden="false" customHeight="false" outlineLevel="0" collapsed="false">
      <c r="A602" s="2" t="s">
        <v>12</v>
      </c>
      <c r="B602" s="2" t="s">
        <v>13</v>
      </c>
      <c r="C602" s="2" t="s">
        <v>14</v>
      </c>
      <c r="D602" s="2" t="s">
        <v>15</v>
      </c>
      <c r="E602" s="3" t="n">
        <v>45962</v>
      </c>
      <c r="F602" s="2" t="n">
        <v>11</v>
      </c>
      <c r="G602" s="4" t="n">
        <v>69.99</v>
      </c>
      <c r="H602" s="4" t="n">
        <v>33.19</v>
      </c>
      <c r="I602" s="4" t="n">
        <f aca="false">F602*G602</f>
        <v>769.89</v>
      </c>
      <c r="J602" s="4" t="n">
        <f aca="false">F602*H602</f>
        <v>365.09</v>
      </c>
      <c r="K602" s="4" t="n">
        <f aca="false">I602-J602</f>
        <v>404.8</v>
      </c>
      <c r="L602" s="5" t="n">
        <f aca="false">IFERROR(K602/I602,0)</f>
        <v>0.525789398485498</v>
      </c>
    </row>
    <row r="603" customFormat="false" ht="15" hidden="false" customHeight="false" outlineLevel="0" collapsed="false">
      <c r="A603" s="2" t="s">
        <v>12</v>
      </c>
      <c r="B603" s="2" t="s">
        <v>13</v>
      </c>
      <c r="C603" s="2" t="s">
        <v>14</v>
      </c>
      <c r="D603" s="2" t="s">
        <v>16</v>
      </c>
      <c r="E603" s="3" t="n">
        <v>45962</v>
      </c>
      <c r="F603" s="2" t="n">
        <v>16</v>
      </c>
      <c r="G603" s="4" t="n">
        <v>19.99</v>
      </c>
      <c r="H603" s="4" t="n">
        <v>8.75</v>
      </c>
      <c r="I603" s="4" t="n">
        <f aca="false">F603*G603</f>
        <v>319.84</v>
      </c>
      <c r="J603" s="4" t="n">
        <f aca="false">F603*H603</f>
        <v>140</v>
      </c>
      <c r="K603" s="4" t="n">
        <f aca="false">I603-J603</f>
        <v>179.84</v>
      </c>
      <c r="L603" s="5" t="n">
        <f aca="false">IFERROR(K603/I603,0)</f>
        <v>0.562281140570285</v>
      </c>
    </row>
    <row r="604" customFormat="false" ht="15" hidden="false" customHeight="false" outlineLevel="0" collapsed="false">
      <c r="A604" s="2" t="s">
        <v>12</v>
      </c>
      <c r="B604" s="2" t="s">
        <v>13</v>
      </c>
      <c r="C604" s="2" t="s">
        <v>14</v>
      </c>
      <c r="D604" s="2" t="s">
        <v>17</v>
      </c>
      <c r="E604" s="3" t="n">
        <v>45962</v>
      </c>
      <c r="F604" s="2" t="n">
        <v>14</v>
      </c>
      <c r="G604" s="4" t="n">
        <v>79.99</v>
      </c>
      <c r="H604" s="4" t="n">
        <v>39.05</v>
      </c>
      <c r="I604" s="4" t="n">
        <f aca="false">F604*G604</f>
        <v>1119.86</v>
      </c>
      <c r="J604" s="4" t="n">
        <f aca="false">F604*H604</f>
        <v>546.7</v>
      </c>
      <c r="K604" s="4" t="n">
        <f aca="false">I604-J604</f>
        <v>573.16</v>
      </c>
      <c r="L604" s="5" t="n">
        <f aca="false">IFERROR(K604/I604,0)</f>
        <v>0.511813976747093</v>
      </c>
    </row>
    <row r="605" customFormat="false" ht="15" hidden="false" customHeight="false" outlineLevel="0" collapsed="false">
      <c r="A605" s="2" t="s">
        <v>12</v>
      </c>
      <c r="B605" s="2" t="s">
        <v>13</v>
      </c>
      <c r="C605" s="2" t="s">
        <v>14</v>
      </c>
      <c r="D605" s="2" t="s">
        <v>18</v>
      </c>
      <c r="E605" s="3" t="n">
        <v>45962</v>
      </c>
      <c r="F605" s="2" t="n">
        <v>19</v>
      </c>
      <c r="G605" s="4" t="n">
        <v>34.99</v>
      </c>
      <c r="H605" s="4" t="n">
        <v>14.48</v>
      </c>
      <c r="I605" s="4" t="n">
        <f aca="false">F605*G605</f>
        <v>664.81</v>
      </c>
      <c r="J605" s="4" t="n">
        <f aca="false">F605*H605</f>
        <v>275.12</v>
      </c>
      <c r="K605" s="4" t="n">
        <f aca="false">I605-J605</f>
        <v>389.69</v>
      </c>
      <c r="L605" s="5" t="n">
        <f aca="false">IFERROR(K605/I605,0)</f>
        <v>0.586167476421835</v>
      </c>
    </row>
    <row r="606" customFormat="false" ht="15" hidden="false" customHeight="false" outlineLevel="0" collapsed="false">
      <c r="A606" s="2" t="s">
        <v>12</v>
      </c>
      <c r="B606" s="2" t="s">
        <v>13</v>
      </c>
      <c r="C606" s="2" t="s">
        <v>14</v>
      </c>
      <c r="D606" s="2" t="s">
        <v>19</v>
      </c>
      <c r="E606" s="3" t="n">
        <v>45962</v>
      </c>
      <c r="F606" s="2" t="n">
        <v>13</v>
      </c>
      <c r="G606" s="4" t="n">
        <v>54.99</v>
      </c>
      <c r="H606" s="4" t="n">
        <v>24.01</v>
      </c>
      <c r="I606" s="4" t="n">
        <f aca="false">F606*G606</f>
        <v>714.87</v>
      </c>
      <c r="J606" s="4" t="n">
        <f aca="false">F606*H606</f>
        <v>312.13</v>
      </c>
      <c r="K606" s="4" t="n">
        <f aca="false">I606-J606</f>
        <v>402.74</v>
      </c>
      <c r="L606" s="5" t="n">
        <f aca="false">IFERROR(K606/I606,0)</f>
        <v>0.56337515911984</v>
      </c>
    </row>
    <row r="607" customFormat="false" ht="15" hidden="false" customHeight="false" outlineLevel="0" collapsed="false">
      <c r="A607" s="2" t="s">
        <v>12</v>
      </c>
      <c r="B607" s="2" t="s">
        <v>13</v>
      </c>
      <c r="C607" s="2" t="s">
        <v>20</v>
      </c>
      <c r="D607" s="2" t="s">
        <v>21</v>
      </c>
      <c r="E607" s="3" t="n">
        <v>45962</v>
      </c>
      <c r="F607" s="2" t="n">
        <v>15</v>
      </c>
      <c r="G607" s="4" t="n">
        <v>44.99</v>
      </c>
      <c r="H607" s="4" t="n">
        <v>20.77</v>
      </c>
      <c r="I607" s="4" t="n">
        <f aca="false">F607*G607</f>
        <v>674.85</v>
      </c>
      <c r="J607" s="4" t="n">
        <f aca="false">F607*H607</f>
        <v>311.55</v>
      </c>
      <c r="K607" s="4" t="n">
        <f aca="false">I607-J607</f>
        <v>363.3</v>
      </c>
      <c r="L607" s="5" t="n">
        <f aca="false">IFERROR(K607/I607,0)</f>
        <v>0.538341853745277</v>
      </c>
    </row>
    <row r="608" customFormat="false" ht="15" hidden="false" customHeight="false" outlineLevel="0" collapsed="false">
      <c r="A608" s="2" t="s">
        <v>12</v>
      </c>
      <c r="B608" s="2" t="s">
        <v>13</v>
      </c>
      <c r="C608" s="2" t="s">
        <v>20</v>
      </c>
      <c r="D608" s="2" t="s">
        <v>22</v>
      </c>
      <c r="E608" s="3" t="n">
        <v>45962</v>
      </c>
      <c r="F608" s="2" t="n">
        <v>19</v>
      </c>
      <c r="G608" s="4" t="n">
        <v>14.99</v>
      </c>
      <c r="H608" s="4" t="n">
        <v>5.57</v>
      </c>
      <c r="I608" s="4" t="n">
        <f aca="false">F608*G608</f>
        <v>284.81</v>
      </c>
      <c r="J608" s="4" t="n">
        <f aca="false">F608*H608</f>
        <v>105.83</v>
      </c>
      <c r="K608" s="4" t="n">
        <f aca="false">I608-J608</f>
        <v>178.98</v>
      </c>
      <c r="L608" s="5" t="n">
        <f aca="false">IFERROR(K608/I608,0)</f>
        <v>0.628418945963976</v>
      </c>
    </row>
    <row r="609" customFormat="false" ht="15" hidden="false" customHeight="false" outlineLevel="0" collapsed="false">
      <c r="A609" s="2" t="s">
        <v>12</v>
      </c>
      <c r="B609" s="2" t="s">
        <v>13</v>
      </c>
      <c r="C609" s="2" t="s">
        <v>20</v>
      </c>
      <c r="D609" s="2" t="s">
        <v>23</v>
      </c>
      <c r="E609" s="3" t="n">
        <v>45962</v>
      </c>
      <c r="F609" s="2" t="n">
        <v>10</v>
      </c>
      <c r="G609" s="4" t="n">
        <v>39.99</v>
      </c>
      <c r="H609" s="4" t="n">
        <v>16.94</v>
      </c>
      <c r="I609" s="4" t="n">
        <f aca="false">F609*G609</f>
        <v>399.9</v>
      </c>
      <c r="J609" s="4" t="n">
        <f aca="false">F609*H609</f>
        <v>169.4</v>
      </c>
      <c r="K609" s="4" t="n">
        <f aca="false">I609-J609</f>
        <v>230.5</v>
      </c>
      <c r="L609" s="5" t="n">
        <f aca="false">IFERROR(K609/I609,0)</f>
        <v>0.576394098524631</v>
      </c>
    </row>
    <row r="610" customFormat="false" ht="15" hidden="false" customHeight="false" outlineLevel="0" collapsed="false">
      <c r="A610" s="2" t="s">
        <v>12</v>
      </c>
      <c r="B610" s="2" t="s">
        <v>13</v>
      </c>
      <c r="C610" s="2" t="s">
        <v>20</v>
      </c>
      <c r="D610" s="2" t="s">
        <v>24</v>
      </c>
      <c r="E610" s="3" t="n">
        <v>45962</v>
      </c>
      <c r="F610" s="2" t="n">
        <v>11</v>
      </c>
      <c r="G610" s="4" t="n">
        <v>18.99</v>
      </c>
      <c r="H610" s="4" t="n">
        <v>7.47</v>
      </c>
      <c r="I610" s="4" t="n">
        <f aca="false">F610*G610</f>
        <v>208.89</v>
      </c>
      <c r="J610" s="4" t="n">
        <f aca="false">F610*H610</f>
        <v>82.17</v>
      </c>
      <c r="K610" s="4" t="n">
        <f aca="false">I610-J610</f>
        <v>126.72</v>
      </c>
      <c r="L610" s="5" t="n">
        <f aca="false">IFERROR(K610/I610,0)</f>
        <v>0.606635071090047</v>
      </c>
    </row>
    <row r="611" customFormat="false" ht="15" hidden="false" customHeight="false" outlineLevel="0" collapsed="false">
      <c r="A611" s="2" t="s">
        <v>12</v>
      </c>
      <c r="B611" s="2" t="s">
        <v>13</v>
      </c>
      <c r="C611" s="2" t="s">
        <v>20</v>
      </c>
      <c r="D611" s="2" t="s">
        <v>25</v>
      </c>
      <c r="E611" s="3" t="n">
        <v>45962</v>
      </c>
      <c r="F611" s="2" t="n">
        <v>16</v>
      </c>
      <c r="G611" s="4" t="n">
        <v>42.99</v>
      </c>
      <c r="H611" s="4" t="n">
        <v>16.13</v>
      </c>
      <c r="I611" s="4" t="n">
        <f aca="false">F611*G611</f>
        <v>687.84</v>
      </c>
      <c r="J611" s="4" t="n">
        <f aca="false">F611*H611</f>
        <v>258.08</v>
      </c>
      <c r="K611" s="4" t="n">
        <f aca="false">I611-J611</f>
        <v>429.76</v>
      </c>
      <c r="L611" s="5" t="n">
        <f aca="false">IFERROR(K611/I611,0)</f>
        <v>0.624796464294022</v>
      </c>
    </row>
    <row r="612" customFormat="false" ht="15" hidden="false" customHeight="false" outlineLevel="0" collapsed="false">
      <c r="A612" s="2" t="s">
        <v>12</v>
      </c>
      <c r="B612" s="2" t="s">
        <v>13</v>
      </c>
      <c r="C612" s="2" t="s">
        <v>26</v>
      </c>
      <c r="D612" s="2" t="s">
        <v>27</v>
      </c>
      <c r="E612" s="3" t="n">
        <v>45962</v>
      </c>
      <c r="F612" s="2" t="n">
        <v>25</v>
      </c>
      <c r="G612" s="4" t="n">
        <v>44.99</v>
      </c>
      <c r="H612" s="4" t="n">
        <v>27.74</v>
      </c>
      <c r="I612" s="4" t="n">
        <f aca="false">F612*G612</f>
        <v>1124.75</v>
      </c>
      <c r="J612" s="4" t="n">
        <f aca="false">F612*H612</f>
        <v>693.5</v>
      </c>
      <c r="K612" s="4" t="n">
        <f aca="false">I612-J612</f>
        <v>431.25</v>
      </c>
      <c r="L612" s="5" t="n">
        <f aca="false">IFERROR(K612/I612,0)</f>
        <v>0.383418537452767</v>
      </c>
    </row>
    <row r="613" customFormat="false" ht="15" hidden="false" customHeight="false" outlineLevel="0" collapsed="false">
      <c r="A613" s="2" t="s">
        <v>12</v>
      </c>
      <c r="B613" s="2" t="s">
        <v>13</v>
      </c>
      <c r="C613" s="2" t="s">
        <v>26</v>
      </c>
      <c r="D613" s="2" t="s">
        <v>28</v>
      </c>
      <c r="E613" s="3" t="n">
        <v>45962</v>
      </c>
      <c r="F613" s="2" t="n">
        <v>45</v>
      </c>
      <c r="G613" s="4" t="n">
        <v>34.99</v>
      </c>
      <c r="H613" s="4" t="n">
        <v>21.75</v>
      </c>
      <c r="I613" s="4" t="n">
        <f aca="false">F613*G613</f>
        <v>1574.55</v>
      </c>
      <c r="J613" s="4" t="n">
        <f aca="false">F613*H613</f>
        <v>978.75</v>
      </c>
      <c r="K613" s="4" t="n">
        <f aca="false">I613-J613</f>
        <v>595.8</v>
      </c>
      <c r="L613" s="5" t="n">
        <f aca="false">IFERROR(K613/I613,0)</f>
        <v>0.378393826807659</v>
      </c>
    </row>
    <row r="614" customFormat="false" ht="15" hidden="false" customHeight="false" outlineLevel="0" collapsed="false">
      <c r="A614" s="2" t="s">
        <v>12</v>
      </c>
      <c r="B614" s="2" t="s">
        <v>13</v>
      </c>
      <c r="C614" s="2" t="s">
        <v>26</v>
      </c>
      <c r="D614" s="2" t="s">
        <v>29</v>
      </c>
      <c r="E614" s="3" t="n">
        <v>45962</v>
      </c>
      <c r="F614" s="2" t="n">
        <v>33</v>
      </c>
      <c r="G614" s="4" t="n">
        <v>119.99</v>
      </c>
      <c r="H614" s="4" t="n">
        <v>79.74</v>
      </c>
      <c r="I614" s="4" t="n">
        <f aca="false">F614*G614</f>
        <v>3959.67</v>
      </c>
      <c r="J614" s="4" t="n">
        <f aca="false">F614*H614</f>
        <v>2631.42</v>
      </c>
      <c r="K614" s="4" t="n">
        <f aca="false">I614-J614</f>
        <v>1328.25</v>
      </c>
      <c r="L614" s="5" t="n">
        <f aca="false">IFERROR(K614/I614,0)</f>
        <v>0.335444620385032</v>
      </c>
    </row>
    <row r="615" customFormat="false" ht="15" hidden="false" customHeight="false" outlineLevel="0" collapsed="false">
      <c r="A615" s="2" t="s">
        <v>12</v>
      </c>
      <c r="B615" s="2" t="s">
        <v>13</v>
      </c>
      <c r="C615" s="2" t="s">
        <v>26</v>
      </c>
      <c r="D615" s="2" t="s">
        <v>30</v>
      </c>
      <c r="E615" s="3" t="n">
        <v>45962</v>
      </c>
      <c r="F615" s="2" t="n">
        <v>41</v>
      </c>
      <c r="G615" s="4" t="n">
        <v>24.99</v>
      </c>
      <c r="H615" s="4" t="n">
        <v>15.18</v>
      </c>
      <c r="I615" s="4" t="n">
        <f aca="false">F615*G615</f>
        <v>1024.59</v>
      </c>
      <c r="J615" s="4" t="n">
        <f aca="false">F615*H615</f>
        <v>622.38</v>
      </c>
      <c r="K615" s="4" t="n">
        <f aca="false">I615-J615</f>
        <v>402.21</v>
      </c>
      <c r="L615" s="5" t="n">
        <f aca="false">IFERROR(K615/I615,0)</f>
        <v>0.392557022809124</v>
      </c>
    </row>
    <row r="616" customFormat="false" ht="15" hidden="false" customHeight="false" outlineLevel="0" collapsed="false">
      <c r="A616" s="2" t="s">
        <v>12</v>
      </c>
      <c r="B616" s="2" t="s">
        <v>13</v>
      </c>
      <c r="C616" s="2" t="s">
        <v>26</v>
      </c>
      <c r="D616" s="2" t="s">
        <v>31</v>
      </c>
      <c r="E616" s="3" t="n">
        <v>45962</v>
      </c>
      <c r="F616" s="2" t="n">
        <v>33</v>
      </c>
      <c r="G616" s="4" t="n">
        <v>59.99</v>
      </c>
      <c r="H616" s="4" t="n">
        <v>39.69</v>
      </c>
      <c r="I616" s="4" t="n">
        <f aca="false">F616*G616</f>
        <v>1979.67</v>
      </c>
      <c r="J616" s="4" t="n">
        <f aca="false">F616*H616</f>
        <v>1309.77</v>
      </c>
      <c r="K616" s="4" t="n">
        <f aca="false">I616-J616</f>
        <v>669.9</v>
      </c>
      <c r="L616" s="5" t="n">
        <f aca="false">IFERROR(K616/I616,0)</f>
        <v>0.338389731621937</v>
      </c>
    </row>
    <row r="617" customFormat="false" ht="15" hidden="false" customHeight="false" outlineLevel="0" collapsed="false">
      <c r="A617" s="2" t="s">
        <v>12</v>
      </c>
      <c r="B617" s="2" t="s">
        <v>13</v>
      </c>
      <c r="C617" s="2" t="s">
        <v>32</v>
      </c>
      <c r="D617" s="2" t="s">
        <v>33</v>
      </c>
      <c r="E617" s="3" t="n">
        <v>45962</v>
      </c>
      <c r="F617" s="2" t="n">
        <v>14</v>
      </c>
      <c r="G617" s="4" t="n">
        <v>49.99</v>
      </c>
      <c r="H617" s="4" t="n">
        <v>35.81</v>
      </c>
      <c r="I617" s="4" t="n">
        <f aca="false">F617*G617</f>
        <v>699.86</v>
      </c>
      <c r="J617" s="4" t="n">
        <f aca="false">F617*H617</f>
        <v>501.34</v>
      </c>
      <c r="K617" s="4" t="n">
        <f aca="false">I617-J617</f>
        <v>198.52</v>
      </c>
      <c r="L617" s="5" t="n">
        <f aca="false">IFERROR(K617/I617,0)</f>
        <v>0.283656731346269</v>
      </c>
    </row>
    <row r="618" customFormat="false" ht="15" hidden="false" customHeight="false" outlineLevel="0" collapsed="false">
      <c r="A618" s="2" t="s">
        <v>12</v>
      </c>
      <c r="B618" s="2" t="s">
        <v>13</v>
      </c>
      <c r="C618" s="2" t="s">
        <v>32</v>
      </c>
      <c r="D618" s="2" t="s">
        <v>34</v>
      </c>
      <c r="E618" s="3" t="n">
        <v>45962</v>
      </c>
      <c r="F618" s="2" t="n">
        <v>18</v>
      </c>
      <c r="G618" s="4" t="n">
        <v>27.99</v>
      </c>
      <c r="H618" s="4" t="n">
        <v>20.02</v>
      </c>
      <c r="I618" s="4" t="n">
        <f aca="false">F618*G618</f>
        <v>503.82</v>
      </c>
      <c r="J618" s="4" t="n">
        <f aca="false">F618*H618</f>
        <v>360.36</v>
      </c>
      <c r="K618" s="4" t="n">
        <f aca="false">I618-J618</f>
        <v>143.46</v>
      </c>
      <c r="L618" s="5" t="n">
        <f aca="false">IFERROR(K618/I618,0)</f>
        <v>0.284744551625581</v>
      </c>
    </row>
    <row r="619" customFormat="false" ht="15" hidden="false" customHeight="false" outlineLevel="0" collapsed="false">
      <c r="A619" s="2" t="s">
        <v>12</v>
      </c>
      <c r="B619" s="2" t="s">
        <v>13</v>
      </c>
      <c r="C619" s="2" t="s">
        <v>32</v>
      </c>
      <c r="D619" s="2" t="s">
        <v>35</v>
      </c>
      <c r="E619" s="3" t="n">
        <v>45962</v>
      </c>
      <c r="F619" s="2" t="n">
        <v>17</v>
      </c>
      <c r="G619" s="4" t="n">
        <v>64.99</v>
      </c>
      <c r="H619" s="4" t="n">
        <v>44.17</v>
      </c>
      <c r="I619" s="4" t="n">
        <f aca="false">F619*G619</f>
        <v>1104.83</v>
      </c>
      <c r="J619" s="4" t="n">
        <f aca="false">F619*H619</f>
        <v>750.89</v>
      </c>
      <c r="K619" s="4" t="n">
        <f aca="false">I619-J619</f>
        <v>353.94</v>
      </c>
      <c r="L619" s="5" t="n">
        <f aca="false">IFERROR(K619/I619,0)</f>
        <v>0.320356977996615</v>
      </c>
    </row>
    <row r="620" customFormat="false" ht="15" hidden="false" customHeight="false" outlineLevel="0" collapsed="false">
      <c r="A620" s="2" t="s">
        <v>12</v>
      </c>
      <c r="B620" s="2" t="s">
        <v>13</v>
      </c>
      <c r="C620" s="2" t="s">
        <v>32</v>
      </c>
      <c r="D620" s="2" t="s">
        <v>36</v>
      </c>
      <c r="E620" s="3" t="n">
        <v>45962</v>
      </c>
      <c r="F620" s="2" t="n">
        <v>13</v>
      </c>
      <c r="G620" s="4" t="n">
        <v>22.99</v>
      </c>
      <c r="H620" s="4" t="n">
        <v>16.52</v>
      </c>
      <c r="I620" s="4" t="n">
        <f aca="false">F620*G620</f>
        <v>298.87</v>
      </c>
      <c r="J620" s="4" t="n">
        <f aca="false">F620*H620</f>
        <v>214.76</v>
      </c>
      <c r="K620" s="4" t="n">
        <f aca="false">I620-J620</f>
        <v>84.11</v>
      </c>
      <c r="L620" s="5" t="n">
        <f aca="false">IFERROR(K620/I620,0)</f>
        <v>0.281426707264028</v>
      </c>
    </row>
    <row r="621" customFormat="false" ht="15" hidden="false" customHeight="false" outlineLevel="0" collapsed="false">
      <c r="A621" s="2" t="s">
        <v>12</v>
      </c>
      <c r="B621" s="2" t="s">
        <v>13</v>
      </c>
      <c r="C621" s="2" t="s">
        <v>32</v>
      </c>
      <c r="D621" s="2" t="s">
        <v>37</v>
      </c>
      <c r="E621" s="3" t="n">
        <v>45962</v>
      </c>
      <c r="F621" s="2" t="n">
        <v>12</v>
      </c>
      <c r="G621" s="4" t="n">
        <v>29.99</v>
      </c>
      <c r="H621" s="4" t="n">
        <v>20.17</v>
      </c>
      <c r="I621" s="4" t="n">
        <f aca="false">F621*G621</f>
        <v>359.88</v>
      </c>
      <c r="J621" s="4" t="n">
        <f aca="false">F621*H621</f>
        <v>242.04</v>
      </c>
      <c r="K621" s="4" t="n">
        <f aca="false">I621-J621</f>
        <v>117.84</v>
      </c>
      <c r="L621" s="5" t="n">
        <f aca="false">IFERROR(K621/I621,0)</f>
        <v>0.327442480826942</v>
      </c>
    </row>
    <row r="622" customFormat="false" ht="15" hidden="false" customHeight="false" outlineLevel="0" collapsed="false">
      <c r="A622" s="2" t="s">
        <v>12</v>
      </c>
      <c r="B622" s="2" t="s">
        <v>13</v>
      </c>
      <c r="C622" s="2" t="s">
        <v>38</v>
      </c>
      <c r="D622" s="2" t="s">
        <v>39</v>
      </c>
      <c r="E622" s="3" t="n">
        <v>45962</v>
      </c>
      <c r="F622" s="2" t="n">
        <v>12</v>
      </c>
      <c r="G622" s="4" t="n">
        <v>129.99</v>
      </c>
      <c r="H622" s="4" t="n">
        <v>77.6</v>
      </c>
      <c r="I622" s="4" t="n">
        <f aca="false">F622*G622</f>
        <v>1559.88</v>
      </c>
      <c r="J622" s="4" t="n">
        <f aca="false">F622*H622</f>
        <v>931.2</v>
      </c>
      <c r="K622" s="4" t="n">
        <f aca="false">I622-J622</f>
        <v>628.68</v>
      </c>
      <c r="L622" s="5" t="n">
        <f aca="false">IFERROR(K622/I622,0)</f>
        <v>0.403031002384799</v>
      </c>
    </row>
    <row r="623" customFormat="false" ht="15" hidden="false" customHeight="false" outlineLevel="0" collapsed="false">
      <c r="A623" s="2" t="s">
        <v>12</v>
      </c>
      <c r="B623" s="2" t="s">
        <v>13</v>
      </c>
      <c r="C623" s="2" t="s">
        <v>38</v>
      </c>
      <c r="D623" s="2" t="s">
        <v>40</v>
      </c>
      <c r="E623" s="3" t="n">
        <v>45962</v>
      </c>
      <c r="F623" s="2" t="n">
        <v>18</v>
      </c>
      <c r="G623" s="4" t="n">
        <v>74.99</v>
      </c>
      <c r="H623" s="4" t="n">
        <v>40.71</v>
      </c>
      <c r="I623" s="4" t="n">
        <f aca="false">F623*G623</f>
        <v>1349.82</v>
      </c>
      <c r="J623" s="4" t="n">
        <f aca="false">F623*H623</f>
        <v>732.78</v>
      </c>
      <c r="K623" s="4" t="n">
        <f aca="false">I623-J623</f>
        <v>617.04</v>
      </c>
      <c r="L623" s="5" t="n">
        <f aca="false">IFERROR(K623/I623,0)</f>
        <v>0.457127617015602</v>
      </c>
    </row>
    <row r="624" customFormat="false" ht="15" hidden="false" customHeight="false" outlineLevel="0" collapsed="false">
      <c r="A624" s="2" t="s">
        <v>12</v>
      </c>
      <c r="B624" s="2" t="s">
        <v>13</v>
      </c>
      <c r="C624" s="2" t="s">
        <v>38</v>
      </c>
      <c r="D624" s="2" t="s">
        <v>41</v>
      </c>
      <c r="E624" s="3" t="n">
        <v>45962</v>
      </c>
      <c r="F624" s="2" t="n">
        <v>18</v>
      </c>
      <c r="G624" s="4" t="n">
        <v>19.99</v>
      </c>
      <c r="H624" s="4" t="n">
        <v>9.61</v>
      </c>
      <c r="I624" s="4" t="n">
        <f aca="false">F624*G624</f>
        <v>359.82</v>
      </c>
      <c r="J624" s="4" t="n">
        <f aca="false">F624*H624</f>
        <v>172.98</v>
      </c>
      <c r="K624" s="4" t="n">
        <f aca="false">I624-J624</f>
        <v>186.84</v>
      </c>
      <c r="L624" s="5" t="n">
        <f aca="false">IFERROR(K624/I624,0)</f>
        <v>0.519259629814908</v>
      </c>
    </row>
    <row r="625" customFormat="false" ht="15" hidden="false" customHeight="false" outlineLevel="0" collapsed="false">
      <c r="A625" s="2" t="s">
        <v>12</v>
      </c>
      <c r="B625" s="2" t="s">
        <v>13</v>
      </c>
      <c r="C625" s="2" t="s">
        <v>38</v>
      </c>
      <c r="D625" s="2" t="s">
        <v>42</v>
      </c>
      <c r="E625" s="3" t="n">
        <v>45962</v>
      </c>
      <c r="F625" s="2" t="n">
        <v>23</v>
      </c>
      <c r="G625" s="4" t="n">
        <v>16.99</v>
      </c>
      <c r="H625" s="4" t="n">
        <v>8.32</v>
      </c>
      <c r="I625" s="4" t="n">
        <f aca="false">F625*G625</f>
        <v>390.77</v>
      </c>
      <c r="J625" s="4" t="n">
        <f aca="false">F625*H625</f>
        <v>191.36</v>
      </c>
      <c r="K625" s="4" t="n">
        <f aca="false">I625-J625</f>
        <v>199.41</v>
      </c>
      <c r="L625" s="5" t="n">
        <f aca="false">IFERROR(K625/I625,0)</f>
        <v>0.510300176574456</v>
      </c>
    </row>
    <row r="626" customFormat="false" ht="15" hidden="false" customHeight="false" outlineLevel="0" collapsed="false">
      <c r="A626" s="2" t="s">
        <v>12</v>
      </c>
      <c r="B626" s="2" t="s">
        <v>13</v>
      </c>
      <c r="C626" s="2" t="s">
        <v>38</v>
      </c>
      <c r="D626" s="2" t="s">
        <v>43</v>
      </c>
      <c r="E626" s="3" t="n">
        <v>45962</v>
      </c>
      <c r="F626" s="2" t="n">
        <v>10</v>
      </c>
      <c r="G626" s="4" t="n">
        <v>24.99</v>
      </c>
      <c r="H626" s="4" t="n">
        <v>13.26</v>
      </c>
      <c r="I626" s="4" t="n">
        <f aca="false">F626*G626</f>
        <v>249.9</v>
      </c>
      <c r="J626" s="4" t="n">
        <f aca="false">F626*H626</f>
        <v>132.6</v>
      </c>
      <c r="K626" s="4" t="n">
        <f aca="false">I626-J626</f>
        <v>117.3</v>
      </c>
      <c r="L626" s="5" t="n">
        <f aca="false">IFERROR(K626/I626,0)</f>
        <v>0.469387755102041</v>
      </c>
    </row>
    <row r="627" customFormat="false" ht="15" hidden="false" customHeight="false" outlineLevel="0" collapsed="false">
      <c r="A627" s="2" t="s">
        <v>44</v>
      </c>
      <c r="B627" s="2" t="s">
        <v>45</v>
      </c>
      <c r="C627" s="2" t="s">
        <v>14</v>
      </c>
      <c r="D627" s="2" t="s">
        <v>15</v>
      </c>
      <c r="E627" s="3" t="n">
        <v>45962</v>
      </c>
      <c r="F627" s="2" t="n">
        <v>18</v>
      </c>
      <c r="G627" s="4" t="n">
        <v>69.99</v>
      </c>
      <c r="H627" s="4" t="n">
        <v>34.39</v>
      </c>
      <c r="I627" s="4" t="n">
        <f aca="false">F627*G627</f>
        <v>1259.82</v>
      </c>
      <c r="J627" s="4" t="n">
        <f aca="false">F627*H627</f>
        <v>619.02</v>
      </c>
      <c r="K627" s="4" t="n">
        <f aca="false">I627-J627</f>
        <v>640.8</v>
      </c>
      <c r="L627" s="5" t="n">
        <f aca="false">IFERROR(K627/I627,0)</f>
        <v>0.508644092013145</v>
      </c>
    </row>
    <row r="628" customFormat="false" ht="15" hidden="false" customHeight="false" outlineLevel="0" collapsed="false">
      <c r="A628" s="2" t="s">
        <v>44</v>
      </c>
      <c r="B628" s="2" t="s">
        <v>45</v>
      </c>
      <c r="C628" s="2" t="s">
        <v>14</v>
      </c>
      <c r="D628" s="2" t="s">
        <v>16</v>
      </c>
      <c r="E628" s="3" t="n">
        <v>45962</v>
      </c>
      <c r="F628" s="2" t="n">
        <v>13</v>
      </c>
      <c r="G628" s="4" t="n">
        <v>19.99</v>
      </c>
      <c r="H628" s="4" t="n">
        <v>8.75</v>
      </c>
      <c r="I628" s="4" t="n">
        <f aca="false">F628*G628</f>
        <v>259.87</v>
      </c>
      <c r="J628" s="4" t="n">
        <f aca="false">F628*H628</f>
        <v>113.75</v>
      </c>
      <c r="K628" s="4" t="n">
        <f aca="false">I628-J628</f>
        <v>146.12</v>
      </c>
      <c r="L628" s="5" t="n">
        <f aca="false">IFERROR(K628/I628,0)</f>
        <v>0.562281140570285</v>
      </c>
    </row>
    <row r="629" customFormat="false" ht="15" hidden="false" customHeight="false" outlineLevel="0" collapsed="false">
      <c r="A629" s="2" t="s">
        <v>44</v>
      </c>
      <c r="B629" s="2" t="s">
        <v>45</v>
      </c>
      <c r="C629" s="2" t="s">
        <v>14</v>
      </c>
      <c r="D629" s="2" t="s">
        <v>17</v>
      </c>
      <c r="E629" s="3" t="n">
        <v>45962</v>
      </c>
      <c r="F629" s="2" t="n">
        <v>11</v>
      </c>
      <c r="G629" s="4" t="n">
        <v>79.99</v>
      </c>
      <c r="H629" s="4" t="n">
        <v>39.25</v>
      </c>
      <c r="I629" s="4" t="n">
        <f aca="false">F629*G629</f>
        <v>879.89</v>
      </c>
      <c r="J629" s="4" t="n">
        <f aca="false">F629*H629</f>
        <v>431.75</v>
      </c>
      <c r="K629" s="4" t="n">
        <f aca="false">I629-J629</f>
        <v>448.14</v>
      </c>
      <c r="L629" s="5" t="n">
        <f aca="false">IFERROR(K629/I629,0)</f>
        <v>0.509313664208026</v>
      </c>
    </row>
    <row r="630" customFormat="false" ht="15" hidden="false" customHeight="false" outlineLevel="0" collapsed="false">
      <c r="A630" s="2" t="s">
        <v>44</v>
      </c>
      <c r="B630" s="2" t="s">
        <v>45</v>
      </c>
      <c r="C630" s="2" t="s">
        <v>14</v>
      </c>
      <c r="D630" s="2" t="s">
        <v>18</v>
      </c>
      <c r="E630" s="3" t="n">
        <v>45962</v>
      </c>
      <c r="F630" s="2" t="n">
        <v>16</v>
      </c>
      <c r="G630" s="4" t="n">
        <v>34.99</v>
      </c>
      <c r="H630" s="4" t="n">
        <v>15.04</v>
      </c>
      <c r="I630" s="4" t="n">
        <f aca="false">F630*G630</f>
        <v>559.84</v>
      </c>
      <c r="J630" s="4" t="n">
        <f aca="false">F630*H630</f>
        <v>240.64</v>
      </c>
      <c r="K630" s="4" t="n">
        <f aca="false">I630-J630</f>
        <v>319.2</v>
      </c>
      <c r="L630" s="5" t="n">
        <f aca="false">IFERROR(K630/I630,0)</f>
        <v>0.570162903686768</v>
      </c>
    </row>
    <row r="631" customFormat="false" ht="15" hidden="false" customHeight="false" outlineLevel="0" collapsed="false">
      <c r="A631" s="2" t="s">
        <v>44</v>
      </c>
      <c r="B631" s="2" t="s">
        <v>45</v>
      </c>
      <c r="C631" s="2" t="s">
        <v>14</v>
      </c>
      <c r="D631" s="2" t="s">
        <v>19</v>
      </c>
      <c r="E631" s="3" t="n">
        <v>45962</v>
      </c>
      <c r="F631" s="2" t="n">
        <v>18</v>
      </c>
      <c r="G631" s="4" t="n">
        <v>54.99</v>
      </c>
      <c r="H631" s="4" t="n">
        <v>23.61</v>
      </c>
      <c r="I631" s="4" t="n">
        <f aca="false">F631*G631</f>
        <v>989.82</v>
      </c>
      <c r="J631" s="4" t="n">
        <f aca="false">F631*H631</f>
        <v>424.98</v>
      </c>
      <c r="K631" s="4" t="n">
        <f aca="false">I631-J631</f>
        <v>564.84</v>
      </c>
      <c r="L631" s="5" t="n">
        <f aca="false">IFERROR(K631/I631,0)</f>
        <v>0.570649208947081</v>
      </c>
    </row>
    <row r="632" customFormat="false" ht="15" hidden="false" customHeight="false" outlineLevel="0" collapsed="false">
      <c r="A632" s="2" t="s">
        <v>44</v>
      </c>
      <c r="B632" s="2" t="s">
        <v>45</v>
      </c>
      <c r="C632" s="2" t="s">
        <v>20</v>
      </c>
      <c r="D632" s="2" t="s">
        <v>21</v>
      </c>
      <c r="E632" s="3" t="n">
        <v>45962</v>
      </c>
      <c r="F632" s="2" t="n">
        <v>15</v>
      </c>
      <c r="G632" s="4" t="n">
        <v>44.99</v>
      </c>
      <c r="H632" s="4" t="n">
        <v>19.7</v>
      </c>
      <c r="I632" s="4" t="n">
        <f aca="false">F632*G632</f>
        <v>674.85</v>
      </c>
      <c r="J632" s="4" t="n">
        <f aca="false">F632*H632</f>
        <v>295.5</v>
      </c>
      <c r="K632" s="4" t="n">
        <f aca="false">I632-J632</f>
        <v>379.35</v>
      </c>
      <c r="L632" s="5" t="n">
        <f aca="false">IFERROR(K632/I632,0)</f>
        <v>0.562124916648144</v>
      </c>
    </row>
    <row r="633" customFormat="false" ht="15" hidden="false" customHeight="false" outlineLevel="0" collapsed="false">
      <c r="A633" s="2" t="s">
        <v>44</v>
      </c>
      <c r="B633" s="2" t="s">
        <v>45</v>
      </c>
      <c r="C633" s="2" t="s">
        <v>20</v>
      </c>
      <c r="D633" s="2" t="s">
        <v>22</v>
      </c>
      <c r="E633" s="3" t="n">
        <v>45962</v>
      </c>
      <c r="F633" s="2" t="n">
        <v>21</v>
      </c>
      <c r="G633" s="4" t="n">
        <v>14.99</v>
      </c>
      <c r="H633" s="4" t="n">
        <v>5.71</v>
      </c>
      <c r="I633" s="4" t="n">
        <f aca="false">F633*G633</f>
        <v>314.79</v>
      </c>
      <c r="J633" s="4" t="n">
        <f aca="false">F633*H633</f>
        <v>119.91</v>
      </c>
      <c r="K633" s="4" t="n">
        <f aca="false">I633-J633</f>
        <v>194.88</v>
      </c>
      <c r="L633" s="5" t="n">
        <f aca="false">IFERROR(K633/I633,0)</f>
        <v>0.619079386257505</v>
      </c>
    </row>
    <row r="634" customFormat="false" ht="15" hidden="false" customHeight="false" outlineLevel="0" collapsed="false">
      <c r="A634" s="2" t="s">
        <v>44</v>
      </c>
      <c r="B634" s="2" t="s">
        <v>45</v>
      </c>
      <c r="C634" s="2" t="s">
        <v>20</v>
      </c>
      <c r="D634" s="2" t="s">
        <v>23</v>
      </c>
      <c r="E634" s="3" t="n">
        <v>45962</v>
      </c>
      <c r="F634" s="2" t="n">
        <v>13</v>
      </c>
      <c r="G634" s="4" t="n">
        <v>39.99</v>
      </c>
      <c r="H634" s="4" t="n">
        <v>17.02</v>
      </c>
      <c r="I634" s="4" t="n">
        <f aca="false">F634*G634</f>
        <v>519.87</v>
      </c>
      <c r="J634" s="4" t="n">
        <f aca="false">F634*H634</f>
        <v>221.26</v>
      </c>
      <c r="K634" s="4" t="n">
        <f aca="false">I634-J634</f>
        <v>298.61</v>
      </c>
      <c r="L634" s="5" t="n">
        <f aca="false">IFERROR(K634/I634,0)</f>
        <v>0.5743935983996</v>
      </c>
    </row>
    <row r="635" customFormat="false" ht="15" hidden="false" customHeight="false" outlineLevel="0" collapsed="false">
      <c r="A635" s="2" t="s">
        <v>44</v>
      </c>
      <c r="B635" s="2" t="s">
        <v>45</v>
      </c>
      <c r="C635" s="2" t="s">
        <v>20</v>
      </c>
      <c r="D635" s="2" t="s">
        <v>24</v>
      </c>
      <c r="E635" s="3" t="n">
        <v>45962</v>
      </c>
      <c r="F635" s="2" t="n">
        <v>16</v>
      </c>
      <c r="G635" s="4" t="n">
        <v>18.99</v>
      </c>
      <c r="H635" s="4" t="n">
        <v>7.79</v>
      </c>
      <c r="I635" s="4" t="n">
        <f aca="false">F635*G635</f>
        <v>303.84</v>
      </c>
      <c r="J635" s="4" t="n">
        <f aca="false">F635*H635</f>
        <v>124.64</v>
      </c>
      <c r="K635" s="4" t="n">
        <f aca="false">I635-J635</f>
        <v>179.2</v>
      </c>
      <c r="L635" s="5" t="n">
        <f aca="false">IFERROR(K635/I635,0)</f>
        <v>0.589784096893102</v>
      </c>
    </row>
    <row r="636" customFormat="false" ht="15" hidden="false" customHeight="false" outlineLevel="0" collapsed="false">
      <c r="A636" s="2" t="s">
        <v>44</v>
      </c>
      <c r="B636" s="2" t="s">
        <v>45</v>
      </c>
      <c r="C636" s="2" t="s">
        <v>20</v>
      </c>
      <c r="D636" s="2" t="s">
        <v>25</v>
      </c>
      <c r="E636" s="3" t="n">
        <v>45962</v>
      </c>
      <c r="F636" s="2" t="n">
        <v>15</v>
      </c>
      <c r="G636" s="4" t="n">
        <v>42.99</v>
      </c>
      <c r="H636" s="4" t="n">
        <v>15.55</v>
      </c>
      <c r="I636" s="4" t="n">
        <f aca="false">F636*G636</f>
        <v>644.85</v>
      </c>
      <c r="J636" s="4" t="n">
        <f aca="false">F636*H636</f>
        <v>233.25</v>
      </c>
      <c r="K636" s="4" t="n">
        <f aca="false">I636-J636</f>
        <v>411.6</v>
      </c>
      <c r="L636" s="5" t="n">
        <f aca="false">IFERROR(K636/I636,0)</f>
        <v>0.63828797394743</v>
      </c>
    </row>
    <row r="637" customFormat="false" ht="15" hidden="false" customHeight="false" outlineLevel="0" collapsed="false">
      <c r="A637" s="2" t="s">
        <v>44</v>
      </c>
      <c r="B637" s="2" t="s">
        <v>45</v>
      </c>
      <c r="C637" s="2" t="s">
        <v>26</v>
      </c>
      <c r="D637" s="2" t="s">
        <v>27</v>
      </c>
      <c r="E637" s="3" t="n">
        <v>45962</v>
      </c>
      <c r="F637" s="2" t="n">
        <v>39</v>
      </c>
      <c r="G637" s="4" t="n">
        <v>44.99</v>
      </c>
      <c r="H637" s="4" t="n">
        <v>28.44</v>
      </c>
      <c r="I637" s="4" t="n">
        <f aca="false">F637*G637</f>
        <v>1754.61</v>
      </c>
      <c r="J637" s="4" t="n">
        <f aca="false">F637*H637</f>
        <v>1109.16</v>
      </c>
      <c r="K637" s="4" t="n">
        <f aca="false">I637-J637</f>
        <v>645.45</v>
      </c>
      <c r="L637" s="5" t="n">
        <f aca="false">IFERROR(K637/I637,0)</f>
        <v>0.367859524338742</v>
      </c>
    </row>
    <row r="638" customFormat="false" ht="15" hidden="false" customHeight="false" outlineLevel="0" collapsed="false">
      <c r="A638" s="2" t="s">
        <v>44</v>
      </c>
      <c r="B638" s="2" t="s">
        <v>45</v>
      </c>
      <c r="C638" s="2" t="s">
        <v>26</v>
      </c>
      <c r="D638" s="2" t="s">
        <v>28</v>
      </c>
      <c r="E638" s="3" t="n">
        <v>45962</v>
      </c>
      <c r="F638" s="2" t="n">
        <v>35</v>
      </c>
      <c r="G638" s="4" t="n">
        <v>34.99</v>
      </c>
      <c r="H638" s="4" t="n">
        <v>22.28</v>
      </c>
      <c r="I638" s="4" t="n">
        <f aca="false">F638*G638</f>
        <v>1224.65</v>
      </c>
      <c r="J638" s="4" t="n">
        <f aca="false">F638*H638</f>
        <v>779.8</v>
      </c>
      <c r="K638" s="4" t="n">
        <f aca="false">I638-J638</f>
        <v>444.85</v>
      </c>
      <c r="L638" s="5" t="n">
        <f aca="false">IFERROR(K638/I638,0)</f>
        <v>0.363246641897685</v>
      </c>
    </row>
    <row r="639" customFormat="false" ht="15" hidden="false" customHeight="false" outlineLevel="0" collapsed="false">
      <c r="A639" s="2" t="s">
        <v>44</v>
      </c>
      <c r="B639" s="2" t="s">
        <v>45</v>
      </c>
      <c r="C639" s="2" t="s">
        <v>26</v>
      </c>
      <c r="D639" s="2" t="s">
        <v>29</v>
      </c>
      <c r="E639" s="3" t="n">
        <v>45962</v>
      </c>
      <c r="F639" s="2" t="n">
        <v>42</v>
      </c>
      <c r="G639" s="4" t="n">
        <v>119.99</v>
      </c>
      <c r="H639" s="4" t="n">
        <v>79.54</v>
      </c>
      <c r="I639" s="4" t="n">
        <f aca="false">F639*G639</f>
        <v>5039.58</v>
      </c>
      <c r="J639" s="4" t="n">
        <f aca="false">F639*H639</f>
        <v>3340.68</v>
      </c>
      <c r="K639" s="4" t="n">
        <f aca="false">I639-J639</f>
        <v>1698.9</v>
      </c>
      <c r="L639" s="5" t="n">
        <f aca="false">IFERROR(K639/I639,0)</f>
        <v>0.337111425952163</v>
      </c>
    </row>
    <row r="640" customFormat="false" ht="15" hidden="false" customHeight="false" outlineLevel="0" collapsed="false">
      <c r="A640" s="2" t="s">
        <v>44</v>
      </c>
      <c r="B640" s="2" t="s">
        <v>45</v>
      </c>
      <c r="C640" s="2" t="s">
        <v>26</v>
      </c>
      <c r="D640" s="2" t="s">
        <v>30</v>
      </c>
      <c r="E640" s="3" t="n">
        <v>45962</v>
      </c>
      <c r="F640" s="2" t="n">
        <v>37</v>
      </c>
      <c r="G640" s="4" t="n">
        <v>24.99</v>
      </c>
      <c r="H640" s="4" t="n">
        <v>14.9</v>
      </c>
      <c r="I640" s="4" t="n">
        <f aca="false">F640*G640</f>
        <v>924.63</v>
      </c>
      <c r="J640" s="4" t="n">
        <f aca="false">F640*H640</f>
        <v>551.3</v>
      </c>
      <c r="K640" s="4" t="n">
        <f aca="false">I640-J640</f>
        <v>373.33</v>
      </c>
      <c r="L640" s="5" t="n">
        <f aca="false">IFERROR(K640/I640,0)</f>
        <v>0.403761504601841</v>
      </c>
    </row>
    <row r="641" customFormat="false" ht="15" hidden="false" customHeight="false" outlineLevel="0" collapsed="false">
      <c r="A641" s="2" t="s">
        <v>44</v>
      </c>
      <c r="B641" s="2" t="s">
        <v>45</v>
      </c>
      <c r="C641" s="2" t="s">
        <v>26</v>
      </c>
      <c r="D641" s="2" t="s">
        <v>31</v>
      </c>
      <c r="E641" s="3" t="n">
        <v>45962</v>
      </c>
      <c r="F641" s="2" t="n">
        <v>39</v>
      </c>
      <c r="G641" s="4" t="n">
        <v>59.99</v>
      </c>
      <c r="H641" s="4" t="n">
        <v>40.07</v>
      </c>
      <c r="I641" s="4" t="n">
        <f aca="false">F641*G641</f>
        <v>2339.61</v>
      </c>
      <c r="J641" s="4" t="n">
        <f aca="false">F641*H641</f>
        <v>1562.73</v>
      </c>
      <c r="K641" s="4" t="n">
        <f aca="false">I641-J641</f>
        <v>776.88</v>
      </c>
      <c r="L641" s="5" t="n">
        <f aca="false">IFERROR(K641/I641,0)</f>
        <v>0.332055342557093</v>
      </c>
    </row>
    <row r="642" customFormat="false" ht="15" hidden="false" customHeight="false" outlineLevel="0" collapsed="false">
      <c r="A642" s="2" t="s">
        <v>44</v>
      </c>
      <c r="B642" s="2" t="s">
        <v>45</v>
      </c>
      <c r="C642" s="2" t="s">
        <v>32</v>
      </c>
      <c r="D642" s="2" t="s">
        <v>33</v>
      </c>
      <c r="E642" s="3" t="n">
        <v>45962</v>
      </c>
      <c r="F642" s="2" t="n">
        <v>22</v>
      </c>
      <c r="G642" s="4" t="n">
        <v>49.99</v>
      </c>
      <c r="H642" s="4" t="n">
        <v>34.99</v>
      </c>
      <c r="I642" s="4" t="n">
        <f aca="false">F642*G642</f>
        <v>1099.78</v>
      </c>
      <c r="J642" s="4" t="n">
        <f aca="false">F642*H642</f>
        <v>769.78</v>
      </c>
      <c r="K642" s="4" t="n">
        <f aca="false">I642-J642</f>
        <v>330</v>
      </c>
      <c r="L642" s="5" t="n">
        <f aca="false">IFERROR(K642/I642,0)</f>
        <v>0.3000600120024</v>
      </c>
    </row>
    <row r="643" customFormat="false" ht="15" hidden="false" customHeight="false" outlineLevel="0" collapsed="false">
      <c r="A643" s="2" t="s">
        <v>44</v>
      </c>
      <c r="B643" s="2" t="s">
        <v>45</v>
      </c>
      <c r="C643" s="2" t="s">
        <v>32</v>
      </c>
      <c r="D643" s="2" t="s">
        <v>34</v>
      </c>
      <c r="E643" s="3" t="n">
        <v>45962</v>
      </c>
      <c r="F643" s="2" t="n">
        <v>16</v>
      </c>
      <c r="G643" s="4" t="n">
        <v>27.99</v>
      </c>
      <c r="H643" s="4" t="n">
        <v>20.39</v>
      </c>
      <c r="I643" s="4" t="n">
        <f aca="false">F643*G643</f>
        <v>447.84</v>
      </c>
      <c r="J643" s="4" t="n">
        <f aca="false">F643*H643</f>
        <v>326.24</v>
      </c>
      <c r="K643" s="4" t="n">
        <f aca="false">I643-J643</f>
        <v>121.6</v>
      </c>
      <c r="L643" s="5" t="n">
        <f aca="false">IFERROR(K643/I643,0)</f>
        <v>0.271525544837442</v>
      </c>
    </row>
    <row r="644" customFormat="false" ht="15" hidden="false" customHeight="false" outlineLevel="0" collapsed="false">
      <c r="A644" s="2" t="s">
        <v>44</v>
      </c>
      <c r="B644" s="2" t="s">
        <v>45</v>
      </c>
      <c r="C644" s="2" t="s">
        <v>32</v>
      </c>
      <c r="D644" s="2" t="s">
        <v>35</v>
      </c>
      <c r="E644" s="3" t="n">
        <v>45962</v>
      </c>
      <c r="F644" s="2" t="n">
        <v>8</v>
      </c>
      <c r="G644" s="4" t="n">
        <v>64.99</v>
      </c>
      <c r="H644" s="4" t="n">
        <v>45.6</v>
      </c>
      <c r="I644" s="4" t="n">
        <f aca="false">F644*G644</f>
        <v>519.92</v>
      </c>
      <c r="J644" s="4" t="n">
        <f aca="false">F644*H644</f>
        <v>364.8</v>
      </c>
      <c r="K644" s="4" t="n">
        <f aca="false">I644-J644</f>
        <v>155.12</v>
      </c>
      <c r="L644" s="5" t="n">
        <f aca="false">IFERROR(K644/I644,0)</f>
        <v>0.29835359286044</v>
      </c>
    </row>
    <row r="645" customFormat="false" ht="15" hidden="false" customHeight="false" outlineLevel="0" collapsed="false">
      <c r="A645" s="2" t="s">
        <v>44</v>
      </c>
      <c r="B645" s="2" t="s">
        <v>45</v>
      </c>
      <c r="C645" s="2" t="s">
        <v>32</v>
      </c>
      <c r="D645" s="2" t="s">
        <v>36</v>
      </c>
      <c r="E645" s="3" t="n">
        <v>45962</v>
      </c>
      <c r="F645" s="2" t="n">
        <v>21</v>
      </c>
      <c r="G645" s="4" t="n">
        <v>22.99</v>
      </c>
      <c r="H645" s="4" t="n">
        <v>16.95</v>
      </c>
      <c r="I645" s="4" t="n">
        <f aca="false">F645*G645</f>
        <v>482.79</v>
      </c>
      <c r="J645" s="4" t="n">
        <f aca="false">F645*H645</f>
        <v>355.95</v>
      </c>
      <c r="K645" s="4" t="n">
        <f aca="false">I645-J645</f>
        <v>126.84</v>
      </c>
      <c r="L645" s="5" t="n">
        <f aca="false">IFERROR(K645/I645,0)</f>
        <v>0.262722923010004</v>
      </c>
    </row>
    <row r="646" customFormat="false" ht="15" hidden="false" customHeight="false" outlineLevel="0" collapsed="false">
      <c r="A646" s="2" t="s">
        <v>44</v>
      </c>
      <c r="B646" s="2" t="s">
        <v>45</v>
      </c>
      <c r="C646" s="2" t="s">
        <v>32</v>
      </c>
      <c r="D646" s="2" t="s">
        <v>37</v>
      </c>
      <c r="E646" s="3" t="n">
        <v>45962</v>
      </c>
      <c r="F646" s="2" t="n">
        <v>17</v>
      </c>
      <c r="G646" s="4" t="n">
        <v>29.99</v>
      </c>
      <c r="H646" s="4" t="n">
        <v>20.35</v>
      </c>
      <c r="I646" s="4" t="n">
        <f aca="false">F646*G646</f>
        <v>509.83</v>
      </c>
      <c r="J646" s="4" t="n">
        <f aca="false">F646*H646</f>
        <v>345.95</v>
      </c>
      <c r="K646" s="4" t="n">
        <f aca="false">I646-J646</f>
        <v>163.88</v>
      </c>
      <c r="L646" s="5" t="n">
        <f aca="false">IFERROR(K646/I646,0)</f>
        <v>0.321440480160053</v>
      </c>
    </row>
    <row r="647" customFormat="false" ht="15" hidden="false" customHeight="false" outlineLevel="0" collapsed="false">
      <c r="A647" s="2" t="s">
        <v>44</v>
      </c>
      <c r="B647" s="2" t="s">
        <v>45</v>
      </c>
      <c r="C647" s="2" t="s">
        <v>38</v>
      </c>
      <c r="D647" s="2" t="s">
        <v>39</v>
      </c>
      <c r="E647" s="3" t="n">
        <v>45962</v>
      </c>
      <c r="F647" s="2" t="n">
        <v>19</v>
      </c>
      <c r="G647" s="4" t="n">
        <v>129.99</v>
      </c>
      <c r="H647" s="4" t="n">
        <v>75.48</v>
      </c>
      <c r="I647" s="4" t="n">
        <f aca="false">F647*G647</f>
        <v>2469.81</v>
      </c>
      <c r="J647" s="4" t="n">
        <f aca="false">F647*H647</f>
        <v>1434.12</v>
      </c>
      <c r="K647" s="4" t="n">
        <f aca="false">I647-J647</f>
        <v>1035.69</v>
      </c>
      <c r="L647" s="5" t="n">
        <f aca="false">IFERROR(K647/I647,0)</f>
        <v>0.419339949226864</v>
      </c>
    </row>
    <row r="648" customFormat="false" ht="15" hidden="false" customHeight="false" outlineLevel="0" collapsed="false">
      <c r="A648" s="2" t="s">
        <v>44</v>
      </c>
      <c r="B648" s="2" t="s">
        <v>45</v>
      </c>
      <c r="C648" s="2" t="s">
        <v>38</v>
      </c>
      <c r="D648" s="2" t="s">
        <v>40</v>
      </c>
      <c r="E648" s="3" t="n">
        <v>45962</v>
      </c>
      <c r="F648" s="2" t="n">
        <v>10</v>
      </c>
      <c r="G648" s="4" t="n">
        <v>74.99</v>
      </c>
      <c r="H648" s="4" t="n">
        <v>41.67</v>
      </c>
      <c r="I648" s="4" t="n">
        <f aca="false">F648*G648</f>
        <v>749.9</v>
      </c>
      <c r="J648" s="4" t="n">
        <f aca="false">F648*H648</f>
        <v>416.7</v>
      </c>
      <c r="K648" s="4" t="n">
        <f aca="false">I648-J648</f>
        <v>333.2</v>
      </c>
      <c r="L648" s="5" t="n">
        <f aca="false">IFERROR(K648/I648,0)</f>
        <v>0.444325910121349</v>
      </c>
    </row>
    <row r="649" customFormat="false" ht="15" hidden="false" customHeight="false" outlineLevel="0" collapsed="false">
      <c r="A649" s="2" t="s">
        <v>44</v>
      </c>
      <c r="B649" s="2" t="s">
        <v>45</v>
      </c>
      <c r="C649" s="2" t="s">
        <v>38</v>
      </c>
      <c r="D649" s="2" t="s">
        <v>41</v>
      </c>
      <c r="E649" s="3" t="n">
        <v>45962</v>
      </c>
      <c r="F649" s="2" t="n">
        <v>19</v>
      </c>
      <c r="G649" s="4" t="n">
        <v>19.99</v>
      </c>
      <c r="H649" s="4" t="n">
        <v>9.83</v>
      </c>
      <c r="I649" s="4" t="n">
        <f aca="false">F649*G649</f>
        <v>379.81</v>
      </c>
      <c r="J649" s="4" t="n">
        <f aca="false">F649*H649</f>
        <v>186.77</v>
      </c>
      <c r="K649" s="4" t="n">
        <f aca="false">I649-J649</f>
        <v>193.04</v>
      </c>
      <c r="L649" s="5" t="n">
        <f aca="false">IFERROR(K649/I649,0)</f>
        <v>0.508254127063532</v>
      </c>
    </row>
    <row r="650" customFormat="false" ht="15" hidden="false" customHeight="false" outlineLevel="0" collapsed="false">
      <c r="A650" s="2" t="s">
        <v>44</v>
      </c>
      <c r="B650" s="2" t="s">
        <v>45</v>
      </c>
      <c r="C650" s="2" t="s">
        <v>38</v>
      </c>
      <c r="D650" s="2" t="s">
        <v>42</v>
      </c>
      <c r="E650" s="3" t="n">
        <v>45962</v>
      </c>
      <c r="F650" s="2" t="n">
        <v>12</v>
      </c>
      <c r="G650" s="4" t="n">
        <v>16.99</v>
      </c>
      <c r="H650" s="4" t="n">
        <v>8.56</v>
      </c>
      <c r="I650" s="4" t="n">
        <f aca="false">F650*G650</f>
        <v>203.88</v>
      </c>
      <c r="J650" s="4" t="n">
        <f aca="false">F650*H650</f>
        <v>102.72</v>
      </c>
      <c r="K650" s="4" t="n">
        <f aca="false">I650-J650</f>
        <v>101.16</v>
      </c>
      <c r="L650" s="5" t="n">
        <f aca="false">IFERROR(K650/I650,0)</f>
        <v>0.496174220129488</v>
      </c>
    </row>
    <row r="651" customFormat="false" ht="15" hidden="false" customHeight="false" outlineLevel="0" collapsed="false">
      <c r="A651" s="2" t="s">
        <v>44</v>
      </c>
      <c r="B651" s="2" t="s">
        <v>45</v>
      </c>
      <c r="C651" s="2" t="s">
        <v>38</v>
      </c>
      <c r="D651" s="2" t="s">
        <v>43</v>
      </c>
      <c r="E651" s="3" t="n">
        <v>45962</v>
      </c>
      <c r="F651" s="2" t="n">
        <v>21</v>
      </c>
      <c r="G651" s="4" t="n">
        <v>24.99</v>
      </c>
      <c r="H651" s="4" t="n">
        <v>13.3</v>
      </c>
      <c r="I651" s="4" t="n">
        <f aca="false">F651*G651</f>
        <v>524.79</v>
      </c>
      <c r="J651" s="4" t="n">
        <f aca="false">F651*H651</f>
        <v>279.3</v>
      </c>
      <c r="K651" s="4" t="n">
        <f aca="false">I651-J651</f>
        <v>245.49</v>
      </c>
      <c r="L651" s="5" t="n">
        <f aca="false">IFERROR(K651/I651,0)</f>
        <v>0.467787114845938</v>
      </c>
    </row>
    <row r="652" customFormat="false" ht="15" hidden="false" customHeight="false" outlineLevel="0" collapsed="false">
      <c r="A652" s="2" t="s">
        <v>44</v>
      </c>
      <c r="B652" s="2" t="s">
        <v>46</v>
      </c>
      <c r="C652" s="2" t="s">
        <v>14</v>
      </c>
      <c r="D652" s="2" t="s">
        <v>15</v>
      </c>
      <c r="E652" s="3" t="n">
        <v>45962</v>
      </c>
      <c r="F652" s="2" t="n">
        <v>7</v>
      </c>
      <c r="G652" s="4" t="n">
        <v>69.99</v>
      </c>
      <c r="H652" s="4" t="n">
        <v>34.5</v>
      </c>
      <c r="I652" s="4" t="n">
        <f aca="false">F652*G652</f>
        <v>489.93</v>
      </c>
      <c r="J652" s="4" t="n">
        <f aca="false">F652*H652</f>
        <v>241.5</v>
      </c>
      <c r="K652" s="4" t="n">
        <f aca="false">I652-J652</f>
        <v>248.43</v>
      </c>
      <c r="L652" s="5" t="n">
        <f aca="false">IFERROR(K652/I652,0)</f>
        <v>0.507072438919846</v>
      </c>
    </row>
    <row r="653" customFormat="false" ht="15" hidden="false" customHeight="false" outlineLevel="0" collapsed="false">
      <c r="A653" s="2" t="s">
        <v>44</v>
      </c>
      <c r="B653" s="2" t="s">
        <v>46</v>
      </c>
      <c r="C653" s="2" t="s">
        <v>14</v>
      </c>
      <c r="D653" s="2" t="s">
        <v>16</v>
      </c>
      <c r="E653" s="3" t="n">
        <v>45962</v>
      </c>
      <c r="F653" s="2" t="n">
        <v>7</v>
      </c>
      <c r="G653" s="4" t="n">
        <v>19.99</v>
      </c>
      <c r="H653" s="4" t="n">
        <v>8.78</v>
      </c>
      <c r="I653" s="4" t="n">
        <f aca="false">F653*G653</f>
        <v>139.93</v>
      </c>
      <c r="J653" s="4" t="n">
        <f aca="false">F653*H653</f>
        <v>61.46</v>
      </c>
      <c r="K653" s="4" t="n">
        <f aca="false">I653-J653</f>
        <v>78.47</v>
      </c>
      <c r="L653" s="5" t="n">
        <f aca="false">IFERROR(K653/I653,0)</f>
        <v>0.560780390195098</v>
      </c>
    </row>
    <row r="654" customFormat="false" ht="15" hidden="false" customHeight="false" outlineLevel="0" collapsed="false">
      <c r="A654" s="2" t="s">
        <v>44</v>
      </c>
      <c r="B654" s="2" t="s">
        <v>46</v>
      </c>
      <c r="C654" s="2" t="s">
        <v>14</v>
      </c>
      <c r="D654" s="2" t="s">
        <v>17</v>
      </c>
      <c r="E654" s="3" t="n">
        <v>45962</v>
      </c>
      <c r="F654" s="2" t="n">
        <v>18</v>
      </c>
      <c r="G654" s="4" t="n">
        <v>79.99</v>
      </c>
      <c r="H654" s="4" t="n">
        <v>39.08</v>
      </c>
      <c r="I654" s="4" t="n">
        <f aca="false">F654*G654</f>
        <v>1439.82</v>
      </c>
      <c r="J654" s="4" t="n">
        <f aca="false">F654*H654</f>
        <v>703.44</v>
      </c>
      <c r="K654" s="4" t="n">
        <f aca="false">I654-J654</f>
        <v>736.38</v>
      </c>
      <c r="L654" s="5" t="n">
        <f aca="false">IFERROR(K654/I654,0)</f>
        <v>0.511438929866233</v>
      </c>
    </row>
    <row r="655" customFormat="false" ht="15" hidden="false" customHeight="false" outlineLevel="0" collapsed="false">
      <c r="A655" s="2" t="s">
        <v>44</v>
      </c>
      <c r="B655" s="2" t="s">
        <v>46</v>
      </c>
      <c r="C655" s="2" t="s">
        <v>14</v>
      </c>
      <c r="D655" s="2" t="s">
        <v>18</v>
      </c>
      <c r="E655" s="3" t="n">
        <v>45962</v>
      </c>
      <c r="F655" s="2" t="n">
        <v>5</v>
      </c>
      <c r="G655" s="4" t="n">
        <v>34.99</v>
      </c>
      <c r="H655" s="4" t="n">
        <v>14.4</v>
      </c>
      <c r="I655" s="4" t="n">
        <f aca="false">F655*G655</f>
        <v>174.95</v>
      </c>
      <c r="J655" s="4" t="n">
        <f aca="false">F655*H655</f>
        <v>72</v>
      </c>
      <c r="K655" s="4" t="n">
        <f aca="false">I655-J655</f>
        <v>102.95</v>
      </c>
      <c r="L655" s="5" t="n">
        <f aca="false">IFERROR(K655/I655,0)</f>
        <v>0.588453843955416</v>
      </c>
    </row>
    <row r="656" customFormat="false" ht="15" hidden="false" customHeight="false" outlineLevel="0" collapsed="false">
      <c r="A656" s="2" t="s">
        <v>44</v>
      </c>
      <c r="B656" s="2" t="s">
        <v>46</v>
      </c>
      <c r="C656" s="2" t="s">
        <v>14</v>
      </c>
      <c r="D656" s="2" t="s">
        <v>19</v>
      </c>
      <c r="E656" s="3" t="n">
        <v>45962</v>
      </c>
      <c r="F656" s="2" t="n">
        <v>11</v>
      </c>
      <c r="G656" s="4" t="n">
        <v>54.99</v>
      </c>
      <c r="H656" s="4" t="n">
        <v>23.48</v>
      </c>
      <c r="I656" s="4" t="n">
        <f aca="false">F656*G656</f>
        <v>604.89</v>
      </c>
      <c r="J656" s="4" t="n">
        <f aca="false">F656*H656</f>
        <v>258.28</v>
      </c>
      <c r="K656" s="4" t="n">
        <f aca="false">I656-J656</f>
        <v>346.61</v>
      </c>
      <c r="L656" s="5" t="n">
        <f aca="false">IFERROR(K656/I656,0)</f>
        <v>0.573013275140935</v>
      </c>
    </row>
    <row r="657" customFormat="false" ht="15" hidden="false" customHeight="false" outlineLevel="0" collapsed="false">
      <c r="A657" s="2" t="s">
        <v>44</v>
      </c>
      <c r="B657" s="2" t="s">
        <v>46</v>
      </c>
      <c r="C657" s="2" t="s">
        <v>20</v>
      </c>
      <c r="D657" s="2" t="s">
        <v>21</v>
      </c>
      <c r="E657" s="3" t="n">
        <v>45962</v>
      </c>
      <c r="F657" s="2" t="n">
        <v>17</v>
      </c>
      <c r="G657" s="4" t="n">
        <v>44.99</v>
      </c>
      <c r="H657" s="4" t="n">
        <v>20.54</v>
      </c>
      <c r="I657" s="4" t="n">
        <f aca="false">F657*G657</f>
        <v>764.83</v>
      </c>
      <c r="J657" s="4" t="n">
        <f aca="false">F657*H657</f>
        <v>349.18</v>
      </c>
      <c r="K657" s="4" t="n">
        <f aca="false">I657-J657</f>
        <v>415.65</v>
      </c>
      <c r="L657" s="5" t="n">
        <f aca="false">IFERROR(K657/I657,0)</f>
        <v>0.543454100911314</v>
      </c>
    </row>
    <row r="658" customFormat="false" ht="15" hidden="false" customHeight="false" outlineLevel="0" collapsed="false">
      <c r="A658" s="2" t="s">
        <v>44</v>
      </c>
      <c r="B658" s="2" t="s">
        <v>46</v>
      </c>
      <c r="C658" s="2" t="s">
        <v>20</v>
      </c>
      <c r="D658" s="2" t="s">
        <v>22</v>
      </c>
      <c r="E658" s="3" t="n">
        <v>45962</v>
      </c>
      <c r="F658" s="2" t="n">
        <v>10</v>
      </c>
      <c r="G658" s="4" t="n">
        <v>14.99</v>
      </c>
      <c r="H658" s="4" t="n">
        <v>5.56</v>
      </c>
      <c r="I658" s="4" t="n">
        <f aca="false">F658*G658</f>
        <v>149.9</v>
      </c>
      <c r="J658" s="4" t="n">
        <f aca="false">F658*H658</f>
        <v>55.6</v>
      </c>
      <c r="K658" s="4" t="n">
        <f aca="false">I658-J658</f>
        <v>94.3</v>
      </c>
      <c r="L658" s="5" t="n">
        <f aca="false">IFERROR(K658/I658,0)</f>
        <v>0.629086057371581</v>
      </c>
    </row>
    <row r="659" customFormat="false" ht="15" hidden="false" customHeight="false" outlineLevel="0" collapsed="false">
      <c r="A659" s="2" t="s">
        <v>44</v>
      </c>
      <c r="B659" s="2" t="s">
        <v>46</v>
      </c>
      <c r="C659" s="2" t="s">
        <v>20</v>
      </c>
      <c r="D659" s="2" t="s">
        <v>23</v>
      </c>
      <c r="E659" s="3" t="n">
        <v>45962</v>
      </c>
      <c r="F659" s="2" t="n">
        <v>12</v>
      </c>
      <c r="G659" s="4" t="n">
        <v>39.99</v>
      </c>
      <c r="H659" s="4" t="n">
        <v>17.25</v>
      </c>
      <c r="I659" s="4" t="n">
        <f aca="false">F659*G659</f>
        <v>479.88</v>
      </c>
      <c r="J659" s="4" t="n">
        <f aca="false">F659*H659</f>
        <v>207</v>
      </c>
      <c r="K659" s="4" t="n">
        <f aca="false">I659-J659</f>
        <v>272.88</v>
      </c>
      <c r="L659" s="5" t="n">
        <f aca="false">IFERROR(K659/I659,0)</f>
        <v>0.568642160540135</v>
      </c>
    </row>
    <row r="660" customFormat="false" ht="15" hidden="false" customHeight="false" outlineLevel="0" collapsed="false">
      <c r="A660" s="2" t="s">
        <v>44</v>
      </c>
      <c r="B660" s="2" t="s">
        <v>46</v>
      </c>
      <c r="C660" s="2" t="s">
        <v>20</v>
      </c>
      <c r="D660" s="2" t="s">
        <v>24</v>
      </c>
      <c r="E660" s="3" t="n">
        <v>45962</v>
      </c>
      <c r="F660" s="2" t="n">
        <v>9</v>
      </c>
      <c r="G660" s="4" t="n">
        <v>18.99</v>
      </c>
      <c r="H660" s="4" t="n">
        <v>7.61</v>
      </c>
      <c r="I660" s="4" t="n">
        <f aca="false">F660*G660</f>
        <v>170.91</v>
      </c>
      <c r="J660" s="4" t="n">
        <f aca="false">F660*H660</f>
        <v>68.49</v>
      </c>
      <c r="K660" s="4" t="n">
        <f aca="false">I660-J660</f>
        <v>102.42</v>
      </c>
      <c r="L660" s="5" t="n">
        <f aca="false">IFERROR(K660/I660,0)</f>
        <v>0.599262769878884</v>
      </c>
    </row>
    <row r="661" customFormat="false" ht="15" hidden="false" customHeight="false" outlineLevel="0" collapsed="false">
      <c r="A661" s="2" t="s">
        <v>44</v>
      </c>
      <c r="B661" s="2" t="s">
        <v>46</v>
      </c>
      <c r="C661" s="2" t="s">
        <v>20</v>
      </c>
      <c r="D661" s="2" t="s">
        <v>25</v>
      </c>
      <c r="E661" s="3" t="n">
        <v>45962</v>
      </c>
      <c r="F661" s="2" t="n">
        <v>10</v>
      </c>
      <c r="G661" s="4" t="n">
        <v>42.99</v>
      </c>
      <c r="H661" s="4" t="n">
        <v>15.95</v>
      </c>
      <c r="I661" s="4" t="n">
        <f aca="false">F661*G661</f>
        <v>429.9</v>
      </c>
      <c r="J661" s="4" t="n">
        <f aca="false">F661*H661</f>
        <v>159.5</v>
      </c>
      <c r="K661" s="4" t="n">
        <f aca="false">I661-J661</f>
        <v>270.4</v>
      </c>
      <c r="L661" s="5" t="n">
        <f aca="false">IFERROR(K661/I661,0)</f>
        <v>0.628983484531286</v>
      </c>
    </row>
    <row r="662" customFormat="false" ht="15" hidden="false" customHeight="false" outlineLevel="0" collapsed="false">
      <c r="A662" s="2" t="s">
        <v>44</v>
      </c>
      <c r="B662" s="2" t="s">
        <v>46</v>
      </c>
      <c r="C662" s="2" t="s">
        <v>26</v>
      </c>
      <c r="D662" s="2" t="s">
        <v>27</v>
      </c>
      <c r="E662" s="3" t="n">
        <v>45962</v>
      </c>
      <c r="F662" s="2" t="n">
        <v>30</v>
      </c>
      <c r="G662" s="4" t="n">
        <v>44.99</v>
      </c>
      <c r="H662" s="4" t="n">
        <v>28.54</v>
      </c>
      <c r="I662" s="4" t="n">
        <f aca="false">F662*G662</f>
        <v>1349.7</v>
      </c>
      <c r="J662" s="4" t="n">
        <f aca="false">F662*H662</f>
        <v>856.2</v>
      </c>
      <c r="K662" s="4" t="n">
        <f aca="false">I662-J662</f>
        <v>493.5</v>
      </c>
      <c r="L662" s="5" t="n">
        <f aca="false">IFERROR(K662/I662,0)</f>
        <v>0.365636808179596</v>
      </c>
    </row>
    <row r="663" customFormat="false" ht="15" hidden="false" customHeight="false" outlineLevel="0" collapsed="false">
      <c r="A663" s="2" t="s">
        <v>44</v>
      </c>
      <c r="B663" s="2" t="s">
        <v>46</v>
      </c>
      <c r="C663" s="2" t="s">
        <v>26</v>
      </c>
      <c r="D663" s="2" t="s">
        <v>28</v>
      </c>
      <c r="E663" s="3" t="n">
        <v>45962</v>
      </c>
      <c r="F663" s="2" t="n">
        <v>26</v>
      </c>
      <c r="G663" s="4" t="n">
        <v>34.99</v>
      </c>
      <c r="H663" s="4" t="n">
        <v>22.43</v>
      </c>
      <c r="I663" s="4" t="n">
        <f aca="false">F663*G663</f>
        <v>909.74</v>
      </c>
      <c r="J663" s="4" t="n">
        <f aca="false">F663*H663</f>
        <v>583.18</v>
      </c>
      <c r="K663" s="4" t="n">
        <f aca="false">I663-J663</f>
        <v>326.56</v>
      </c>
      <c r="L663" s="5" t="n">
        <f aca="false">IFERROR(K663/I663,0)</f>
        <v>0.358959702772221</v>
      </c>
    </row>
    <row r="664" customFormat="false" ht="15" hidden="false" customHeight="false" outlineLevel="0" collapsed="false">
      <c r="A664" s="2" t="s">
        <v>44</v>
      </c>
      <c r="B664" s="2" t="s">
        <v>46</v>
      </c>
      <c r="C664" s="2" t="s">
        <v>26</v>
      </c>
      <c r="D664" s="2" t="s">
        <v>29</v>
      </c>
      <c r="E664" s="3" t="n">
        <v>45962</v>
      </c>
      <c r="F664" s="2" t="n">
        <v>23</v>
      </c>
      <c r="G664" s="4" t="n">
        <v>119.99</v>
      </c>
      <c r="H664" s="4" t="n">
        <v>80.35</v>
      </c>
      <c r="I664" s="4" t="n">
        <f aca="false">F664*G664</f>
        <v>2759.77</v>
      </c>
      <c r="J664" s="4" t="n">
        <f aca="false">F664*H664</f>
        <v>1848.05</v>
      </c>
      <c r="K664" s="4" t="n">
        <f aca="false">I664-J664</f>
        <v>911.72</v>
      </c>
      <c r="L664" s="5" t="n">
        <f aca="false">IFERROR(K664/I664,0)</f>
        <v>0.330360863405284</v>
      </c>
    </row>
    <row r="665" customFormat="false" ht="15" hidden="false" customHeight="false" outlineLevel="0" collapsed="false">
      <c r="A665" s="2" t="s">
        <v>44</v>
      </c>
      <c r="B665" s="2" t="s">
        <v>46</v>
      </c>
      <c r="C665" s="2" t="s">
        <v>26</v>
      </c>
      <c r="D665" s="2" t="s">
        <v>30</v>
      </c>
      <c r="E665" s="3" t="n">
        <v>45962</v>
      </c>
      <c r="F665" s="2" t="n">
        <v>41</v>
      </c>
      <c r="G665" s="4" t="n">
        <v>24.99</v>
      </c>
      <c r="H665" s="4" t="n">
        <v>14.69</v>
      </c>
      <c r="I665" s="4" t="n">
        <f aca="false">F665*G665</f>
        <v>1024.59</v>
      </c>
      <c r="J665" s="4" t="n">
        <f aca="false">F665*H665</f>
        <v>602.29</v>
      </c>
      <c r="K665" s="4" t="n">
        <f aca="false">I665-J665</f>
        <v>422.3</v>
      </c>
      <c r="L665" s="5" t="n">
        <f aca="false">IFERROR(K665/I665,0)</f>
        <v>0.412164865946379</v>
      </c>
    </row>
    <row r="666" customFormat="false" ht="15" hidden="false" customHeight="false" outlineLevel="0" collapsed="false">
      <c r="A666" s="2" t="s">
        <v>44</v>
      </c>
      <c r="B666" s="2" t="s">
        <v>46</v>
      </c>
      <c r="C666" s="2" t="s">
        <v>26</v>
      </c>
      <c r="D666" s="2" t="s">
        <v>31</v>
      </c>
      <c r="E666" s="3" t="n">
        <v>45962</v>
      </c>
      <c r="F666" s="2" t="n">
        <v>24</v>
      </c>
      <c r="G666" s="4" t="n">
        <v>59.99</v>
      </c>
      <c r="H666" s="4" t="n">
        <v>38.69</v>
      </c>
      <c r="I666" s="4" t="n">
        <f aca="false">F666*G666</f>
        <v>1439.76</v>
      </c>
      <c r="J666" s="4" t="n">
        <f aca="false">F666*H666</f>
        <v>928.56</v>
      </c>
      <c r="K666" s="4" t="n">
        <f aca="false">I666-J666</f>
        <v>511.2</v>
      </c>
      <c r="L666" s="5" t="n">
        <f aca="false">IFERROR(K666/I666,0)</f>
        <v>0.355059176529422</v>
      </c>
    </row>
    <row r="667" customFormat="false" ht="15" hidden="false" customHeight="false" outlineLevel="0" collapsed="false">
      <c r="A667" s="2" t="s">
        <v>44</v>
      </c>
      <c r="B667" s="2" t="s">
        <v>46</v>
      </c>
      <c r="C667" s="2" t="s">
        <v>32</v>
      </c>
      <c r="D667" s="2" t="s">
        <v>33</v>
      </c>
      <c r="E667" s="3" t="n">
        <v>45962</v>
      </c>
      <c r="F667" s="2" t="n">
        <v>16</v>
      </c>
      <c r="G667" s="4" t="n">
        <v>49.99</v>
      </c>
      <c r="H667" s="4" t="n">
        <v>36.84</v>
      </c>
      <c r="I667" s="4" t="n">
        <f aca="false">F667*G667</f>
        <v>799.84</v>
      </c>
      <c r="J667" s="4" t="n">
        <f aca="false">F667*H667</f>
        <v>589.44</v>
      </c>
      <c r="K667" s="4" t="n">
        <f aca="false">I667-J667</f>
        <v>210.4</v>
      </c>
      <c r="L667" s="5" t="n">
        <f aca="false">IFERROR(K667/I667,0)</f>
        <v>0.263052610522104</v>
      </c>
    </row>
    <row r="668" customFormat="false" ht="15" hidden="false" customHeight="false" outlineLevel="0" collapsed="false">
      <c r="A668" s="2" t="s">
        <v>44</v>
      </c>
      <c r="B668" s="2" t="s">
        <v>46</v>
      </c>
      <c r="C668" s="2" t="s">
        <v>32</v>
      </c>
      <c r="D668" s="2" t="s">
        <v>34</v>
      </c>
      <c r="E668" s="3" t="n">
        <v>45962</v>
      </c>
      <c r="F668" s="2" t="n">
        <v>14</v>
      </c>
      <c r="G668" s="4" t="n">
        <v>27.99</v>
      </c>
      <c r="H668" s="4" t="n">
        <v>19.56</v>
      </c>
      <c r="I668" s="4" t="n">
        <f aca="false">F668*G668</f>
        <v>391.86</v>
      </c>
      <c r="J668" s="4" t="n">
        <f aca="false">F668*H668</f>
        <v>273.84</v>
      </c>
      <c r="K668" s="4" t="n">
        <f aca="false">I668-J668</f>
        <v>118.02</v>
      </c>
      <c r="L668" s="5" t="n">
        <f aca="false">IFERROR(K668/I668,0)</f>
        <v>0.30117899249732</v>
      </c>
    </row>
    <row r="669" customFormat="false" ht="15" hidden="false" customHeight="false" outlineLevel="0" collapsed="false">
      <c r="A669" s="2" t="s">
        <v>44</v>
      </c>
      <c r="B669" s="2" t="s">
        <v>46</v>
      </c>
      <c r="C669" s="2" t="s">
        <v>32</v>
      </c>
      <c r="D669" s="2" t="s">
        <v>35</v>
      </c>
      <c r="E669" s="3" t="n">
        <v>45962</v>
      </c>
      <c r="F669" s="2" t="n">
        <v>7</v>
      </c>
      <c r="G669" s="4" t="n">
        <v>64.99</v>
      </c>
      <c r="H669" s="4" t="n">
        <v>45.22</v>
      </c>
      <c r="I669" s="4" t="n">
        <f aca="false">F669*G669</f>
        <v>454.93</v>
      </c>
      <c r="J669" s="4" t="n">
        <f aca="false">F669*H669</f>
        <v>316.54</v>
      </c>
      <c r="K669" s="4" t="n">
        <f aca="false">I669-J669</f>
        <v>138.39</v>
      </c>
      <c r="L669" s="5" t="n">
        <f aca="false">IFERROR(K669/I669,0)</f>
        <v>0.30420064625327</v>
      </c>
    </row>
    <row r="670" customFormat="false" ht="15" hidden="false" customHeight="false" outlineLevel="0" collapsed="false">
      <c r="A670" s="2" t="s">
        <v>44</v>
      </c>
      <c r="B670" s="2" t="s">
        <v>46</v>
      </c>
      <c r="C670" s="2" t="s">
        <v>32</v>
      </c>
      <c r="D670" s="2" t="s">
        <v>36</v>
      </c>
      <c r="E670" s="3" t="n">
        <v>45962</v>
      </c>
      <c r="F670" s="2" t="n">
        <v>9</v>
      </c>
      <c r="G670" s="4" t="n">
        <v>22.99</v>
      </c>
      <c r="H670" s="4" t="n">
        <v>17.06</v>
      </c>
      <c r="I670" s="4" t="n">
        <f aca="false">F670*G670</f>
        <v>206.91</v>
      </c>
      <c r="J670" s="4" t="n">
        <f aca="false">F670*H670</f>
        <v>153.54</v>
      </c>
      <c r="K670" s="4" t="n">
        <f aca="false">I670-J670</f>
        <v>53.37</v>
      </c>
      <c r="L670" s="5" t="n">
        <f aca="false">IFERROR(K670/I670,0)</f>
        <v>0.257938234014789</v>
      </c>
    </row>
    <row r="671" customFormat="false" ht="15" hidden="false" customHeight="false" outlineLevel="0" collapsed="false">
      <c r="A671" s="2" t="s">
        <v>44</v>
      </c>
      <c r="B671" s="2" t="s">
        <v>46</v>
      </c>
      <c r="C671" s="2" t="s">
        <v>32</v>
      </c>
      <c r="D671" s="2" t="s">
        <v>37</v>
      </c>
      <c r="E671" s="3" t="n">
        <v>45962</v>
      </c>
      <c r="F671" s="2" t="n">
        <v>12</v>
      </c>
      <c r="G671" s="4" t="n">
        <v>29.99</v>
      </c>
      <c r="H671" s="4" t="n">
        <v>20.38</v>
      </c>
      <c r="I671" s="4" t="n">
        <f aca="false">F671*G671</f>
        <v>359.88</v>
      </c>
      <c r="J671" s="4" t="n">
        <f aca="false">F671*H671</f>
        <v>244.56</v>
      </c>
      <c r="K671" s="4" t="n">
        <f aca="false">I671-J671</f>
        <v>115.32</v>
      </c>
      <c r="L671" s="5" t="n">
        <f aca="false">IFERROR(K671/I671,0)</f>
        <v>0.320440146715572</v>
      </c>
    </row>
    <row r="672" customFormat="false" ht="15" hidden="false" customHeight="false" outlineLevel="0" collapsed="false">
      <c r="A672" s="2" t="s">
        <v>44</v>
      </c>
      <c r="B672" s="2" t="s">
        <v>46</v>
      </c>
      <c r="C672" s="2" t="s">
        <v>38</v>
      </c>
      <c r="D672" s="2" t="s">
        <v>39</v>
      </c>
      <c r="E672" s="3" t="n">
        <v>45962</v>
      </c>
      <c r="F672" s="2" t="n">
        <v>10</v>
      </c>
      <c r="G672" s="4" t="n">
        <v>129.99</v>
      </c>
      <c r="H672" s="4" t="n">
        <v>76.46</v>
      </c>
      <c r="I672" s="4" t="n">
        <f aca="false">F672*G672</f>
        <v>1299.9</v>
      </c>
      <c r="J672" s="4" t="n">
        <f aca="false">F672*H672</f>
        <v>764.6</v>
      </c>
      <c r="K672" s="4" t="n">
        <f aca="false">I672-J672</f>
        <v>535.3</v>
      </c>
      <c r="L672" s="5" t="n">
        <f aca="false">IFERROR(K672/I672,0)</f>
        <v>0.411800907762136</v>
      </c>
    </row>
    <row r="673" customFormat="false" ht="15" hidden="false" customHeight="false" outlineLevel="0" collapsed="false">
      <c r="A673" s="2" t="s">
        <v>44</v>
      </c>
      <c r="B673" s="2" t="s">
        <v>46</v>
      </c>
      <c r="C673" s="2" t="s">
        <v>38</v>
      </c>
      <c r="D673" s="2" t="s">
        <v>40</v>
      </c>
      <c r="E673" s="3" t="n">
        <v>45962</v>
      </c>
      <c r="F673" s="2" t="n">
        <v>12</v>
      </c>
      <c r="G673" s="4" t="n">
        <v>74.99</v>
      </c>
      <c r="H673" s="4" t="n">
        <v>40.37</v>
      </c>
      <c r="I673" s="4" t="n">
        <f aca="false">F673*G673</f>
        <v>899.88</v>
      </c>
      <c r="J673" s="4" t="n">
        <f aca="false">F673*H673</f>
        <v>484.44</v>
      </c>
      <c r="K673" s="4" t="n">
        <f aca="false">I673-J673</f>
        <v>415.44</v>
      </c>
      <c r="L673" s="5" t="n">
        <f aca="false">IFERROR(K673/I673,0)</f>
        <v>0.461661554873983</v>
      </c>
    </row>
    <row r="674" customFormat="false" ht="15" hidden="false" customHeight="false" outlineLevel="0" collapsed="false">
      <c r="A674" s="2" t="s">
        <v>44</v>
      </c>
      <c r="B674" s="2" t="s">
        <v>46</v>
      </c>
      <c r="C674" s="2" t="s">
        <v>38</v>
      </c>
      <c r="D674" s="2" t="s">
        <v>41</v>
      </c>
      <c r="E674" s="3" t="n">
        <v>45962</v>
      </c>
      <c r="F674" s="2" t="n">
        <v>10</v>
      </c>
      <c r="G674" s="4" t="n">
        <v>19.99</v>
      </c>
      <c r="H674" s="4" t="n">
        <v>9.77</v>
      </c>
      <c r="I674" s="4" t="n">
        <f aca="false">F674*G674</f>
        <v>199.9</v>
      </c>
      <c r="J674" s="4" t="n">
        <f aca="false">F674*H674</f>
        <v>97.7</v>
      </c>
      <c r="K674" s="4" t="n">
        <f aca="false">I674-J674</f>
        <v>102.2</v>
      </c>
      <c r="L674" s="5" t="n">
        <f aca="false">IFERROR(K674/I674,0)</f>
        <v>0.511255627813907</v>
      </c>
    </row>
    <row r="675" customFormat="false" ht="15" hidden="false" customHeight="false" outlineLevel="0" collapsed="false">
      <c r="A675" s="2" t="s">
        <v>44</v>
      </c>
      <c r="B675" s="2" t="s">
        <v>46</v>
      </c>
      <c r="C675" s="2" t="s">
        <v>38</v>
      </c>
      <c r="D675" s="2" t="s">
        <v>42</v>
      </c>
      <c r="E675" s="3" t="n">
        <v>45962</v>
      </c>
      <c r="F675" s="2" t="n">
        <v>9</v>
      </c>
      <c r="G675" s="4" t="n">
        <v>16.99</v>
      </c>
      <c r="H675" s="4" t="n">
        <v>8.49</v>
      </c>
      <c r="I675" s="4" t="n">
        <f aca="false">F675*G675</f>
        <v>152.91</v>
      </c>
      <c r="J675" s="4" t="n">
        <f aca="false">F675*H675</f>
        <v>76.41</v>
      </c>
      <c r="K675" s="4" t="n">
        <f aca="false">I675-J675</f>
        <v>76.5</v>
      </c>
      <c r="L675" s="5" t="n">
        <f aca="false">IFERROR(K675/I675,0)</f>
        <v>0.50029429075927</v>
      </c>
    </row>
    <row r="676" customFormat="false" ht="15" hidden="false" customHeight="false" outlineLevel="0" collapsed="false">
      <c r="A676" s="2" t="s">
        <v>44</v>
      </c>
      <c r="B676" s="2" t="s">
        <v>46</v>
      </c>
      <c r="C676" s="2" t="s">
        <v>38</v>
      </c>
      <c r="D676" s="2" t="s">
        <v>43</v>
      </c>
      <c r="E676" s="3" t="n">
        <v>45962</v>
      </c>
      <c r="F676" s="2" t="n">
        <v>12</v>
      </c>
      <c r="G676" s="4" t="n">
        <v>24.99</v>
      </c>
      <c r="H676" s="4" t="n">
        <v>12.63</v>
      </c>
      <c r="I676" s="4" t="n">
        <f aca="false">F676*G676</f>
        <v>299.88</v>
      </c>
      <c r="J676" s="4" t="n">
        <f aca="false">F676*H676</f>
        <v>151.56</v>
      </c>
      <c r="K676" s="4" t="n">
        <f aca="false">I676-J676</f>
        <v>148.32</v>
      </c>
      <c r="L676" s="5" t="n">
        <f aca="false">IFERROR(K676/I676,0)</f>
        <v>0.494597839135654</v>
      </c>
    </row>
    <row r="677" customFormat="false" ht="15" hidden="false" customHeight="false" outlineLevel="0" collapsed="false">
      <c r="A677" s="2" t="s">
        <v>47</v>
      </c>
      <c r="B677" s="2" t="s">
        <v>48</v>
      </c>
      <c r="C677" s="2" t="s">
        <v>14</v>
      </c>
      <c r="D677" s="2" t="s">
        <v>15</v>
      </c>
      <c r="E677" s="3" t="n">
        <v>45962</v>
      </c>
      <c r="F677" s="2" t="n">
        <v>14</v>
      </c>
      <c r="G677" s="4" t="n">
        <v>69.99</v>
      </c>
      <c r="H677" s="4" t="n">
        <v>33.54</v>
      </c>
      <c r="I677" s="4" t="n">
        <f aca="false">F677*G677</f>
        <v>979.86</v>
      </c>
      <c r="J677" s="4" t="n">
        <f aca="false">F677*H677</f>
        <v>469.56</v>
      </c>
      <c r="K677" s="4" t="n">
        <f aca="false">I677-J677</f>
        <v>510.3</v>
      </c>
      <c r="L677" s="5" t="n">
        <f aca="false">IFERROR(K677/I677,0)</f>
        <v>0.520788684097728</v>
      </c>
    </row>
    <row r="678" customFormat="false" ht="15" hidden="false" customHeight="false" outlineLevel="0" collapsed="false">
      <c r="A678" s="2" t="s">
        <v>47</v>
      </c>
      <c r="B678" s="2" t="s">
        <v>48</v>
      </c>
      <c r="C678" s="2" t="s">
        <v>14</v>
      </c>
      <c r="D678" s="2" t="s">
        <v>16</v>
      </c>
      <c r="E678" s="3" t="n">
        <v>45962</v>
      </c>
      <c r="F678" s="2" t="n">
        <v>16</v>
      </c>
      <c r="G678" s="4" t="n">
        <v>19.99</v>
      </c>
      <c r="H678" s="4" t="n">
        <v>9.14</v>
      </c>
      <c r="I678" s="4" t="n">
        <f aca="false">F678*G678</f>
        <v>319.84</v>
      </c>
      <c r="J678" s="4" t="n">
        <f aca="false">F678*H678</f>
        <v>146.24</v>
      </c>
      <c r="K678" s="4" t="n">
        <f aca="false">I678-J678</f>
        <v>173.6</v>
      </c>
      <c r="L678" s="5" t="n">
        <f aca="false">IFERROR(K678/I678,0)</f>
        <v>0.542771385692846</v>
      </c>
    </row>
    <row r="679" customFormat="false" ht="15" hidden="false" customHeight="false" outlineLevel="0" collapsed="false">
      <c r="A679" s="2" t="s">
        <v>47</v>
      </c>
      <c r="B679" s="2" t="s">
        <v>48</v>
      </c>
      <c r="C679" s="2" t="s">
        <v>14</v>
      </c>
      <c r="D679" s="2" t="s">
        <v>17</v>
      </c>
      <c r="E679" s="3" t="n">
        <v>45962</v>
      </c>
      <c r="F679" s="2" t="n">
        <v>11</v>
      </c>
      <c r="G679" s="4" t="n">
        <v>79.99</v>
      </c>
      <c r="H679" s="4" t="n">
        <v>39.16</v>
      </c>
      <c r="I679" s="4" t="n">
        <f aca="false">F679*G679</f>
        <v>879.89</v>
      </c>
      <c r="J679" s="4" t="n">
        <f aca="false">F679*H679</f>
        <v>430.76</v>
      </c>
      <c r="K679" s="4" t="n">
        <f aca="false">I679-J679</f>
        <v>449.13</v>
      </c>
      <c r="L679" s="5" t="n">
        <f aca="false">IFERROR(K679/I679,0)</f>
        <v>0.510438804850606</v>
      </c>
    </row>
    <row r="680" customFormat="false" ht="15" hidden="false" customHeight="false" outlineLevel="0" collapsed="false">
      <c r="A680" s="2" t="s">
        <v>47</v>
      </c>
      <c r="B680" s="2" t="s">
        <v>48</v>
      </c>
      <c r="C680" s="2" t="s">
        <v>14</v>
      </c>
      <c r="D680" s="2" t="s">
        <v>18</v>
      </c>
      <c r="E680" s="3" t="n">
        <v>45962</v>
      </c>
      <c r="F680" s="2" t="n">
        <v>22</v>
      </c>
      <c r="G680" s="4" t="n">
        <v>34.99</v>
      </c>
      <c r="H680" s="4" t="n">
        <v>14.55</v>
      </c>
      <c r="I680" s="4" t="n">
        <f aca="false">F680*G680</f>
        <v>769.78</v>
      </c>
      <c r="J680" s="4" t="n">
        <f aca="false">F680*H680</f>
        <v>320.1</v>
      </c>
      <c r="K680" s="4" t="n">
        <f aca="false">I680-J680</f>
        <v>449.68</v>
      </c>
      <c r="L680" s="5" t="n">
        <f aca="false">IFERROR(K680/I680,0)</f>
        <v>0.584166904829952</v>
      </c>
    </row>
    <row r="681" customFormat="false" ht="15" hidden="false" customHeight="false" outlineLevel="0" collapsed="false">
      <c r="A681" s="2" t="s">
        <v>47</v>
      </c>
      <c r="B681" s="2" t="s">
        <v>48</v>
      </c>
      <c r="C681" s="2" t="s">
        <v>14</v>
      </c>
      <c r="D681" s="2" t="s">
        <v>19</v>
      </c>
      <c r="E681" s="3" t="n">
        <v>45962</v>
      </c>
      <c r="F681" s="2" t="n">
        <v>12</v>
      </c>
      <c r="G681" s="4" t="n">
        <v>54.99</v>
      </c>
      <c r="H681" s="4" t="n">
        <v>24.57</v>
      </c>
      <c r="I681" s="4" t="n">
        <f aca="false">F681*G681</f>
        <v>659.88</v>
      </c>
      <c r="J681" s="4" t="n">
        <f aca="false">F681*H681</f>
        <v>294.84</v>
      </c>
      <c r="K681" s="4" t="n">
        <f aca="false">I681-J681</f>
        <v>365.04</v>
      </c>
      <c r="L681" s="5" t="n">
        <f aca="false">IFERROR(K681/I681,0)</f>
        <v>0.553191489361702</v>
      </c>
    </row>
    <row r="682" customFormat="false" ht="15" hidden="false" customHeight="false" outlineLevel="0" collapsed="false">
      <c r="A682" s="2" t="s">
        <v>47</v>
      </c>
      <c r="B682" s="2" t="s">
        <v>48</v>
      </c>
      <c r="C682" s="2" t="s">
        <v>20</v>
      </c>
      <c r="D682" s="2" t="s">
        <v>21</v>
      </c>
      <c r="E682" s="3" t="n">
        <v>45962</v>
      </c>
      <c r="F682" s="2" t="n">
        <v>15</v>
      </c>
      <c r="G682" s="4" t="n">
        <v>44.99</v>
      </c>
      <c r="H682" s="4" t="n">
        <v>20.4</v>
      </c>
      <c r="I682" s="4" t="n">
        <f aca="false">F682*G682</f>
        <v>674.85</v>
      </c>
      <c r="J682" s="4" t="n">
        <f aca="false">F682*H682</f>
        <v>306</v>
      </c>
      <c r="K682" s="4" t="n">
        <f aca="false">I682-J682</f>
        <v>368.85</v>
      </c>
      <c r="L682" s="5" t="n">
        <f aca="false">IFERROR(K682/I682,0)</f>
        <v>0.546565903534119</v>
      </c>
    </row>
    <row r="683" customFormat="false" ht="15" hidden="false" customHeight="false" outlineLevel="0" collapsed="false">
      <c r="A683" s="2" t="s">
        <v>47</v>
      </c>
      <c r="B683" s="2" t="s">
        <v>48</v>
      </c>
      <c r="C683" s="2" t="s">
        <v>20</v>
      </c>
      <c r="D683" s="2" t="s">
        <v>22</v>
      </c>
      <c r="E683" s="3" t="n">
        <v>45962</v>
      </c>
      <c r="F683" s="2" t="n">
        <v>14</v>
      </c>
      <c r="G683" s="4" t="n">
        <v>14.99</v>
      </c>
      <c r="H683" s="4" t="n">
        <v>5.81</v>
      </c>
      <c r="I683" s="4" t="n">
        <f aca="false">F683*G683</f>
        <v>209.86</v>
      </c>
      <c r="J683" s="4" t="n">
        <f aca="false">F683*H683</f>
        <v>81.34</v>
      </c>
      <c r="K683" s="4" t="n">
        <f aca="false">I683-J683</f>
        <v>128.52</v>
      </c>
      <c r="L683" s="5" t="n">
        <f aca="false">IFERROR(K683/I683,0)</f>
        <v>0.612408272181454</v>
      </c>
    </row>
    <row r="684" customFormat="false" ht="15" hidden="false" customHeight="false" outlineLevel="0" collapsed="false">
      <c r="A684" s="2" t="s">
        <v>47</v>
      </c>
      <c r="B684" s="2" t="s">
        <v>48</v>
      </c>
      <c r="C684" s="2" t="s">
        <v>20</v>
      </c>
      <c r="D684" s="2" t="s">
        <v>23</v>
      </c>
      <c r="E684" s="3" t="n">
        <v>45962</v>
      </c>
      <c r="F684" s="2" t="n">
        <v>14</v>
      </c>
      <c r="G684" s="4" t="n">
        <v>39.99</v>
      </c>
      <c r="H684" s="4" t="n">
        <v>17.21</v>
      </c>
      <c r="I684" s="4" t="n">
        <f aca="false">F684*G684</f>
        <v>559.86</v>
      </c>
      <c r="J684" s="4" t="n">
        <f aca="false">F684*H684</f>
        <v>240.94</v>
      </c>
      <c r="K684" s="4" t="n">
        <f aca="false">I684-J684</f>
        <v>318.92</v>
      </c>
      <c r="L684" s="5" t="n">
        <f aca="false">IFERROR(K684/I684,0)</f>
        <v>0.569642410602651</v>
      </c>
    </row>
    <row r="685" customFormat="false" ht="15" hidden="false" customHeight="false" outlineLevel="0" collapsed="false">
      <c r="A685" s="2" t="s">
        <v>47</v>
      </c>
      <c r="B685" s="2" t="s">
        <v>48</v>
      </c>
      <c r="C685" s="2" t="s">
        <v>20</v>
      </c>
      <c r="D685" s="2" t="s">
        <v>24</v>
      </c>
      <c r="E685" s="3" t="n">
        <v>45962</v>
      </c>
      <c r="F685" s="2" t="n">
        <v>9</v>
      </c>
      <c r="G685" s="4" t="n">
        <v>18.99</v>
      </c>
      <c r="H685" s="4" t="n">
        <v>7.73</v>
      </c>
      <c r="I685" s="4" t="n">
        <f aca="false">F685*G685</f>
        <v>170.91</v>
      </c>
      <c r="J685" s="4" t="n">
        <f aca="false">F685*H685</f>
        <v>69.57</v>
      </c>
      <c r="K685" s="4" t="n">
        <f aca="false">I685-J685</f>
        <v>101.34</v>
      </c>
      <c r="L685" s="5" t="n">
        <f aca="false">IFERROR(K685/I685,0)</f>
        <v>0.592943654555029</v>
      </c>
    </row>
    <row r="686" customFormat="false" ht="15" hidden="false" customHeight="false" outlineLevel="0" collapsed="false">
      <c r="A686" s="2" t="s">
        <v>47</v>
      </c>
      <c r="B686" s="2" t="s">
        <v>48</v>
      </c>
      <c r="C686" s="2" t="s">
        <v>20</v>
      </c>
      <c r="D686" s="2" t="s">
        <v>25</v>
      </c>
      <c r="E686" s="3" t="n">
        <v>45962</v>
      </c>
      <c r="F686" s="2" t="n">
        <v>14</v>
      </c>
      <c r="G686" s="4" t="n">
        <v>42.99</v>
      </c>
      <c r="H686" s="4" t="n">
        <v>15.91</v>
      </c>
      <c r="I686" s="4" t="n">
        <f aca="false">F686*G686</f>
        <v>601.86</v>
      </c>
      <c r="J686" s="4" t="n">
        <f aca="false">F686*H686</f>
        <v>222.74</v>
      </c>
      <c r="K686" s="4" t="n">
        <f aca="false">I686-J686</f>
        <v>379.12</v>
      </c>
      <c r="L686" s="5" t="n">
        <f aca="false">IFERROR(K686/I686,0)</f>
        <v>0.629913933472901</v>
      </c>
    </row>
    <row r="687" customFormat="false" ht="15" hidden="false" customHeight="false" outlineLevel="0" collapsed="false">
      <c r="A687" s="2" t="s">
        <v>47</v>
      </c>
      <c r="B687" s="2" t="s">
        <v>48</v>
      </c>
      <c r="C687" s="2" t="s">
        <v>26</v>
      </c>
      <c r="D687" s="2" t="s">
        <v>27</v>
      </c>
      <c r="E687" s="3" t="n">
        <v>45962</v>
      </c>
      <c r="F687" s="2" t="n">
        <v>27</v>
      </c>
      <c r="G687" s="4" t="n">
        <v>44.99</v>
      </c>
      <c r="H687" s="4" t="n">
        <v>27.89</v>
      </c>
      <c r="I687" s="4" t="n">
        <f aca="false">F687*G687</f>
        <v>1214.73</v>
      </c>
      <c r="J687" s="4" t="n">
        <f aca="false">F687*H687</f>
        <v>753.03</v>
      </c>
      <c r="K687" s="4" t="n">
        <f aca="false">I687-J687</f>
        <v>461.7</v>
      </c>
      <c r="L687" s="5" t="n">
        <f aca="false">IFERROR(K687/I687,0)</f>
        <v>0.380084463214048</v>
      </c>
    </row>
    <row r="688" customFormat="false" ht="15" hidden="false" customHeight="false" outlineLevel="0" collapsed="false">
      <c r="A688" s="2" t="s">
        <v>47</v>
      </c>
      <c r="B688" s="2" t="s">
        <v>48</v>
      </c>
      <c r="C688" s="2" t="s">
        <v>26</v>
      </c>
      <c r="D688" s="2" t="s">
        <v>28</v>
      </c>
      <c r="E688" s="3" t="n">
        <v>45962</v>
      </c>
      <c r="F688" s="2" t="n">
        <v>16</v>
      </c>
      <c r="G688" s="4" t="n">
        <v>34.99</v>
      </c>
      <c r="H688" s="4" t="n">
        <v>22.24</v>
      </c>
      <c r="I688" s="4" t="n">
        <f aca="false">F688*G688</f>
        <v>559.84</v>
      </c>
      <c r="J688" s="4" t="n">
        <f aca="false">F688*H688</f>
        <v>355.84</v>
      </c>
      <c r="K688" s="4" t="n">
        <f aca="false">I688-J688</f>
        <v>204</v>
      </c>
      <c r="L688" s="5" t="n">
        <f aca="false">IFERROR(K688/I688,0)</f>
        <v>0.364389825664476</v>
      </c>
    </row>
    <row r="689" customFormat="false" ht="15" hidden="false" customHeight="false" outlineLevel="0" collapsed="false">
      <c r="A689" s="2" t="s">
        <v>47</v>
      </c>
      <c r="B689" s="2" t="s">
        <v>48</v>
      </c>
      <c r="C689" s="2" t="s">
        <v>26</v>
      </c>
      <c r="D689" s="2" t="s">
        <v>29</v>
      </c>
      <c r="E689" s="3" t="n">
        <v>45962</v>
      </c>
      <c r="F689" s="2" t="n">
        <v>41</v>
      </c>
      <c r="G689" s="4" t="n">
        <v>119.99</v>
      </c>
      <c r="H689" s="4" t="n">
        <v>80.86</v>
      </c>
      <c r="I689" s="4" t="n">
        <f aca="false">F689*G689</f>
        <v>4919.59</v>
      </c>
      <c r="J689" s="4" t="n">
        <f aca="false">F689*H689</f>
        <v>3315.26</v>
      </c>
      <c r="K689" s="4" t="n">
        <f aca="false">I689-J689</f>
        <v>1604.33</v>
      </c>
      <c r="L689" s="5" t="n">
        <f aca="false">IFERROR(K689/I689,0)</f>
        <v>0.326110509209101</v>
      </c>
    </row>
    <row r="690" customFormat="false" ht="15" hidden="false" customHeight="false" outlineLevel="0" collapsed="false">
      <c r="A690" s="2" t="s">
        <v>47</v>
      </c>
      <c r="B690" s="2" t="s">
        <v>48</v>
      </c>
      <c r="C690" s="2" t="s">
        <v>26</v>
      </c>
      <c r="D690" s="2" t="s">
        <v>30</v>
      </c>
      <c r="E690" s="3" t="n">
        <v>45962</v>
      </c>
      <c r="F690" s="2" t="n">
        <v>22</v>
      </c>
      <c r="G690" s="4" t="n">
        <v>24.99</v>
      </c>
      <c r="H690" s="4" t="n">
        <v>15.3</v>
      </c>
      <c r="I690" s="4" t="n">
        <f aca="false">F690*G690</f>
        <v>549.78</v>
      </c>
      <c r="J690" s="4" t="n">
        <f aca="false">F690*H690</f>
        <v>336.6</v>
      </c>
      <c r="K690" s="4" t="n">
        <f aca="false">I690-J690</f>
        <v>213.18</v>
      </c>
      <c r="L690" s="5" t="n">
        <f aca="false">IFERROR(K690/I690,0)</f>
        <v>0.387755102040816</v>
      </c>
    </row>
    <row r="691" customFormat="false" ht="15" hidden="false" customHeight="false" outlineLevel="0" collapsed="false">
      <c r="A691" s="2" t="s">
        <v>47</v>
      </c>
      <c r="B691" s="2" t="s">
        <v>48</v>
      </c>
      <c r="C691" s="2" t="s">
        <v>26</v>
      </c>
      <c r="D691" s="2" t="s">
        <v>31</v>
      </c>
      <c r="E691" s="3" t="n">
        <v>45962</v>
      </c>
      <c r="F691" s="2" t="n">
        <v>34</v>
      </c>
      <c r="G691" s="4" t="n">
        <v>59.99</v>
      </c>
      <c r="H691" s="4" t="n">
        <v>39.6</v>
      </c>
      <c r="I691" s="4" t="n">
        <f aca="false">F691*G691</f>
        <v>2039.66</v>
      </c>
      <c r="J691" s="4" t="n">
        <f aca="false">F691*H691</f>
        <v>1346.4</v>
      </c>
      <c r="K691" s="4" t="n">
        <f aca="false">I691-J691</f>
        <v>693.26</v>
      </c>
      <c r="L691" s="5" t="n">
        <f aca="false">IFERROR(K691/I691,0)</f>
        <v>0.339889981663611</v>
      </c>
    </row>
    <row r="692" customFormat="false" ht="15" hidden="false" customHeight="false" outlineLevel="0" collapsed="false">
      <c r="A692" s="2" t="s">
        <v>47</v>
      </c>
      <c r="B692" s="2" t="s">
        <v>48</v>
      </c>
      <c r="C692" s="2" t="s">
        <v>32</v>
      </c>
      <c r="D692" s="2" t="s">
        <v>33</v>
      </c>
      <c r="E692" s="3" t="n">
        <v>45962</v>
      </c>
      <c r="F692" s="2" t="n">
        <v>7</v>
      </c>
      <c r="G692" s="4" t="n">
        <v>49.99</v>
      </c>
      <c r="H692" s="4" t="n">
        <v>36.86</v>
      </c>
      <c r="I692" s="4" t="n">
        <f aca="false">F692*G692</f>
        <v>349.93</v>
      </c>
      <c r="J692" s="4" t="n">
        <f aca="false">F692*H692</f>
        <v>258.02</v>
      </c>
      <c r="K692" s="4" t="n">
        <f aca="false">I692-J692</f>
        <v>91.91</v>
      </c>
      <c r="L692" s="5" t="n">
        <f aca="false">IFERROR(K692/I692,0)</f>
        <v>0.262652530506101</v>
      </c>
    </row>
    <row r="693" customFormat="false" ht="15" hidden="false" customHeight="false" outlineLevel="0" collapsed="false">
      <c r="A693" s="2" t="s">
        <v>47</v>
      </c>
      <c r="B693" s="2" t="s">
        <v>48</v>
      </c>
      <c r="C693" s="2" t="s">
        <v>32</v>
      </c>
      <c r="D693" s="2" t="s">
        <v>34</v>
      </c>
      <c r="E693" s="3" t="n">
        <v>45962</v>
      </c>
      <c r="F693" s="2" t="n">
        <v>7</v>
      </c>
      <c r="G693" s="4" t="n">
        <v>27.99</v>
      </c>
      <c r="H693" s="4" t="n">
        <v>20.33</v>
      </c>
      <c r="I693" s="4" t="n">
        <f aca="false">F693*G693</f>
        <v>195.93</v>
      </c>
      <c r="J693" s="4" t="n">
        <f aca="false">F693*H693</f>
        <v>142.31</v>
      </c>
      <c r="K693" s="4" t="n">
        <f aca="false">I693-J693</f>
        <v>53.62</v>
      </c>
      <c r="L693" s="5" t="n">
        <f aca="false">IFERROR(K693/I693,0)</f>
        <v>0.273669167559843</v>
      </c>
    </row>
    <row r="694" customFormat="false" ht="15" hidden="false" customHeight="false" outlineLevel="0" collapsed="false">
      <c r="A694" s="2" t="s">
        <v>47</v>
      </c>
      <c r="B694" s="2" t="s">
        <v>48</v>
      </c>
      <c r="C694" s="2" t="s">
        <v>32</v>
      </c>
      <c r="D694" s="2" t="s">
        <v>35</v>
      </c>
      <c r="E694" s="3" t="n">
        <v>45962</v>
      </c>
      <c r="F694" s="2" t="n">
        <v>12</v>
      </c>
      <c r="G694" s="4" t="n">
        <v>64.99</v>
      </c>
      <c r="H694" s="4" t="n">
        <v>44.21</v>
      </c>
      <c r="I694" s="4" t="n">
        <f aca="false">F694*G694</f>
        <v>779.88</v>
      </c>
      <c r="J694" s="4" t="n">
        <f aca="false">F694*H694</f>
        <v>530.52</v>
      </c>
      <c r="K694" s="4" t="n">
        <f aca="false">I694-J694</f>
        <v>249.36</v>
      </c>
      <c r="L694" s="5" t="n">
        <f aca="false">IFERROR(K694/I694,0)</f>
        <v>0.319741498692106</v>
      </c>
    </row>
    <row r="695" customFormat="false" ht="15" hidden="false" customHeight="false" outlineLevel="0" collapsed="false">
      <c r="A695" s="2" t="s">
        <v>47</v>
      </c>
      <c r="B695" s="2" t="s">
        <v>48</v>
      </c>
      <c r="C695" s="2" t="s">
        <v>32</v>
      </c>
      <c r="D695" s="2" t="s">
        <v>36</v>
      </c>
      <c r="E695" s="3" t="n">
        <v>45962</v>
      </c>
      <c r="F695" s="2" t="n">
        <v>17</v>
      </c>
      <c r="G695" s="4" t="n">
        <v>22.99</v>
      </c>
      <c r="H695" s="4" t="n">
        <v>16.5</v>
      </c>
      <c r="I695" s="4" t="n">
        <f aca="false">F695*G695</f>
        <v>390.83</v>
      </c>
      <c r="J695" s="4" t="n">
        <f aca="false">F695*H695</f>
        <v>280.5</v>
      </c>
      <c r="K695" s="4" t="n">
        <f aca="false">I695-J695</f>
        <v>110.33</v>
      </c>
      <c r="L695" s="5" t="n">
        <f aca="false">IFERROR(K695/I695,0)</f>
        <v>0.282296650717703</v>
      </c>
    </row>
    <row r="696" customFormat="false" ht="15" hidden="false" customHeight="false" outlineLevel="0" collapsed="false">
      <c r="A696" s="2" t="s">
        <v>47</v>
      </c>
      <c r="B696" s="2" t="s">
        <v>48</v>
      </c>
      <c r="C696" s="2" t="s">
        <v>32</v>
      </c>
      <c r="D696" s="2" t="s">
        <v>37</v>
      </c>
      <c r="E696" s="3" t="n">
        <v>45962</v>
      </c>
      <c r="F696" s="2" t="n">
        <v>13</v>
      </c>
      <c r="G696" s="4" t="n">
        <v>29.99</v>
      </c>
      <c r="H696" s="4" t="n">
        <v>20.92</v>
      </c>
      <c r="I696" s="4" t="n">
        <f aca="false">F696*G696</f>
        <v>389.87</v>
      </c>
      <c r="J696" s="4" t="n">
        <f aca="false">F696*H696</f>
        <v>271.96</v>
      </c>
      <c r="K696" s="4" t="n">
        <f aca="false">I696-J696</f>
        <v>117.91</v>
      </c>
      <c r="L696" s="5" t="n">
        <f aca="false">IFERROR(K696/I696,0)</f>
        <v>0.302434144714905</v>
      </c>
    </row>
    <row r="697" customFormat="false" ht="15" hidden="false" customHeight="false" outlineLevel="0" collapsed="false">
      <c r="A697" s="2" t="s">
        <v>47</v>
      </c>
      <c r="B697" s="2" t="s">
        <v>48</v>
      </c>
      <c r="C697" s="2" t="s">
        <v>38</v>
      </c>
      <c r="D697" s="2" t="s">
        <v>39</v>
      </c>
      <c r="E697" s="3" t="n">
        <v>45962</v>
      </c>
      <c r="F697" s="2" t="n">
        <v>10</v>
      </c>
      <c r="G697" s="4" t="n">
        <v>129.99</v>
      </c>
      <c r="H697" s="4" t="n">
        <v>74.51</v>
      </c>
      <c r="I697" s="4" t="n">
        <f aca="false">F697*G697</f>
        <v>1299.9</v>
      </c>
      <c r="J697" s="4" t="n">
        <f aca="false">F697*H697</f>
        <v>745.1</v>
      </c>
      <c r="K697" s="4" t="n">
        <f aca="false">I697-J697</f>
        <v>554.8</v>
      </c>
      <c r="L697" s="5" t="n">
        <f aca="false">IFERROR(K697/I697,0)</f>
        <v>0.426802061697054</v>
      </c>
    </row>
    <row r="698" customFormat="false" ht="15" hidden="false" customHeight="false" outlineLevel="0" collapsed="false">
      <c r="A698" s="2" t="s">
        <v>47</v>
      </c>
      <c r="B698" s="2" t="s">
        <v>48</v>
      </c>
      <c r="C698" s="2" t="s">
        <v>38</v>
      </c>
      <c r="D698" s="2" t="s">
        <v>40</v>
      </c>
      <c r="E698" s="3" t="n">
        <v>45962</v>
      </c>
      <c r="F698" s="2" t="n">
        <v>9</v>
      </c>
      <c r="G698" s="4" t="n">
        <v>74.99</v>
      </c>
      <c r="H698" s="4" t="n">
        <v>41.52</v>
      </c>
      <c r="I698" s="4" t="n">
        <f aca="false">F698*G698</f>
        <v>674.91</v>
      </c>
      <c r="J698" s="4" t="n">
        <f aca="false">F698*H698</f>
        <v>373.68</v>
      </c>
      <c r="K698" s="4" t="n">
        <f aca="false">I698-J698</f>
        <v>301.23</v>
      </c>
      <c r="L698" s="5" t="n">
        <f aca="false">IFERROR(K698/I698,0)</f>
        <v>0.446326176823576</v>
      </c>
    </row>
    <row r="699" customFormat="false" ht="15" hidden="false" customHeight="false" outlineLevel="0" collapsed="false">
      <c r="A699" s="2" t="s">
        <v>47</v>
      </c>
      <c r="B699" s="2" t="s">
        <v>48</v>
      </c>
      <c r="C699" s="2" t="s">
        <v>38</v>
      </c>
      <c r="D699" s="2" t="s">
        <v>41</v>
      </c>
      <c r="E699" s="3" t="n">
        <v>45962</v>
      </c>
      <c r="F699" s="2" t="n">
        <v>12</v>
      </c>
      <c r="G699" s="4" t="n">
        <v>19.99</v>
      </c>
      <c r="H699" s="4" t="n">
        <v>9.86</v>
      </c>
      <c r="I699" s="4" t="n">
        <f aca="false">F699*G699</f>
        <v>239.88</v>
      </c>
      <c r="J699" s="4" t="n">
        <f aca="false">F699*H699</f>
        <v>118.32</v>
      </c>
      <c r="K699" s="4" t="n">
        <f aca="false">I699-J699</f>
        <v>121.56</v>
      </c>
      <c r="L699" s="5" t="n">
        <f aca="false">IFERROR(K699/I699,0)</f>
        <v>0.506753376688344</v>
      </c>
    </row>
    <row r="700" customFormat="false" ht="15" hidden="false" customHeight="false" outlineLevel="0" collapsed="false">
      <c r="A700" s="2" t="s">
        <v>47</v>
      </c>
      <c r="B700" s="2" t="s">
        <v>48</v>
      </c>
      <c r="C700" s="2" t="s">
        <v>38</v>
      </c>
      <c r="D700" s="2" t="s">
        <v>42</v>
      </c>
      <c r="E700" s="3" t="n">
        <v>45962</v>
      </c>
      <c r="F700" s="2" t="n">
        <v>15</v>
      </c>
      <c r="G700" s="4" t="n">
        <v>16.99</v>
      </c>
      <c r="H700" s="4" t="n">
        <v>8.36</v>
      </c>
      <c r="I700" s="4" t="n">
        <f aca="false">F700*G700</f>
        <v>254.85</v>
      </c>
      <c r="J700" s="4" t="n">
        <f aca="false">F700*H700</f>
        <v>125.4</v>
      </c>
      <c r="K700" s="4" t="n">
        <f aca="false">I700-J700</f>
        <v>129.45</v>
      </c>
      <c r="L700" s="5" t="n">
        <f aca="false">IFERROR(K700/I700,0)</f>
        <v>0.507945850500294</v>
      </c>
    </row>
    <row r="701" customFormat="false" ht="15" hidden="false" customHeight="false" outlineLevel="0" collapsed="false">
      <c r="A701" s="2" t="s">
        <v>47</v>
      </c>
      <c r="B701" s="2" t="s">
        <v>48</v>
      </c>
      <c r="C701" s="2" t="s">
        <v>38</v>
      </c>
      <c r="D701" s="2" t="s">
        <v>43</v>
      </c>
      <c r="E701" s="3" t="n">
        <v>45962</v>
      </c>
      <c r="F701" s="2" t="n">
        <v>10</v>
      </c>
      <c r="G701" s="4" t="n">
        <v>24.99</v>
      </c>
      <c r="H701" s="4" t="n">
        <v>12.98</v>
      </c>
      <c r="I701" s="4" t="n">
        <f aca="false">F701*G701</f>
        <v>249.9</v>
      </c>
      <c r="J701" s="4" t="n">
        <f aca="false">F701*H701</f>
        <v>129.8</v>
      </c>
      <c r="K701" s="4" t="n">
        <f aca="false">I701-J701</f>
        <v>120.1</v>
      </c>
      <c r="L701" s="5" t="n">
        <f aca="false">IFERROR(K701/I701,0)</f>
        <v>0.480592236894758</v>
      </c>
    </row>
    <row r="702" customFormat="false" ht="15" hidden="false" customHeight="false" outlineLevel="0" collapsed="false">
      <c r="A702" s="2" t="s">
        <v>47</v>
      </c>
      <c r="B702" s="2" t="s">
        <v>49</v>
      </c>
      <c r="C702" s="2" t="s">
        <v>14</v>
      </c>
      <c r="D702" s="2" t="s">
        <v>15</v>
      </c>
      <c r="E702" s="3" t="n">
        <v>45962</v>
      </c>
      <c r="F702" s="2" t="n">
        <v>21</v>
      </c>
      <c r="G702" s="4" t="n">
        <v>69.99</v>
      </c>
      <c r="H702" s="4" t="n">
        <v>33.7</v>
      </c>
      <c r="I702" s="4" t="n">
        <f aca="false">F702*G702</f>
        <v>1469.79</v>
      </c>
      <c r="J702" s="4" t="n">
        <f aca="false">F702*H702</f>
        <v>707.7</v>
      </c>
      <c r="K702" s="4" t="n">
        <f aca="false">I702-J702</f>
        <v>762.09</v>
      </c>
      <c r="L702" s="5" t="n">
        <f aca="false">IFERROR(K702/I702,0)</f>
        <v>0.518502643234748</v>
      </c>
    </row>
    <row r="703" customFormat="false" ht="15" hidden="false" customHeight="false" outlineLevel="0" collapsed="false">
      <c r="A703" s="2" t="s">
        <v>47</v>
      </c>
      <c r="B703" s="2" t="s">
        <v>49</v>
      </c>
      <c r="C703" s="2" t="s">
        <v>14</v>
      </c>
      <c r="D703" s="2" t="s">
        <v>16</v>
      </c>
      <c r="E703" s="3" t="n">
        <v>45962</v>
      </c>
      <c r="F703" s="2" t="n">
        <v>6</v>
      </c>
      <c r="G703" s="4" t="n">
        <v>19.99</v>
      </c>
      <c r="H703" s="4" t="n">
        <v>9.12</v>
      </c>
      <c r="I703" s="4" t="n">
        <f aca="false">F703*G703</f>
        <v>119.94</v>
      </c>
      <c r="J703" s="4" t="n">
        <f aca="false">F703*H703</f>
        <v>54.72</v>
      </c>
      <c r="K703" s="4" t="n">
        <f aca="false">I703-J703</f>
        <v>65.22</v>
      </c>
      <c r="L703" s="5" t="n">
        <f aca="false">IFERROR(K703/I703,0)</f>
        <v>0.543771885942971</v>
      </c>
    </row>
    <row r="704" customFormat="false" ht="15" hidden="false" customHeight="false" outlineLevel="0" collapsed="false">
      <c r="A704" s="2" t="s">
        <v>47</v>
      </c>
      <c r="B704" s="2" t="s">
        <v>49</v>
      </c>
      <c r="C704" s="2" t="s">
        <v>14</v>
      </c>
      <c r="D704" s="2" t="s">
        <v>17</v>
      </c>
      <c r="E704" s="3" t="n">
        <v>45962</v>
      </c>
      <c r="F704" s="2" t="n">
        <v>21</v>
      </c>
      <c r="G704" s="4" t="n">
        <v>79.99</v>
      </c>
      <c r="H704" s="4" t="n">
        <v>40</v>
      </c>
      <c r="I704" s="4" t="n">
        <f aca="false">F704*G704</f>
        <v>1679.79</v>
      </c>
      <c r="J704" s="4" t="n">
        <f aca="false">F704*H704</f>
        <v>840</v>
      </c>
      <c r="K704" s="4" t="n">
        <f aca="false">I704-J704</f>
        <v>839.79</v>
      </c>
      <c r="L704" s="5" t="n">
        <f aca="false">IFERROR(K704/I704,0)</f>
        <v>0.499937492186523</v>
      </c>
    </row>
    <row r="705" customFormat="false" ht="15" hidden="false" customHeight="false" outlineLevel="0" collapsed="false">
      <c r="A705" s="2" t="s">
        <v>47</v>
      </c>
      <c r="B705" s="2" t="s">
        <v>49</v>
      </c>
      <c r="C705" s="2" t="s">
        <v>14</v>
      </c>
      <c r="D705" s="2" t="s">
        <v>18</v>
      </c>
      <c r="E705" s="3" t="n">
        <v>45962</v>
      </c>
      <c r="F705" s="2" t="n">
        <v>16</v>
      </c>
      <c r="G705" s="4" t="n">
        <v>34.99</v>
      </c>
      <c r="H705" s="4" t="n">
        <v>15.12</v>
      </c>
      <c r="I705" s="4" t="n">
        <f aca="false">F705*G705</f>
        <v>559.84</v>
      </c>
      <c r="J705" s="4" t="n">
        <f aca="false">F705*H705</f>
        <v>241.92</v>
      </c>
      <c r="K705" s="4" t="n">
        <f aca="false">I705-J705</f>
        <v>317.92</v>
      </c>
      <c r="L705" s="5" t="n">
        <f aca="false">IFERROR(K705/I705,0)</f>
        <v>0.567876536153187</v>
      </c>
    </row>
    <row r="706" customFormat="false" ht="15" hidden="false" customHeight="false" outlineLevel="0" collapsed="false">
      <c r="A706" s="2" t="s">
        <v>47</v>
      </c>
      <c r="B706" s="2" t="s">
        <v>49</v>
      </c>
      <c r="C706" s="2" t="s">
        <v>14</v>
      </c>
      <c r="D706" s="2" t="s">
        <v>19</v>
      </c>
      <c r="E706" s="3" t="n">
        <v>45962</v>
      </c>
      <c r="F706" s="2" t="n">
        <v>19</v>
      </c>
      <c r="G706" s="4" t="n">
        <v>54.99</v>
      </c>
      <c r="H706" s="4" t="n">
        <v>24.51</v>
      </c>
      <c r="I706" s="4" t="n">
        <f aca="false">F706*G706</f>
        <v>1044.81</v>
      </c>
      <c r="J706" s="4" t="n">
        <f aca="false">F706*H706</f>
        <v>465.69</v>
      </c>
      <c r="K706" s="4" t="n">
        <f aca="false">I706-J706</f>
        <v>579.12</v>
      </c>
      <c r="L706" s="5" t="n">
        <f aca="false">IFERROR(K706/I706,0)</f>
        <v>0.554282596835788</v>
      </c>
    </row>
    <row r="707" customFormat="false" ht="15" hidden="false" customHeight="false" outlineLevel="0" collapsed="false">
      <c r="A707" s="2" t="s">
        <v>47</v>
      </c>
      <c r="B707" s="2" t="s">
        <v>49</v>
      </c>
      <c r="C707" s="2" t="s">
        <v>20</v>
      </c>
      <c r="D707" s="2" t="s">
        <v>21</v>
      </c>
      <c r="E707" s="3" t="n">
        <v>45962</v>
      </c>
      <c r="F707" s="2" t="n">
        <v>21</v>
      </c>
      <c r="G707" s="4" t="n">
        <v>44.99</v>
      </c>
      <c r="H707" s="4" t="n">
        <v>20.36</v>
      </c>
      <c r="I707" s="4" t="n">
        <f aca="false">F707*G707</f>
        <v>944.79</v>
      </c>
      <c r="J707" s="4" t="n">
        <f aca="false">F707*H707</f>
        <v>427.56</v>
      </c>
      <c r="K707" s="4" t="n">
        <f aca="false">I707-J707</f>
        <v>517.23</v>
      </c>
      <c r="L707" s="5" t="n">
        <f aca="false">IFERROR(K707/I707,0)</f>
        <v>0.547454989997777</v>
      </c>
    </row>
    <row r="708" customFormat="false" ht="15" hidden="false" customHeight="false" outlineLevel="0" collapsed="false">
      <c r="A708" s="2" t="s">
        <v>47</v>
      </c>
      <c r="B708" s="2" t="s">
        <v>49</v>
      </c>
      <c r="C708" s="2" t="s">
        <v>20</v>
      </c>
      <c r="D708" s="2" t="s">
        <v>22</v>
      </c>
      <c r="E708" s="3" t="n">
        <v>45962</v>
      </c>
      <c r="F708" s="2" t="n">
        <v>15</v>
      </c>
      <c r="G708" s="4" t="n">
        <v>14.99</v>
      </c>
      <c r="H708" s="4" t="n">
        <v>5.53</v>
      </c>
      <c r="I708" s="4" t="n">
        <f aca="false">F708*G708</f>
        <v>224.85</v>
      </c>
      <c r="J708" s="4" t="n">
        <f aca="false">F708*H708</f>
        <v>82.95</v>
      </c>
      <c r="K708" s="4" t="n">
        <f aca="false">I708-J708</f>
        <v>141.9</v>
      </c>
      <c r="L708" s="5" t="n">
        <f aca="false">IFERROR(K708/I708,0)</f>
        <v>0.631087391594396</v>
      </c>
    </row>
    <row r="709" customFormat="false" ht="15" hidden="false" customHeight="false" outlineLevel="0" collapsed="false">
      <c r="A709" s="2" t="s">
        <v>47</v>
      </c>
      <c r="B709" s="2" t="s">
        <v>49</v>
      </c>
      <c r="C709" s="2" t="s">
        <v>20</v>
      </c>
      <c r="D709" s="2" t="s">
        <v>23</v>
      </c>
      <c r="E709" s="3" t="n">
        <v>45962</v>
      </c>
      <c r="F709" s="2" t="n">
        <v>15</v>
      </c>
      <c r="G709" s="4" t="n">
        <v>39.99</v>
      </c>
      <c r="H709" s="4" t="n">
        <v>16.62</v>
      </c>
      <c r="I709" s="4" t="n">
        <f aca="false">F709*G709</f>
        <v>599.85</v>
      </c>
      <c r="J709" s="4" t="n">
        <f aca="false">F709*H709</f>
        <v>249.3</v>
      </c>
      <c r="K709" s="4" t="n">
        <f aca="false">I709-J709</f>
        <v>350.55</v>
      </c>
      <c r="L709" s="5" t="n">
        <f aca="false">IFERROR(K709/I709,0)</f>
        <v>0.584396099024756</v>
      </c>
    </row>
    <row r="710" customFormat="false" ht="15" hidden="false" customHeight="false" outlineLevel="0" collapsed="false">
      <c r="A710" s="2" t="s">
        <v>47</v>
      </c>
      <c r="B710" s="2" t="s">
        <v>49</v>
      </c>
      <c r="C710" s="2" t="s">
        <v>20</v>
      </c>
      <c r="D710" s="2" t="s">
        <v>24</v>
      </c>
      <c r="E710" s="3" t="n">
        <v>45962</v>
      </c>
      <c r="F710" s="2" t="n">
        <v>24</v>
      </c>
      <c r="G710" s="4" t="n">
        <v>18.99</v>
      </c>
      <c r="H710" s="4" t="n">
        <v>7.66</v>
      </c>
      <c r="I710" s="4" t="n">
        <f aca="false">F710*G710</f>
        <v>455.76</v>
      </c>
      <c r="J710" s="4" t="n">
        <f aca="false">F710*H710</f>
        <v>183.84</v>
      </c>
      <c r="K710" s="4" t="n">
        <f aca="false">I710-J710</f>
        <v>271.92</v>
      </c>
      <c r="L710" s="5" t="n">
        <f aca="false">IFERROR(K710/I710,0)</f>
        <v>0.596629805160611</v>
      </c>
    </row>
    <row r="711" customFormat="false" ht="15" hidden="false" customHeight="false" outlineLevel="0" collapsed="false">
      <c r="A711" s="2" t="s">
        <v>47</v>
      </c>
      <c r="B711" s="2" t="s">
        <v>49</v>
      </c>
      <c r="C711" s="2" t="s">
        <v>20</v>
      </c>
      <c r="D711" s="2" t="s">
        <v>25</v>
      </c>
      <c r="E711" s="3" t="n">
        <v>45962</v>
      </c>
      <c r="F711" s="2" t="n">
        <v>25</v>
      </c>
      <c r="G711" s="4" t="n">
        <v>42.99</v>
      </c>
      <c r="H711" s="4" t="n">
        <v>15.94</v>
      </c>
      <c r="I711" s="4" t="n">
        <f aca="false">F711*G711</f>
        <v>1074.75</v>
      </c>
      <c r="J711" s="4" t="n">
        <f aca="false">F711*H711</f>
        <v>398.5</v>
      </c>
      <c r="K711" s="4" t="n">
        <f aca="false">I711-J711</f>
        <v>676.25</v>
      </c>
      <c r="L711" s="5" t="n">
        <f aca="false">IFERROR(K711/I711,0)</f>
        <v>0.62921609676669</v>
      </c>
    </row>
    <row r="712" customFormat="false" ht="15" hidden="false" customHeight="false" outlineLevel="0" collapsed="false">
      <c r="A712" s="2" t="s">
        <v>47</v>
      </c>
      <c r="B712" s="2" t="s">
        <v>49</v>
      </c>
      <c r="C712" s="2" t="s">
        <v>26</v>
      </c>
      <c r="D712" s="2" t="s">
        <v>27</v>
      </c>
      <c r="E712" s="3" t="n">
        <v>45962</v>
      </c>
      <c r="F712" s="2" t="n">
        <v>39</v>
      </c>
      <c r="G712" s="4" t="n">
        <v>44.99</v>
      </c>
      <c r="H712" s="4" t="n">
        <v>27.6</v>
      </c>
      <c r="I712" s="4" t="n">
        <f aca="false">F712*G712</f>
        <v>1754.61</v>
      </c>
      <c r="J712" s="4" t="n">
        <f aca="false">F712*H712</f>
        <v>1076.4</v>
      </c>
      <c r="K712" s="4" t="n">
        <f aca="false">I712-J712</f>
        <v>678.21</v>
      </c>
      <c r="L712" s="5" t="n">
        <f aca="false">IFERROR(K712/I712,0)</f>
        <v>0.386530340075572</v>
      </c>
    </row>
    <row r="713" customFormat="false" ht="15" hidden="false" customHeight="false" outlineLevel="0" collapsed="false">
      <c r="A713" s="2" t="s">
        <v>47</v>
      </c>
      <c r="B713" s="2" t="s">
        <v>49</v>
      </c>
      <c r="C713" s="2" t="s">
        <v>26</v>
      </c>
      <c r="D713" s="2" t="s">
        <v>28</v>
      </c>
      <c r="E713" s="3" t="n">
        <v>45962</v>
      </c>
      <c r="F713" s="2" t="n">
        <v>43</v>
      </c>
      <c r="G713" s="4" t="n">
        <v>34.99</v>
      </c>
      <c r="H713" s="4" t="n">
        <v>22.5</v>
      </c>
      <c r="I713" s="4" t="n">
        <f aca="false">F713*G713</f>
        <v>1504.57</v>
      </c>
      <c r="J713" s="4" t="n">
        <f aca="false">F713*H713</f>
        <v>967.5</v>
      </c>
      <c r="K713" s="4" t="n">
        <f aca="false">I713-J713</f>
        <v>537.07</v>
      </c>
      <c r="L713" s="5" t="n">
        <f aca="false">IFERROR(K713/I713,0)</f>
        <v>0.356959131180337</v>
      </c>
    </row>
    <row r="714" customFormat="false" ht="15" hidden="false" customHeight="false" outlineLevel="0" collapsed="false">
      <c r="A714" s="2" t="s">
        <v>47</v>
      </c>
      <c r="B714" s="2" t="s">
        <v>49</v>
      </c>
      <c r="C714" s="2" t="s">
        <v>26</v>
      </c>
      <c r="D714" s="2" t="s">
        <v>29</v>
      </c>
      <c r="E714" s="3" t="n">
        <v>45962</v>
      </c>
      <c r="F714" s="2" t="n">
        <v>48</v>
      </c>
      <c r="G714" s="4" t="n">
        <v>119.99</v>
      </c>
      <c r="H714" s="4" t="n">
        <v>80.19</v>
      </c>
      <c r="I714" s="4" t="n">
        <f aca="false">F714*G714</f>
        <v>5759.52</v>
      </c>
      <c r="J714" s="4" t="n">
        <f aca="false">F714*H714</f>
        <v>3849.12</v>
      </c>
      <c r="K714" s="4" t="n">
        <f aca="false">I714-J714</f>
        <v>1910.4</v>
      </c>
      <c r="L714" s="5" t="n">
        <f aca="false">IFERROR(K714/I714,0)</f>
        <v>0.331694307858988</v>
      </c>
    </row>
    <row r="715" customFormat="false" ht="15" hidden="false" customHeight="false" outlineLevel="0" collapsed="false">
      <c r="A715" s="2" t="s">
        <v>47</v>
      </c>
      <c r="B715" s="2" t="s">
        <v>49</v>
      </c>
      <c r="C715" s="2" t="s">
        <v>26</v>
      </c>
      <c r="D715" s="2" t="s">
        <v>30</v>
      </c>
      <c r="E715" s="3" t="n">
        <v>45962</v>
      </c>
      <c r="F715" s="2" t="n">
        <v>25</v>
      </c>
      <c r="G715" s="4" t="n">
        <v>24.99</v>
      </c>
      <c r="H715" s="4" t="n">
        <v>15.22</v>
      </c>
      <c r="I715" s="4" t="n">
        <f aca="false">F715*G715</f>
        <v>624.75</v>
      </c>
      <c r="J715" s="4" t="n">
        <f aca="false">F715*H715</f>
        <v>380.5</v>
      </c>
      <c r="K715" s="4" t="n">
        <f aca="false">I715-J715</f>
        <v>244.25</v>
      </c>
      <c r="L715" s="5" t="n">
        <f aca="false">IFERROR(K715/I715,0)</f>
        <v>0.390956382553021</v>
      </c>
    </row>
    <row r="716" customFormat="false" ht="15" hidden="false" customHeight="false" outlineLevel="0" collapsed="false">
      <c r="A716" s="2" t="s">
        <v>47</v>
      </c>
      <c r="B716" s="2" t="s">
        <v>49</v>
      </c>
      <c r="C716" s="2" t="s">
        <v>26</v>
      </c>
      <c r="D716" s="2" t="s">
        <v>31</v>
      </c>
      <c r="E716" s="3" t="n">
        <v>45962</v>
      </c>
      <c r="F716" s="2" t="n">
        <v>47</v>
      </c>
      <c r="G716" s="4" t="n">
        <v>59.99</v>
      </c>
      <c r="H716" s="4" t="n">
        <v>37.85</v>
      </c>
      <c r="I716" s="4" t="n">
        <f aca="false">F716*G716</f>
        <v>2819.53</v>
      </c>
      <c r="J716" s="4" t="n">
        <f aca="false">F716*H716</f>
        <v>1778.95</v>
      </c>
      <c r="K716" s="4" t="n">
        <f aca="false">I716-J716</f>
        <v>1040.58</v>
      </c>
      <c r="L716" s="5" t="n">
        <f aca="false">IFERROR(K716/I716,0)</f>
        <v>0.369061510251709</v>
      </c>
    </row>
    <row r="717" customFormat="false" ht="15" hidden="false" customHeight="false" outlineLevel="0" collapsed="false">
      <c r="A717" s="2" t="s">
        <v>47</v>
      </c>
      <c r="B717" s="2" t="s">
        <v>49</v>
      </c>
      <c r="C717" s="2" t="s">
        <v>32</v>
      </c>
      <c r="D717" s="2" t="s">
        <v>33</v>
      </c>
      <c r="E717" s="3" t="n">
        <v>45962</v>
      </c>
      <c r="F717" s="2" t="n">
        <v>14</v>
      </c>
      <c r="G717" s="4" t="n">
        <v>49.99</v>
      </c>
      <c r="H717" s="4" t="n">
        <v>36.62</v>
      </c>
      <c r="I717" s="4" t="n">
        <f aca="false">F717*G717</f>
        <v>699.86</v>
      </c>
      <c r="J717" s="4" t="n">
        <f aca="false">F717*H717</f>
        <v>512.68</v>
      </c>
      <c r="K717" s="4" t="n">
        <f aca="false">I717-J717</f>
        <v>187.18</v>
      </c>
      <c r="L717" s="5" t="n">
        <f aca="false">IFERROR(K717/I717,0)</f>
        <v>0.26745349069814</v>
      </c>
    </row>
    <row r="718" customFormat="false" ht="15" hidden="false" customHeight="false" outlineLevel="0" collapsed="false">
      <c r="A718" s="2" t="s">
        <v>47</v>
      </c>
      <c r="B718" s="2" t="s">
        <v>49</v>
      </c>
      <c r="C718" s="2" t="s">
        <v>32</v>
      </c>
      <c r="D718" s="2" t="s">
        <v>34</v>
      </c>
      <c r="E718" s="3" t="n">
        <v>45962</v>
      </c>
      <c r="F718" s="2" t="n">
        <v>8</v>
      </c>
      <c r="G718" s="4" t="n">
        <v>27.99</v>
      </c>
      <c r="H718" s="4" t="n">
        <v>20.43</v>
      </c>
      <c r="I718" s="4" t="n">
        <f aca="false">F718*G718</f>
        <v>223.92</v>
      </c>
      <c r="J718" s="4" t="n">
        <f aca="false">F718*H718</f>
        <v>163.44</v>
      </c>
      <c r="K718" s="4" t="n">
        <f aca="false">I718-J718</f>
        <v>60.48</v>
      </c>
      <c r="L718" s="5" t="n">
        <f aca="false">IFERROR(K718/I718,0)</f>
        <v>0.270096463022508</v>
      </c>
    </row>
    <row r="719" customFormat="false" ht="15" hidden="false" customHeight="false" outlineLevel="0" collapsed="false">
      <c r="A719" s="2" t="s">
        <v>47</v>
      </c>
      <c r="B719" s="2" t="s">
        <v>49</v>
      </c>
      <c r="C719" s="2" t="s">
        <v>32</v>
      </c>
      <c r="D719" s="2" t="s">
        <v>35</v>
      </c>
      <c r="E719" s="3" t="n">
        <v>45962</v>
      </c>
      <c r="F719" s="2" t="n">
        <v>18</v>
      </c>
      <c r="G719" s="4" t="n">
        <v>64.99</v>
      </c>
      <c r="H719" s="4" t="n">
        <v>45.26</v>
      </c>
      <c r="I719" s="4" t="n">
        <f aca="false">F719*G719</f>
        <v>1169.82</v>
      </c>
      <c r="J719" s="4" t="n">
        <f aca="false">F719*H719</f>
        <v>814.68</v>
      </c>
      <c r="K719" s="4" t="n">
        <f aca="false">I719-J719</f>
        <v>355.14</v>
      </c>
      <c r="L719" s="5" t="n">
        <f aca="false">IFERROR(K719/I719,0)</f>
        <v>0.303585166948761</v>
      </c>
    </row>
    <row r="720" customFormat="false" ht="15" hidden="false" customHeight="false" outlineLevel="0" collapsed="false">
      <c r="A720" s="2" t="s">
        <v>47</v>
      </c>
      <c r="B720" s="2" t="s">
        <v>49</v>
      </c>
      <c r="C720" s="2" t="s">
        <v>32</v>
      </c>
      <c r="D720" s="2" t="s">
        <v>36</v>
      </c>
      <c r="E720" s="3" t="n">
        <v>45962</v>
      </c>
      <c r="F720" s="2" t="n">
        <v>14</v>
      </c>
      <c r="G720" s="4" t="n">
        <v>22.99</v>
      </c>
      <c r="H720" s="4" t="n">
        <v>17.05</v>
      </c>
      <c r="I720" s="4" t="n">
        <f aca="false">F720*G720</f>
        <v>321.86</v>
      </c>
      <c r="J720" s="4" t="n">
        <f aca="false">F720*H720</f>
        <v>238.7</v>
      </c>
      <c r="K720" s="4" t="n">
        <f aca="false">I720-J720</f>
        <v>83.1599999999999</v>
      </c>
      <c r="L720" s="5" t="n">
        <f aca="false">IFERROR(K720/I720,0)</f>
        <v>0.258373205741627</v>
      </c>
    </row>
    <row r="721" customFormat="false" ht="15" hidden="false" customHeight="false" outlineLevel="0" collapsed="false">
      <c r="A721" s="2" t="s">
        <v>47</v>
      </c>
      <c r="B721" s="2" t="s">
        <v>49</v>
      </c>
      <c r="C721" s="2" t="s">
        <v>32</v>
      </c>
      <c r="D721" s="2" t="s">
        <v>37</v>
      </c>
      <c r="E721" s="3" t="n">
        <v>45962</v>
      </c>
      <c r="F721" s="2" t="n">
        <v>23</v>
      </c>
      <c r="G721" s="4" t="n">
        <v>29.99</v>
      </c>
      <c r="H721" s="4" t="n">
        <v>20.82</v>
      </c>
      <c r="I721" s="4" t="n">
        <f aca="false">F721*G721</f>
        <v>689.77</v>
      </c>
      <c r="J721" s="4" t="n">
        <f aca="false">F721*H721</f>
        <v>478.86</v>
      </c>
      <c r="K721" s="4" t="n">
        <f aca="false">I721-J721</f>
        <v>210.91</v>
      </c>
      <c r="L721" s="5" t="n">
        <f aca="false">IFERROR(K721/I721,0)</f>
        <v>0.305768589529843</v>
      </c>
    </row>
    <row r="722" customFormat="false" ht="15" hidden="false" customHeight="false" outlineLevel="0" collapsed="false">
      <c r="A722" s="2" t="s">
        <v>47</v>
      </c>
      <c r="B722" s="2" t="s">
        <v>49</v>
      </c>
      <c r="C722" s="2" t="s">
        <v>38</v>
      </c>
      <c r="D722" s="2" t="s">
        <v>39</v>
      </c>
      <c r="E722" s="3" t="n">
        <v>45962</v>
      </c>
      <c r="F722" s="2" t="n">
        <v>21</v>
      </c>
      <c r="G722" s="4" t="n">
        <v>129.99</v>
      </c>
      <c r="H722" s="4" t="n">
        <v>76.89</v>
      </c>
      <c r="I722" s="4" t="n">
        <f aca="false">F722*G722</f>
        <v>2729.79</v>
      </c>
      <c r="J722" s="4" t="n">
        <f aca="false">F722*H722</f>
        <v>1614.69</v>
      </c>
      <c r="K722" s="4" t="n">
        <f aca="false">I722-J722</f>
        <v>1115.1</v>
      </c>
      <c r="L722" s="5" t="n">
        <f aca="false">IFERROR(K722/I722,0)</f>
        <v>0.408492960997</v>
      </c>
    </row>
    <row r="723" customFormat="false" ht="15" hidden="false" customHeight="false" outlineLevel="0" collapsed="false">
      <c r="A723" s="2" t="s">
        <v>47</v>
      </c>
      <c r="B723" s="2" t="s">
        <v>49</v>
      </c>
      <c r="C723" s="2" t="s">
        <v>38</v>
      </c>
      <c r="D723" s="2" t="s">
        <v>40</v>
      </c>
      <c r="E723" s="3" t="n">
        <v>45962</v>
      </c>
      <c r="F723" s="2" t="n">
        <v>14</v>
      </c>
      <c r="G723" s="4" t="n">
        <v>74.99</v>
      </c>
      <c r="H723" s="4" t="n">
        <v>42.33</v>
      </c>
      <c r="I723" s="4" t="n">
        <f aca="false">F723*G723</f>
        <v>1049.86</v>
      </c>
      <c r="J723" s="4" t="n">
        <f aca="false">F723*H723</f>
        <v>592.62</v>
      </c>
      <c r="K723" s="4" t="n">
        <f aca="false">I723-J723</f>
        <v>457.24</v>
      </c>
      <c r="L723" s="5" t="n">
        <f aca="false">IFERROR(K723/I723,0)</f>
        <v>0.435524736631551</v>
      </c>
    </row>
    <row r="724" customFormat="false" ht="15" hidden="false" customHeight="false" outlineLevel="0" collapsed="false">
      <c r="A724" s="2" t="s">
        <v>47</v>
      </c>
      <c r="B724" s="2" t="s">
        <v>49</v>
      </c>
      <c r="C724" s="2" t="s">
        <v>38</v>
      </c>
      <c r="D724" s="2" t="s">
        <v>41</v>
      </c>
      <c r="E724" s="3" t="n">
        <v>45962</v>
      </c>
      <c r="F724" s="2" t="n">
        <v>16</v>
      </c>
      <c r="G724" s="4" t="n">
        <v>19.99</v>
      </c>
      <c r="H724" s="4" t="n">
        <v>9.81</v>
      </c>
      <c r="I724" s="4" t="n">
        <f aca="false">F724*G724</f>
        <v>319.84</v>
      </c>
      <c r="J724" s="4" t="n">
        <f aca="false">F724*H724</f>
        <v>156.96</v>
      </c>
      <c r="K724" s="4" t="n">
        <f aca="false">I724-J724</f>
        <v>162.88</v>
      </c>
      <c r="L724" s="5" t="n">
        <f aca="false">IFERROR(K724/I724,0)</f>
        <v>0.509254627313657</v>
      </c>
    </row>
    <row r="725" customFormat="false" ht="15" hidden="false" customHeight="false" outlineLevel="0" collapsed="false">
      <c r="A725" s="2" t="s">
        <v>47</v>
      </c>
      <c r="B725" s="2" t="s">
        <v>49</v>
      </c>
      <c r="C725" s="2" t="s">
        <v>38</v>
      </c>
      <c r="D725" s="2" t="s">
        <v>42</v>
      </c>
      <c r="E725" s="3" t="n">
        <v>45962</v>
      </c>
      <c r="F725" s="2" t="n">
        <v>10</v>
      </c>
      <c r="G725" s="4" t="n">
        <v>16.99</v>
      </c>
      <c r="H725" s="4" t="n">
        <v>8.62</v>
      </c>
      <c r="I725" s="4" t="n">
        <f aca="false">F725*G725</f>
        <v>169.9</v>
      </c>
      <c r="J725" s="4" t="n">
        <f aca="false">F725*H725</f>
        <v>86.2</v>
      </c>
      <c r="K725" s="4" t="n">
        <f aca="false">I725-J725</f>
        <v>83.7</v>
      </c>
      <c r="L725" s="5" t="n">
        <f aca="false">IFERROR(K725/I725,0)</f>
        <v>0.492642731018246</v>
      </c>
    </row>
    <row r="726" customFormat="false" ht="15" hidden="false" customHeight="false" outlineLevel="0" collapsed="false">
      <c r="A726" s="2" t="s">
        <v>47</v>
      </c>
      <c r="B726" s="2" t="s">
        <v>49</v>
      </c>
      <c r="C726" s="2" t="s">
        <v>38</v>
      </c>
      <c r="D726" s="2" t="s">
        <v>43</v>
      </c>
      <c r="E726" s="3" t="n">
        <v>45962</v>
      </c>
      <c r="F726" s="2" t="n">
        <v>26</v>
      </c>
      <c r="G726" s="4" t="n">
        <v>24.99</v>
      </c>
      <c r="H726" s="4" t="n">
        <v>13.19</v>
      </c>
      <c r="I726" s="4" t="n">
        <f aca="false">F726*G726</f>
        <v>649.74</v>
      </c>
      <c r="J726" s="4" t="n">
        <f aca="false">F726*H726</f>
        <v>342.94</v>
      </c>
      <c r="K726" s="4" t="n">
        <f aca="false">I726-J726</f>
        <v>306.8</v>
      </c>
      <c r="L726" s="5" t="n">
        <f aca="false">IFERROR(K726/I726,0)</f>
        <v>0.47218887555022</v>
      </c>
    </row>
    <row r="727" customFormat="false" ht="15" hidden="false" customHeight="false" outlineLevel="0" collapsed="false">
      <c r="A727" s="2" t="s">
        <v>50</v>
      </c>
      <c r="B727" s="2" t="s">
        <v>51</v>
      </c>
      <c r="C727" s="2" t="s">
        <v>14</v>
      </c>
      <c r="D727" s="2" t="s">
        <v>15</v>
      </c>
      <c r="E727" s="3" t="n">
        <v>45962</v>
      </c>
      <c r="F727" s="2" t="n">
        <v>10</v>
      </c>
      <c r="G727" s="4" t="n">
        <v>69.99</v>
      </c>
      <c r="H727" s="4" t="n">
        <v>33.34</v>
      </c>
      <c r="I727" s="4" t="n">
        <f aca="false">F727*G727</f>
        <v>699.9</v>
      </c>
      <c r="J727" s="4" t="n">
        <f aca="false">F727*H727</f>
        <v>333.4</v>
      </c>
      <c r="K727" s="4" t="n">
        <f aca="false">I727-J727</f>
        <v>366.5</v>
      </c>
      <c r="L727" s="5" t="n">
        <f aca="false">IFERROR(K727/I727,0)</f>
        <v>0.523646235176454</v>
      </c>
    </row>
    <row r="728" customFormat="false" ht="15" hidden="false" customHeight="false" outlineLevel="0" collapsed="false">
      <c r="A728" s="2" t="s">
        <v>50</v>
      </c>
      <c r="B728" s="2" t="s">
        <v>51</v>
      </c>
      <c r="C728" s="2" t="s">
        <v>14</v>
      </c>
      <c r="D728" s="2" t="s">
        <v>16</v>
      </c>
      <c r="E728" s="3" t="n">
        <v>45962</v>
      </c>
      <c r="F728" s="2" t="n">
        <v>9</v>
      </c>
      <c r="G728" s="4" t="n">
        <v>19.99</v>
      </c>
      <c r="H728" s="4" t="n">
        <v>9.26</v>
      </c>
      <c r="I728" s="4" t="n">
        <f aca="false">F728*G728</f>
        <v>179.91</v>
      </c>
      <c r="J728" s="4" t="n">
        <f aca="false">F728*H728</f>
        <v>83.34</v>
      </c>
      <c r="K728" s="4" t="n">
        <f aca="false">I728-J728</f>
        <v>96.57</v>
      </c>
      <c r="L728" s="5" t="n">
        <f aca="false">IFERROR(K728/I728,0)</f>
        <v>0.536768384192096</v>
      </c>
    </row>
    <row r="729" customFormat="false" ht="15" hidden="false" customHeight="false" outlineLevel="0" collapsed="false">
      <c r="A729" s="2" t="s">
        <v>50</v>
      </c>
      <c r="B729" s="2" t="s">
        <v>51</v>
      </c>
      <c r="C729" s="2" t="s">
        <v>14</v>
      </c>
      <c r="D729" s="2" t="s">
        <v>17</v>
      </c>
      <c r="E729" s="3" t="n">
        <v>45962</v>
      </c>
      <c r="F729" s="2" t="n">
        <v>9</v>
      </c>
      <c r="G729" s="4" t="n">
        <v>79.99</v>
      </c>
      <c r="H729" s="4" t="n">
        <v>41.18</v>
      </c>
      <c r="I729" s="4" t="n">
        <f aca="false">F729*G729</f>
        <v>719.91</v>
      </c>
      <c r="J729" s="4" t="n">
        <f aca="false">F729*H729</f>
        <v>370.62</v>
      </c>
      <c r="K729" s="4" t="n">
        <f aca="false">I729-J729</f>
        <v>349.29</v>
      </c>
      <c r="L729" s="5" t="n">
        <f aca="false">IFERROR(K729/I729,0)</f>
        <v>0.485185648206026</v>
      </c>
    </row>
    <row r="730" customFormat="false" ht="15" hidden="false" customHeight="false" outlineLevel="0" collapsed="false">
      <c r="A730" s="2" t="s">
        <v>50</v>
      </c>
      <c r="B730" s="2" t="s">
        <v>51</v>
      </c>
      <c r="C730" s="2" t="s">
        <v>14</v>
      </c>
      <c r="D730" s="2" t="s">
        <v>18</v>
      </c>
      <c r="E730" s="3" t="n">
        <v>45962</v>
      </c>
      <c r="F730" s="2" t="n">
        <v>12</v>
      </c>
      <c r="G730" s="4" t="n">
        <v>34.99</v>
      </c>
      <c r="H730" s="4" t="n">
        <v>14.62</v>
      </c>
      <c r="I730" s="4" t="n">
        <f aca="false">F730*G730</f>
        <v>419.88</v>
      </c>
      <c r="J730" s="4" t="n">
        <f aca="false">F730*H730</f>
        <v>175.44</v>
      </c>
      <c r="K730" s="4" t="n">
        <f aca="false">I730-J730</f>
        <v>244.44</v>
      </c>
      <c r="L730" s="5" t="n">
        <f aca="false">IFERROR(K730/I730,0)</f>
        <v>0.582166333238068</v>
      </c>
    </row>
    <row r="731" customFormat="false" ht="15" hidden="false" customHeight="false" outlineLevel="0" collapsed="false">
      <c r="A731" s="2" t="s">
        <v>50</v>
      </c>
      <c r="B731" s="2" t="s">
        <v>51</v>
      </c>
      <c r="C731" s="2" t="s">
        <v>14</v>
      </c>
      <c r="D731" s="2" t="s">
        <v>19</v>
      </c>
      <c r="E731" s="3" t="n">
        <v>45962</v>
      </c>
      <c r="F731" s="2" t="n">
        <v>15</v>
      </c>
      <c r="G731" s="4" t="n">
        <v>54.99</v>
      </c>
      <c r="H731" s="4" t="n">
        <v>24.9</v>
      </c>
      <c r="I731" s="4" t="n">
        <f aca="false">F731*G731</f>
        <v>824.85</v>
      </c>
      <c r="J731" s="4" t="n">
        <f aca="false">F731*H731</f>
        <v>373.5</v>
      </c>
      <c r="K731" s="4" t="n">
        <f aca="false">I731-J731</f>
        <v>451.35</v>
      </c>
      <c r="L731" s="5" t="n">
        <f aca="false">IFERROR(K731/I731,0)</f>
        <v>0.547190398254228</v>
      </c>
    </row>
    <row r="732" customFormat="false" ht="15" hidden="false" customHeight="false" outlineLevel="0" collapsed="false">
      <c r="A732" s="2" t="s">
        <v>50</v>
      </c>
      <c r="B732" s="2" t="s">
        <v>51</v>
      </c>
      <c r="C732" s="2" t="s">
        <v>20</v>
      </c>
      <c r="D732" s="2" t="s">
        <v>21</v>
      </c>
      <c r="E732" s="3" t="n">
        <v>45962</v>
      </c>
      <c r="F732" s="2" t="n">
        <v>12</v>
      </c>
      <c r="G732" s="4" t="n">
        <v>44.99</v>
      </c>
      <c r="H732" s="4" t="n">
        <v>19.89</v>
      </c>
      <c r="I732" s="4" t="n">
        <f aca="false">F732*G732</f>
        <v>539.88</v>
      </c>
      <c r="J732" s="4" t="n">
        <f aca="false">F732*H732</f>
        <v>238.68</v>
      </c>
      <c r="K732" s="4" t="n">
        <f aca="false">I732-J732</f>
        <v>301.2</v>
      </c>
      <c r="L732" s="5" t="n">
        <f aca="false">IFERROR(K732/I732,0)</f>
        <v>0.557901755945766</v>
      </c>
    </row>
    <row r="733" customFormat="false" ht="15" hidden="false" customHeight="false" outlineLevel="0" collapsed="false">
      <c r="A733" s="2" t="s">
        <v>50</v>
      </c>
      <c r="B733" s="2" t="s">
        <v>51</v>
      </c>
      <c r="C733" s="2" t="s">
        <v>20</v>
      </c>
      <c r="D733" s="2" t="s">
        <v>22</v>
      </c>
      <c r="E733" s="3" t="n">
        <v>45962</v>
      </c>
      <c r="F733" s="2" t="n">
        <v>17</v>
      </c>
      <c r="G733" s="4" t="n">
        <v>14.99</v>
      </c>
      <c r="H733" s="4" t="n">
        <v>5.65</v>
      </c>
      <c r="I733" s="4" t="n">
        <f aca="false">F733*G733</f>
        <v>254.83</v>
      </c>
      <c r="J733" s="4" t="n">
        <f aca="false">F733*H733</f>
        <v>96.05</v>
      </c>
      <c r="K733" s="4" t="n">
        <f aca="false">I733-J733</f>
        <v>158.78</v>
      </c>
      <c r="L733" s="5" t="n">
        <f aca="false">IFERROR(K733/I733,0)</f>
        <v>0.623082054703135</v>
      </c>
    </row>
    <row r="734" customFormat="false" ht="15" hidden="false" customHeight="false" outlineLevel="0" collapsed="false">
      <c r="A734" s="2" t="s">
        <v>50</v>
      </c>
      <c r="B734" s="2" t="s">
        <v>51</v>
      </c>
      <c r="C734" s="2" t="s">
        <v>20</v>
      </c>
      <c r="D734" s="2" t="s">
        <v>23</v>
      </c>
      <c r="E734" s="3" t="n">
        <v>45962</v>
      </c>
      <c r="F734" s="2" t="n">
        <v>12</v>
      </c>
      <c r="G734" s="4" t="n">
        <v>39.99</v>
      </c>
      <c r="H734" s="4" t="n">
        <v>16.38</v>
      </c>
      <c r="I734" s="4" t="n">
        <f aca="false">F734*G734</f>
        <v>479.88</v>
      </c>
      <c r="J734" s="4" t="n">
        <f aca="false">F734*H734</f>
        <v>196.56</v>
      </c>
      <c r="K734" s="4" t="n">
        <f aca="false">I734-J734</f>
        <v>283.32</v>
      </c>
      <c r="L734" s="5" t="n">
        <f aca="false">IFERROR(K734/I734,0)</f>
        <v>0.59039759939985</v>
      </c>
    </row>
    <row r="735" customFormat="false" ht="15" hidden="false" customHeight="false" outlineLevel="0" collapsed="false">
      <c r="A735" s="2" t="s">
        <v>50</v>
      </c>
      <c r="B735" s="2" t="s">
        <v>51</v>
      </c>
      <c r="C735" s="2" t="s">
        <v>20</v>
      </c>
      <c r="D735" s="2" t="s">
        <v>24</v>
      </c>
      <c r="E735" s="3" t="n">
        <v>45962</v>
      </c>
      <c r="F735" s="2" t="n">
        <v>19</v>
      </c>
      <c r="G735" s="4" t="n">
        <v>18.99</v>
      </c>
      <c r="H735" s="4" t="n">
        <v>7.63</v>
      </c>
      <c r="I735" s="4" t="n">
        <f aca="false">F735*G735</f>
        <v>360.81</v>
      </c>
      <c r="J735" s="4" t="n">
        <f aca="false">F735*H735</f>
        <v>144.97</v>
      </c>
      <c r="K735" s="4" t="n">
        <f aca="false">I735-J735</f>
        <v>215.84</v>
      </c>
      <c r="L735" s="5" t="n">
        <f aca="false">IFERROR(K735/I735,0)</f>
        <v>0.598209583991574</v>
      </c>
    </row>
    <row r="736" customFormat="false" ht="15" hidden="false" customHeight="false" outlineLevel="0" collapsed="false">
      <c r="A736" s="2" t="s">
        <v>50</v>
      </c>
      <c r="B736" s="2" t="s">
        <v>51</v>
      </c>
      <c r="C736" s="2" t="s">
        <v>20</v>
      </c>
      <c r="D736" s="2" t="s">
        <v>25</v>
      </c>
      <c r="E736" s="3" t="n">
        <v>45962</v>
      </c>
      <c r="F736" s="2" t="n">
        <v>17</v>
      </c>
      <c r="G736" s="4" t="n">
        <v>42.99</v>
      </c>
      <c r="H736" s="4" t="n">
        <v>16.37</v>
      </c>
      <c r="I736" s="4" t="n">
        <f aca="false">F736*G736</f>
        <v>730.83</v>
      </c>
      <c r="J736" s="4" t="n">
        <f aca="false">F736*H736</f>
        <v>278.29</v>
      </c>
      <c r="K736" s="4" t="n">
        <f aca="false">I736-J736</f>
        <v>452.54</v>
      </c>
      <c r="L736" s="5" t="n">
        <f aca="false">IFERROR(K736/I736,0)</f>
        <v>0.619213770644336</v>
      </c>
    </row>
    <row r="737" customFormat="false" ht="15" hidden="false" customHeight="false" outlineLevel="0" collapsed="false">
      <c r="A737" s="2" t="s">
        <v>50</v>
      </c>
      <c r="B737" s="2" t="s">
        <v>51</v>
      </c>
      <c r="C737" s="2" t="s">
        <v>26</v>
      </c>
      <c r="D737" s="2" t="s">
        <v>27</v>
      </c>
      <c r="E737" s="3" t="n">
        <v>45962</v>
      </c>
      <c r="F737" s="2" t="n">
        <v>27</v>
      </c>
      <c r="G737" s="4" t="n">
        <v>44.99</v>
      </c>
      <c r="H737" s="4" t="n">
        <v>27.5</v>
      </c>
      <c r="I737" s="4" t="n">
        <f aca="false">F737*G737</f>
        <v>1214.73</v>
      </c>
      <c r="J737" s="4" t="n">
        <f aca="false">F737*H737</f>
        <v>742.5</v>
      </c>
      <c r="K737" s="4" t="n">
        <f aca="false">I737-J737</f>
        <v>472.23</v>
      </c>
      <c r="L737" s="5" t="n">
        <f aca="false">IFERROR(K737/I737,0)</f>
        <v>0.388753056234719</v>
      </c>
    </row>
    <row r="738" customFormat="false" ht="15" hidden="false" customHeight="false" outlineLevel="0" collapsed="false">
      <c r="A738" s="2" t="s">
        <v>50</v>
      </c>
      <c r="B738" s="2" t="s">
        <v>51</v>
      </c>
      <c r="C738" s="2" t="s">
        <v>26</v>
      </c>
      <c r="D738" s="2" t="s">
        <v>28</v>
      </c>
      <c r="E738" s="3" t="n">
        <v>45962</v>
      </c>
      <c r="F738" s="2" t="n">
        <v>40</v>
      </c>
      <c r="G738" s="4" t="n">
        <v>34.99</v>
      </c>
      <c r="H738" s="4" t="n">
        <v>22.32</v>
      </c>
      <c r="I738" s="4" t="n">
        <f aca="false">F738*G738</f>
        <v>1399.6</v>
      </c>
      <c r="J738" s="4" t="n">
        <f aca="false">F738*H738</f>
        <v>892.8</v>
      </c>
      <c r="K738" s="4" t="n">
        <f aca="false">I738-J738</f>
        <v>506.8</v>
      </c>
      <c r="L738" s="5" t="n">
        <f aca="false">IFERROR(K738/I738,0)</f>
        <v>0.362103458130895</v>
      </c>
    </row>
    <row r="739" customFormat="false" ht="15" hidden="false" customHeight="false" outlineLevel="0" collapsed="false">
      <c r="A739" s="2" t="s">
        <v>50</v>
      </c>
      <c r="B739" s="2" t="s">
        <v>51</v>
      </c>
      <c r="C739" s="2" t="s">
        <v>26</v>
      </c>
      <c r="D739" s="2" t="s">
        <v>29</v>
      </c>
      <c r="E739" s="3" t="n">
        <v>45962</v>
      </c>
      <c r="F739" s="2" t="n">
        <v>14</v>
      </c>
      <c r="G739" s="4" t="n">
        <v>119.99</v>
      </c>
      <c r="H739" s="4" t="n">
        <v>81.65</v>
      </c>
      <c r="I739" s="4" t="n">
        <f aca="false">F739*G739</f>
        <v>1679.86</v>
      </c>
      <c r="J739" s="4" t="n">
        <f aca="false">F739*H739</f>
        <v>1143.1</v>
      </c>
      <c r="K739" s="4" t="n">
        <f aca="false">I739-J739</f>
        <v>536.76</v>
      </c>
      <c r="L739" s="5" t="n">
        <f aca="false">IFERROR(K739/I739,0)</f>
        <v>0.319526627218935</v>
      </c>
    </row>
    <row r="740" customFormat="false" ht="15" hidden="false" customHeight="false" outlineLevel="0" collapsed="false">
      <c r="A740" s="2" t="s">
        <v>50</v>
      </c>
      <c r="B740" s="2" t="s">
        <v>51</v>
      </c>
      <c r="C740" s="2" t="s">
        <v>26</v>
      </c>
      <c r="D740" s="2" t="s">
        <v>30</v>
      </c>
      <c r="E740" s="3" t="n">
        <v>45962</v>
      </c>
      <c r="F740" s="2" t="n">
        <v>34</v>
      </c>
      <c r="G740" s="4" t="n">
        <v>24.99</v>
      </c>
      <c r="H740" s="4" t="n">
        <v>14.79</v>
      </c>
      <c r="I740" s="4" t="n">
        <f aca="false">F740*G740</f>
        <v>849.66</v>
      </c>
      <c r="J740" s="4" t="n">
        <f aca="false">F740*H740</f>
        <v>502.86</v>
      </c>
      <c r="K740" s="4" t="n">
        <f aca="false">I740-J740</f>
        <v>346.8</v>
      </c>
      <c r="L740" s="5" t="n">
        <f aca="false">IFERROR(K740/I740,0)</f>
        <v>0.408163265306122</v>
      </c>
    </row>
    <row r="741" customFormat="false" ht="15" hidden="false" customHeight="false" outlineLevel="0" collapsed="false">
      <c r="A741" s="2" t="s">
        <v>50</v>
      </c>
      <c r="B741" s="2" t="s">
        <v>51</v>
      </c>
      <c r="C741" s="2" t="s">
        <v>26</v>
      </c>
      <c r="D741" s="2" t="s">
        <v>31</v>
      </c>
      <c r="E741" s="3" t="n">
        <v>45962</v>
      </c>
      <c r="F741" s="2" t="n">
        <v>46</v>
      </c>
      <c r="G741" s="4" t="n">
        <v>59.99</v>
      </c>
      <c r="H741" s="4" t="n">
        <v>37.91</v>
      </c>
      <c r="I741" s="4" t="n">
        <f aca="false">F741*G741</f>
        <v>2759.54</v>
      </c>
      <c r="J741" s="4" t="n">
        <f aca="false">F741*H741</f>
        <v>1743.86</v>
      </c>
      <c r="K741" s="4" t="n">
        <f aca="false">I741-J741</f>
        <v>1015.68</v>
      </c>
      <c r="L741" s="5" t="n">
        <f aca="false">IFERROR(K741/I741,0)</f>
        <v>0.36806134355726</v>
      </c>
    </row>
    <row r="742" customFormat="false" ht="15" hidden="false" customHeight="false" outlineLevel="0" collapsed="false">
      <c r="A742" s="2" t="s">
        <v>50</v>
      </c>
      <c r="B742" s="2" t="s">
        <v>51</v>
      </c>
      <c r="C742" s="2" t="s">
        <v>32</v>
      </c>
      <c r="D742" s="2" t="s">
        <v>33</v>
      </c>
      <c r="E742" s="3" t="n">
        <v>45962</v>
      </c>
      <c r="F742" s="2" t="n">
        <v>12</v>
      </c>
      <c r="G742" s="4" t="n">
        <v>49.99</v>
      </c>
      <c r="H742" s="4" t="n">
        <v>36.85</v>
      </c>
      <c r="I742" s="4" t="n">
        <f aca="false">F742*G742</f>
        <v>599.88</v>
      </c>
      <c r="J742" s="4" t="n">
        <f aca="false">F742*H742</f>
        <v>442.2</v>
      </c>
      <c r="K742" s="4" t="n">
        <f aca="false">I742-J742</f>
        <v>157.68</v>
      </c>
      <c r="L742" s="5" t="n">
        <f aca="false">IFERROR(K742/I742,0)</f>
        <v>0.262852570514103</v>
      </c>
    </row>
    <row r="743" customFormat="false" ht="15" hidden="false" customHeight="false" outlineLevel="0" collapsed="false">
      <c r="A743" s="2" t="s">
        <v>50</v>
      </c>
      <c r="B743" s="2" t="s">
        <v>51</v>
      </c>
      <c r="C743" s="2" t="s">
        <v>32</v>
      </c>
      <c r="D743" s="2" t="s">
        <v>34</v>
      </c>
      <c r="E743" s="3" t="n">
        <v>45962</v>
      </c>
      <c r="F743" s="2" t="n">
        <v>12</v>
      </c>
      <c r="G743" s="4" t="n">
        <v>27.99</v>
      </c>
      <c r="H743" s="4" t="n">
        <v>19.45</v>
      </c>
      <c r="I743" s="4" t="n">
        <f aca="false">F743*G743</f>
        <v>335.88</v>
      </c>
      <c r="J743" s="4" t="n">
        <f aca="false">F743*H743</f>
        <v>233.4</v>
      </c>
      <c r="K743" s="4" t="n">
        <f aca="false">I743-J743</f>
        <v>102.48</v>
      </c>
      <c r="L743" s="5" t="n">
        <f aca="false">IFERROR(K743/I743,0)</f>
        <v>0.305108967488389</v>
      </c>
    </row>
    <row r="744" customFormat="false" ht="15" hidden="false" customHeight="false" outlineLevel="0" collapsed="false">
      <c r="A744" s="2" t="s">
        <v>50</v>
      </c>
      <c r="B744" s="2" t="s">
        <v>51</v>
      </c>
      <c r="C744" s="2" t="s">
        <v>32</v>
      </c>
      <c r="D744" s="2" t="s">
        <v>35</v>
      </c>
      <c r="E744" s="3" t="n">
        <v>45962</v>
      </c>
      <c r="F744" s="2" t="n">
        <v>15</v>
      </c>
      <c r="G744" s="4" t="n">
        <v>64.99</v>
      </c>
      <c r="H744" s="4" t="n">
        <v>45.3</v>
      </c>
      <c r="I744" s="4" t="n">
        <f aca="false">F744*G744</f>
        <v>974.85</v>
      </c>
      <c r="J744" s="4" t="n">
        <f aca="false">F744*H744</f>
        <v>679.5</v>
      </c>
      <c r="K744" s="4" t="n">
        <f aca="false">I744-J744</f>
        <v>295.35</v>
      </c>
      <c r="L744" s="5" t="n">
        <f aca="false">IFERROR(K744/I744,0)</f>
        <v>0.302969687644253</v>
      </c>
    </row>
    <row r="745" customFormat="false" ht="15" hidden="false" customHeight="false" outlineLevel="0" collapsed="false">
      <c r="A745" s="2" t="s">
        <v>50</v>
      </c>
      <c r="B745" s="2" t="s">
        <v>51</v>
      </c>
      <c r="C745" s="2" t="s">
        <v>32</v>
      </c>
      <c r="D745" s="2" t="s">
        <v>36</v>
      </c>
      <c r="E745" s="3" t="n">
        <v>45962</v>
      </c>
      <c r="F745" s="2" t="n">
        <v>11</v>
      </c>
      <c r="G745" s="4" t="n">
        <v>22.99</v>
      </c>
      <c r="H745" s="4" t="n">
        <v>16.78</v>
      </c>
      <c r="I745" s="4" t="n">
        <f aca="false">F745*G745</f>
        <v>252.89</v>
      </c>
      <c r="J745" s="4" t="n">
        <f aca="false">F745*H745</f>
        <v>184.58</v>
      </c>
      <c r="K745" s="4" t="n">
        <f aca="false">I745-J745</f>
        <v>68.31</v>
      </c>
      <c r="L745" s="5" t="n">
        <f aca="false">IFERROR(K745/I745,0)</f>
        <v>0.270117442366246</v>
      </c>
    </row>
    <row r="746" customFormat="false" ht="15" hidden="false" customHeight="false" outlineLevel="0" collapsed="false">
      <c r="A746" s="2" t="s">
        <v>50</v>
      </c>
      <c r="B746" s="2" t="s">
        <v>51</v>
      </c>
      <c r="C746" s="2" t="s">
        <v>32</v>
      </c>
      <c r="D746" s="2" t="s">
        <v>37</v>
      </c>
      <c r="E746" s="3" t="n">
        <v>45962</v>
      </c>
      <c r="F746" s="2" t="n">
        <v>15</v>
      </c>
      <c r="G746" s="4" t="n">
        <v>29.99</v>
      </c>
      <c r="H746" s="4" t="n">
        <v>20.57</v>
      </c>
      <c r="I746" s="4" t="n">
        <f aca="false">F746*G746</f>
        <v>449.85</v>
      </c>
      <c r="J746" s="4" t="n">
        <f aca="false">F746*H746</f>
        <v>308.55</v>
      </c>
      <c r="K746" s="4" t="n">
        <f aca="false">I746-J746</f>
        <v>141.3</v>
      </c>
      <c r="L746" s="5" t="n">
        <f aca="false">IFERROR(K746/I746,0)</f>
        <v>0.314104701567189</v>
      </c>
    </row>
    <row r="747" customFormat="false" ht="15" hidden="false" customHeight="false" outlineLevel="0" collapsed="false">
      <c r="A747" s="2" t="s">
        <v>50</v>
      </c>
      <c r="B747" s="2" t="s">
        <v>51</v>
      </c>
      <c r="C747" s="2" t="s">
        <v>38</v>
      </c>
      <c r="D747" s="2" t="s">
        <v>39</v>
      </c>
      <c r="E747" s="3" t="n">
        <v>45962</v>
      </c>
      <c r="F747" s="2" t="n">
        <v>4</v>
      </c>
      <c r="G747" s="4" t="n">
        <v>129.99</v>
      </c>
      <c r="H747" s="4" t="n">
        <v>77.06</v>
      </c>
      <c r="I747" s="4" t="n">
        <f aca="false">F747*G747</f>
        <v>519.96</v>
      </c>
      <c r="J747" s="4" t="n">
        <f aca="false">F747*H747</f>
        <v>308.24</v>
      </c>
      <c r="K747" s="4" t="n">
        <f aca="false">I747-J747</f>
        <v>211.72</v>
      </c>
      <c r="L747" s="5" t="n">
        <f aca="false">IFERROR(K747/I747,0)</f>
        <v>0.407185168089853</v>
      </c>
    </row>
    <row r="748" customFormat="false" ht="15" hidden="false" customHeight="false" outlineLevel="0" collapsed="false">
      <c r="A748" s="2" t="s">
        <v>50</v>
      </c>
      <c r="B748" s="2" t="s">
        <v>51</v>
      </c>
      <c r="C748" s="2" t="s">
        <v>38</v>
      </c>
      <c r="D748" s="2" t="s">
        <v>40</v>
      </c>
      <c r="E748" s="3" t="n">
        <v>45962</v>
      </c>
      <c r="F748" s="2" t="n">
        <v>3</v>
      </c>
      <c r="G748" s="4" t="n">
        <v>74.99</v>
      </c>
      <c r="H748" s="4" t="n">
        <v>40.58</v>
      </c>
      <c r="I748" s="4" t="n">
        <f aca="false">F748*G748</f>
        <v>224.97</v>
      </c>
      <c r="J748" s="4" t="n">
        <f aca="false">F748*H748</f>
        <v>121.74</v>
      </c>
      <c r="K748" s="4" t="n">
        <f aca="false">I748-J748</f>
        <v>103.23</v>
      </c>
      <c r="L748" s="5" t="n">
        <f aca="false">IFERROR(K748/I748,0)</f>
        <v>0.458861181490865</v>
      </c>
    </row>
    <row r="749" customFormat="false" ht="15" hidden="false" customHeight="false" outlineLevel="0" collapsed="false">
      <c r="A749" s="2" t="s">
        <v>50</v>
      </c>
      <c r="B749" s="2" t="s">
        <v>51</v>
      </c>
      <c r="C749" s="2" t="s">
        <v>38</v>
      </c>
      <c r="D749" s="2" t="s">
        <v>41</v>
      </c>
      <c r="E749" s="3" t="n">
        <v>45962</v>
      </c>
      <c r="F749" s="2" t="n">
        <v>4</v>
      </c>
      <c r="G749" s="4" t="n">
        <v>19.99</v>
      </c>
      <c r="H749" s="4" t="n">
        <v>9.41</v>
      </c>
      <c r="I749" s="4" t="n">
        <f aca="false">F749*G749</f>
        <v>79.96</v>
      </c>
      <c r="J749" s="4" t="n">
        <f aca="false">F749*H749</f>
        <v>37.64</v>
      </c>
      <c r="K749" s="4" t="n">
        <f aca="false">I749-J749</f>
        <v>42.32</v>
      </c>
      <c r="L749" s="5" t="n">
        <f aca="false">IFERROR(K749/I749,0)</f>
        <v>0.529264632316158</v>
      </c>
    </row>
    <row r="750" customFormat="false" ht="15" hidden="false" customHeight="false" outlineLevel="0" collapsed="false">
      <c r="A750" s="2" t="s">
        <v>50</v>
      </c>
      <c r="B750" s="2" t="s">
        <v>51</v>
      </c>
      <c r="C750" s="2" t="s">
        <v>38</v>
      </c>
      <c r="D750" s="2" t="s">
        <v>42</v>
      </c>
      <c r="E750" s="3" t="n">
        <v>45962</v>
      </c>
      <c r="F750" s="2" t="n">
        <v>4</v>
      </c>
      <c r="G750" s="4" t="n">
        <v>16.99</v>
      </c>
      <c r="H750" s="4" t="n">
        <v>8.58</v>
      </c>
      <c r="I750" s="4" t="n">
        <f aca="false">F750*G750</f>
        <v>67.96</v>
      </c>
      <c r="J750" s="4" t="n">
        <f aca="false">F750*H750</f>
        <v>34.32</v>
      </c>
      <c r="K750" s="4" t="n">
        <f aca="false">I750-J750</f>
        <v>33.64</v>
      </c>
      <c r="L750" s="5" t="n">
        <f aca="false">IFERROR(K750/I750,0)</f>
        <v>0.494997057092407</v>
      </c>
    </row>
    <row r="751" customFormat="false" ht="15" hidden="false" customHeight="false" outlineLevel="0" collapsed="false">
      <c r="A751" s="2" t="s">
        <v>50</v>
      </c>
      <c r="B751" s="2" t="s">
        <v>51</v>
      </c>
      <c r="C751" s="2" t="s">
        <v>38</v>
      </c>
      <c r="D751" s="2" t="s">
        <v>43</v>
      </c>
      <c r="E751" s="3" t="n">
        <v>45962</v>
      </c>
      <c r="F751" s="2" t="n">
        <v>2</v>
      </c>
      <c r="G751" s="4" t="n">
        <v>24.99</v>
      </c>
      <c r="H751" s="4" t="n">
        <v>12.87</v>
      </c>
      <c r="I751" s="4" t="n">
        <f aca="false">F751*G751</f>
        <v>49.98</v>
      </c>
      <c r="J751" s="4" t="n">
        <f aca="false">F751*H751</f>
        <v>25.74</v>
      </c>
      <c r="K751" s="4" t="n">
        <f aca="false">I751-J751</f>
        <v>24.24</v>
      </c>
      <c r="L751" s="5" t="n">
        <f aca="false">IFERROR(K751/I751,0)</f>
        <v>0.48499399759904</v>
      </c>
    </row>
    <row r="752" customFormat="false" ht="15" hidden="false" customHeight="false" outlineLevel="0" collapsed="false">
      <c r="A752" s="2" t="s">
        <v>52</v>
      </c>
      <c r="B752" s="2" t="s">
        <v>53</v>
      </c>
      <c r="C752" s="2" t="s">
        <v>14</v>
      </c>
      <c r="D752" s="2" t="s">
        <v>15</v>
      </c>
      <c r="E752" s="3" t="n">
        <v>45962</v>
      </c>
      <c r="F752" s="2" t="n">
        <v>16</v>
      </c>
      <c r="G752" s="4" t="n">
        <v>69.99</v>
      </c>
      <c r="H752" s="4" t="n">
        <v>34.24</v>
      </c>
      <c r="I752" s="4" t="n">
        <f aca="false">F752*G752</f>
        <v>1119.84</v>
      </c>
      <c r="J752" s="4" t="n">
        <f aca="false">F752*H752</f>
        <v>547.84</v>
      </c>
      <c r="K752" s="4" t="n">
        <f aca="false">I752-J752</f>
        <v>572</v>
      </c>
      <c r="L752" s="5" t="n">
        <f aca="false">IFERROR(K752/I752,0)</f>
        <v>0.510787255322189</v>
      </c>
    </row>
    <row r="753" customFormat="false" ht="15" hidden="false" customHeight="false" outlineLevel="0" collapsed="false">
      <c r="A753" s="2" t="s">
        <v>52</v>
      </c>
      <c r="B753" s="2" t="s">
        <v>53</v>
      </c>
      <c r="C753" s="2" t="s">
        <v>14</v>
      </c>
      <c r="D753" s="2" t="s">
        <v>16</v>
      </c>
      <c r="E753" s="3" t="n">
        <v>45962</v>
      </c>
      <c r="F753" s="2" t="n">
        <v>14</v>
      </c>
      <c r="G753" s="4" t="n">
        <v>19.99</v>
      </c>
      <c r="H753" s="4" t="n">
        <v>9.27</v>
      </c>
      <c r="I753" s="4" t="n">
        <f aca="false">F753*G753</f>
        <v>279.86</v>
      </c>
      <c r="J753" s="4" t="n">
        <f aca="false">F753*H753</f>
        <v>129.78</v>
      </c>
      <c r="K753" s="4" t="n">
        <f aca="false">I753-J753</f>
        <v>150.08</v>
      </c>
      <c r="L753" s="5" t="n">
        <f aca="false">IFERROR(K753/I753,0)</f>
        <v>0.536268134067033</v>
      </c>
    </row>
    <row r="754" customFormat="false" ht="15" hidden="false" customHeight="false" outlineLevel="0" collapsed="false">
      <c r="A754" s="2" t="s">
        <v>52</v>
      </c>
      <c r="B754" s="2" t="s">
        <v>53</v>
      </c>
      <c r="C754" s="2" t="s">
        <v>14</v>
      </c>
      <c r="D754" s="2" t="s">
        <v>17</v>
      </c>
      <c r="E754" s="3" t="n">
        <v>45962</v>
      </c>
      <c r="F754" s="2" t="n">
        <v>6</v>
      </c>
      <c r="G754" s="4" t="n">
        <v>79.99</v>
      </c>
      <c r="H754" s="4" t="n">
        <v>40.29</v>
      </c>
      <c r="I754" s="4" t="n">
        <f aca="false">F754*G754</f>
        <v>479.94</v>
      </c>
      <c r="J754" s="4" t="n">
        <f aca="false">F754*H754</f>
        <v>241.74</v>
      </c>
      <c r="K754" s="4" t="n">
        <f aca="false">I754-J754</f>
        <v>238.2</v>
      </c>
      <c r="L754" s="5" t="n">
        <f aca="false">IFERROR(K754/I754,0)</f>
        <v>0.496312039004876</v>
      </c>
    </row>
    <row r="755" customFormat="false" ht="15" hidden="false" customHeight="false" outlineLevel="0" collapsed="false">
      <c r="A755" s="2" t="s">
        <v>52</v>
      </c>
      <c r="B755" s="2" t="s">
        <v>53</v>
      </c>
      <c r="C755" s="2" t="s">
        <v>14</v>
      </c>
      <c r="D755" s="2" t="s">
        <v>18</v>
      </c>
      <c r="E755" s="3" t="n">
        <v>45962</v>
      </c>
      <c r="F755" s="2" t="n">
        <v>14</v>
      </c>
      <c r="G755" s="4" t="n">
        <v>34.99</v>
      </c>
      <c r="H755" s="4" t="n">
        <v>14.85</v>
      </c>
      <c r="I755" s="4" t="n">
        <f aca="false">F755*G755</f>
        <v>489.86</v>
      </c>
      <c r="J755" s="4" t="n">
        <f aca="false">F755*H755</f>
        <v>207.9</v>
      </c>
      <c r="K755" s="4" t="n">
        <f aca="false">I755-J755</f>
        <v>281.96</v>
      </c>
      <c r="L755" s="5" t="n">
        <f aca="false">IFERROR(K755/I755,0)</f>
        <v>0.575593026579023</v>
      </c>
    </row>
    <row r="756" customFormat="false" ht="15" hidden="false" customHeight="false" outlineLevel="0" collapsed="false">
      <c r="A756" s="2" t="s">
        <v>52</v>
      </c>
      <c r="B756" s="2" t="s">
        <v>53</v>
      </c>
      <c r="C756" s="2" t="s">
        <v>14</v>
      </c>
      <c r="D756" s="2" t="s">
        <v>19</v>
      </c>
      <c r="E756" s="3" t="n">
        <v>45962</v>
      </c>
      <c r="F756" s="2" t="n">
        <v>18</v>
      </c>
      <c r="G756" s="4" t="n">
        <v>54.99</v>
      </c>
      <c r="H756" s="4" t="n">
        <v>24.06</v>
      </c>
      <c r="I756" s="4" t="n">
        <f aca="false">F756*G756</f>
        <v>989.82</v>
      </c>
      <c r="J756" s="4" t="n">
        <f aca="false">F756*H756</f>
        <v>433.08</v>
      </c>
      <c r="K756" s="4" t="n">
        <f aca="false">I756-J756</f>
        <v>556.74</v>
      </c>
      <c r="L756" s="5" t="n">
        <f aca="false">IFERROR(K756/I756,0)</f>
        <v>0.562465902891435</v>
      </c>
    </row>
    <row r="757" customFormat="false" ht="15" hidden="false" customHeight="false" outlineLevel="0" collapsed="false">
      <c r="A757" s="2" t="s">
        <v>52</v>
      </c>
      <c r="B757" s="2" t="s">
        <v>53</v>
      </c>
      <c r="C757" s="2" t="s">
        <v>20</v>
      </c>
      <c r="D757" s="2" t="s">
        <v>21</v>
      </c>
      <c r="E757" s="3" t="n">
        <v>45962</v>
      </c>
      <c r="F757" s="2" t="n">
        <v>17</v>
      </c>
      <c r="G757" s="4" t="n">
        <v>44.99</v>
      </c>
      <c r="H757" s="4" t="n">
        <v>20.27</v>
      </c>
      <c r="I757" s="4" t="n">
        <f aca="false">F757*G757</f>
        <v>764.83</v>
      </c>
      <c r="J757" s="4" t="n">
        <f aca="false">F757*H757</f>
        <v>344.59</v>
      </c>
      <c r="K757" s="4" t="n">
        <f aca="false">I757-J757</f>
        <v>420.24</v>
      </c>
      <c r="L757" s="5" t="n">
        <f aca="false">IFERROR(K757/I757,0)</f>
        <v>0.549455434541009</v>
      </c>
    </row>
    <row r="758" customFormat="false" ht="15" hidden="false" customHeight="false" outlineLevel="0" collapsed="false">
      <c r="A758" s="2" t="s">
        <v>52</v>
      </c>
      <c r="B758" s="2" t="s">
        <v>53</v>
      </c>
      <c r="C758" s="2" t="s">
        <v>20</v>
      </c>
      <c r="D758" s="2" t="s">
        <v>22</v>
      </c>
      <c r="E758" s="3" t="n">
        <v>45962</v>
      </c>
      <c r="F758" s="2" t="n">
        <v>14</v>
      </c>
      <c r="G758" s="4" t="n">
        <v>14.99</v>
      </c>
      <c r="H758" s="4" t="n">
        <v>5.83</v>
      </c>
      <c r="I758" s="4" t="n">
        <f aca="false">F758*G758</f>
        <v>209.86</v>
      </c>
      <c r="J758" s="4" t="n">
        <f aca="false">F758*H758</f>
        <v>81.62</v>
      </c>
      <c r="K758" s="4" t="n">
        <f aca="false">I758-J758</f>
        <v>128.24</v>
      </c>
      <c r="L758" s="5" t="n">
        <f aca="false">IFERROR(K758/I758,0)</f>
        <v>0.611074049366244</v>
      </c>
    </row>
    <row r="759" customFormat="false" ht="15" hidden="false" customHeight="false" outlineLevel="0" collapsed="false">
      <c r="A759" s="2" t="s">
        <v>52</v>
      </c>
      <c r="B759" s="2" t="s">
        <v>53</v>
      </c>
      <c r="C759" s="2" t="s">
        <v>20</v>
      </c>
      <c r="D759" s="2" t="s">
        <v>23</v>
      </c>
      <c r="E759" s="3" t="n">
        <v>45962</v>
      </c>
      <c r="F759" s="2" t="n">
        <v>5</v>
      </c>
      <c r="G759" s="4" t="n">
        <v>39.99</v>
      </c>
      <c r="H759" s="4" t="n">
        <v>17</v>
      </c>
      <c r="I759" s="4" t="n">
        <f aca="false">F759*G759</f>
        <v>199.95</v>
      </c>
      <c r="J759" s="4" t="n">
        <f aca="false">F759*H759</f>
        <v>85</v>
      </c>
      <c r="K759" s="4" t="n">
        <f aca="false">I759-J759</f>
        <v>114.95</v>
      </c>
      <c r="L759" s="5" t="n">
        <f aca="false">IFERROR(K759/I759,0)</f>
        <v>0.574893723430858</v>
      </c>
    </row>
    <row r="760" customFormat="false" ht="15" hidden="false" customHeight="false" outlineLevel="0" collapsed="false">
      <c r="A760" s="2" t="s">
        <v>52</v>
      </c>
      <c r="B760" s="2" t="s">
        <v>53</v>
      </c>
      <c r="C760" s="2" t="s">
        <v>20</v>
      </c>
      <c r="D760" s="2" t="s">
        <v>24</v>
      </c>
      <c r="E760" s="3" t="n">
        <v>45962</v>
      </c>
      <c r="F760" s="2" t="n">
        <v>12</v>
      </c>
      <c r="G760" s="4" t="n">
        <v>18.99</v>
      </c>
      <c r="H760" s="4" t="n">
        <v>7.47</v>
      </c>
      <c r="I760" s="4" t="n">
        <f aca="false">F760*G760</f>
        <v>227.88</v>
      </c>
      <c r="J760" s="4" t="n">
        <f aca="false">F760*H760</f>
        <v>89.64</v>
      </c>
      <c r="K760" s="4" t="n">
        <f aca="false">I760-J760</f>
        <v>138.24</v>
      </c>
      <c r="L760" s="5" t="n">
        <f aca="false">IFERROR(K760/I760,0)</f>
        <v>0.606635071090047</v>
      </c>
    </row>
    <row r="761" customFormat="false" ht="15" hidden="false" customHeight="false" outlineLevel="0" collapsed="false">
      <c r="A761" s="2" t="s">
        <v>52</v>
      </c>
      <c r="B761" s="2" t="s">
        <v>53</v>
      </c>
      <c r="C761" s="2" t="s">
        <v>20</v>
      </c>
      <c r="D761" s="2" t="s">
        <v>25</v>
      </c>
      <c r="E761" s="3" t="n">
        <v>45962</v>
      </c>
      <c r="F761" s="2" t="n">
        <v>20</v>
      </c>
      <c r="G761" s="4" t="n">
        <v>42.99</v>
      </c>
      <c r="H761" s="4" t="n">
        <v>15.98</v>
      </c>
      <c r="I761" s="4" t="n">
        <f aca="false">F761*G761</f>
        <v>859.8</v>
      </c>
      <c r="J761" s="4" t="n">
        <f aca="false">F761*H761</f>
        <v>319.6</v>
      </c>
      <c r="K761" s="4" t="n">
        <f aca="false">I761-J761</f>
        <v>540.2</v>
      </c>
      <c r="L761" s="5" t="n">
        <f aca="false">IFERROR(K761/I761,0)</f>
        <v>0.628285647825076</v>
      </c>
    </row>
    <row r="762" customFormat="false" ht="15" hidden="false" customHeight="false" outlineLevel="0" collapsed="false">
      <c r="A762" s="2" t="s">
        <v>52</v>
      </c>
      <c r="B762" s="2" t="s">
        <v>53</v>
      </c>
      <c r="C762" s="2" t="s">
        <v>26</v>
      </c>
      <c r="D762" s="2" t="s">
        <v>27</v>
      </c>
      <c r="E762" s="3" t="n">
        <v>45962</v>
      </c>
      <c r="F762" s="2" t="n">
        <v>51</v>
      </c>
      <c r="G762" s="4" t="n">
        <v>44.99</v>
      </c>
      <c r="H762" s="4" t="n">
        <v>27.96</v>
      </c>
      <c r="I762" s="4" t="n">
        <f aca="false">F762*G762</f>
        <v>2294.49</v>
      </c>
      <c r="J762" s="4" t="n">
        <f aca="false">F762*H762</f>
        <v>1425.96</v>
      </c>
      <c r="K762" s="4" t="n">
        <f aca="false">I762-J762</f>
        <v>868.53</v>
      </c>
      <c r="L762" s="5" t="n">
        <f aca="false">IFERROR(K762/I762,0)</f>
        <v>0.378528561902645</v>
      </c>
    </row>
    <row r="763" customFormat="false" ht="15" hidden="false" customHeight="false" outlineLevel="0" collapsed="false">
      <c r="A763" s="2" t="s">
        <v>52</v>
      </c>
      <c r="B763" s="2" t="s">
        <v>53</v>
      </c>
      <c r="C763" s="2" t="s">
        <v>26</v>
      </c>
      <c r="D763" s="2" t="s">
        <v>28</v>
      </c>
      <c r="E763" s="3" t="n">
        <v>45962</v>
      </c>
      <c r="F763" s="2" t="n">
        <v>33</v>
      </c>
      <c r="G763" s="4" t="n">
        <v>34.99</v>
      </c>
      <c r="H763" s="4" t="n">
        <v>22.68</v>
      </c>
      <c r="I763" s="4" t="n">
        <f aca="false">F763*G763</f>
        <v>1154.67</v>
      </c>
      <c r="J763" s="4" t="n">
        <f aca="false">F763*H763</f>
        <v>748.44</v>
      </c>
      <c r="K763" s="4" t="n">
        <f aca="false">I763-J763</f>
        <v>406.23</v>
      </c>
      <c r="L763" s="5" t="n">
        <f aca="false">IFERROR(K763/I763,0)</f>
        <v>0.35181480422978</v>
      </c>
    </row>
    <row r="764" customFormat="false" ht="15" hidden="false" customHeight="false" outlineLevel="0" collapsed="false">
      <c r="A764" s="2" t="s">
        <v>52</v>
      </c>
      <c r="B764" s="2" t="s">
        <v>53</v>
      </c>
      <c r="C764" s="2" t="s">
        <v>26</v>
      </c>
      <c r="D764" s="2" t="s">
        <v>29</v>
      </c>
      <c r="E764" s="3" t="n">
        <v>45962</v>
      </c>
      <c r="F764" s="2" t="n">
        <v>23</v>
      </c>
      <c r="G764" s="4" t="n">
        <v>119.99</v>
      </c>
      <c r="H764" s="4" t="n">
        <v>83.33</v>
      </c>
      <c r="I764" s="4" t="n">
        <f aca="false">F764*G764</f>
        <v>2759.77</v>
      </c>
      <c r="J764" s="4" t="n">
        <f aca="false">F764*H764</f>
        <v>1916.59</v>
      </c>
      <c r="K764" s="4" t="n">
        <f aca="false">I764-J764</f>
        <v>843.18</v>
      </c>
      <c r="L764" s="5" t="n">
        <f aca="false">IFERROR(K764/I764,0)</f>
        <v>0.305525460455038</v>
      </c>
    </row>
    <row r="765" customFormat="false" ht="15" hidden="false" customHeight="false" outlineLevel="0" collapsed="false">
      <c r="A765" s="2" t="s">
        <v>52</v>
      </c>
      <c r="B765" s="2" t="s">
        <v>53</v>
      </c>
      <c r="C765" s="2" t="s">
        <v>26</v>
      </c>
      <c r="D765" s="2" t="s">
        <v>30</v>
      </c>
      <c r="E765" s="3" t="n">
        <v>45962</v>
      </c>
      <c r="F765" s="2" t="n">
        <v>21</v>
      </c>
      <c r="G765" s="4" t="n">
        <v>24.99</v>
      </c>
      <c r="H765" s="4" t="n">
        <v>15.35</v>
      </c>
      <c r="I765" s="4" t="n">
        <f aca="false">F765*G765</f>
        <v>524.79</v>
      </c>
      <c r="J765" s="4" t="n">
        <f aca="false">F765*H765</f>
        <v>322.35</v>
      </c>
      <c r="K765" s="4" t="n">
        <f aca="false">I765-J765</f>
        <v>202.44</v>
      </c>
      <c r="L765" s="5" t="n">
        <f aca="false">IFERROR(K765/I765,0)</f>
        <v>0.385754301720688</v>
      </c>
    </row>
    <row r="766" customFormat="false" ht="15" hidden="false" customHeight="false" outlineLevel="0" collapsed="false">
      <c r="A766" s="2" t="s">
        <v>52</v>
      </c>
      <c r="B766" s="2" t="s">
        <v>53</v>
      </c>
      <c r="C766" s="2" t="s">
        <v>26</v>
      </c>
      <c r="D766" s="2" t="s">
        <v>31</v>
      </c>
      <c r="E766" s="3" t="n">
        <v>45962</v>
      </c>
      <c r="F766" s="2" t="n">
        <v>35</v>
      </c>
      <c r="G766" s="4" t="n">
        <v>59.99</v>
      </c>
      <c r="H766" s="4" t="n">
        <v>39.07</v>
      </c>
      <c r="I766" s="4" t="n">
        <f aca="false">F766*G766</f>
        <v>2099.65</v>
      </c>
      <c r="J766" s="4" t="n">
        <f aca="false">F766*H766</f>
        <v>1367.45</v>
      </c>
      <c r="K766" s="4" t="n">
        <f aca="false">I766-J766</f>
        <v>732.2</v>
      </c>
      <c r="L766" s="5" t="n">
        <f aca="false">IFERROR(K766/I766,0)</f>
        <v>0.348724787464577</v>
      </c>
    </row>
    <row r="767" customFormat="false" ht="15" hidden="false" customHeight="false" outlineLevel="0" collapsed="false">
      <c r="A767" s="2" t="s">
        <v>52</v>
      </c>
      <c r="B767" s="2" t="s">
        <v>53</v>
      </c>
      <c r="C767" s="2" t="s">
        <v>32</v>
      </c>
      <c r="D767" s="2" t="s">
        <v>33</v>
      </c>
      <c r="E767" s="3" t="n">
        <v>45962</v>
      </c>
      <c r="F767" s="2" t="n">
        <v>12</v>
      </c>
      <c r="G767" s="4" t="n">
        <v>49.99</v>
      </c>
      <c r="H767" s="4" t="n">
        <v>36.46</v>
      </c>
      <c r="I767" s="4" t="n">
        <f aca="false">F767*G767</f>
        <v>599.88</v>
      </c>
      <c r="J767" s="4" t="n">
        <f aca="false">F767*H767</f>
        <v>437.52</v>
      </c>
      <c r="K767" s="4" t="n">
        <f aca="false">I767-J767</f>
        <v>162.36</v>
      </c>
      <c r="L767" s="5" t="n">
        <f aca="false">IFERROR(K767/I767,0)</f>
        <v>0.270654130826165</v>
      </c>
    </row>
    <row r="768" customFormat="false" ht="15" hidden="false" customHeight="false" outlineLevel="0" collapsed="false">
      <c r="A768" s="2" t="s">
        <v>52</v>
      </c>
      <c r="B768" s="2" t="s">
        <v>53</v>
      </c>
      <c r="C768" s="2" t="s">
        <v>32</v>
      </c>
      <c r="D768" s="2" t="s">
        <v>34</v>
      </c>
      <c r="E768" s="3" t="n">
        <v>45962</v>
      </c>
      <c r="F768" s="2" t="n">
        <v>8</v>
      </c>
      <c r="G768" s="4" t="n">
        <v>27.99</v>
      </c>
      <c r="H768" s="4" t="n">
        <v>19.91</v>
      </c>
      <c r="I768" s="4" t="n">
        <f aca="false">F768*G768</f>
        <v>223.92</v>
      </c>
      <c r="J768" s="4" t="n">
        <f aca="false">F768*H768</f>
        <v>159.28</v>
      </c>
      <c r="K768" s="4" t="n">
        <f aca="false">I768-J768</f>
        <v>64.64</v>
      </c>
      <c r="L768" s="5" t="n">
        <f aca="false">IFERROR(K768/I768,0)</f>
        <v>0.288674526616649</v>
      </c>
    </row>
    <row r="769" customFormat="false" ht="15" hidden="false" customHeight="false" outlineLevel="0" collapsed="false">
      <c r="A769" s="2" t="s">
        <v>52</v>
      </c>
      <c r="B769" s="2" t="s">
        <v>53</v>
      </c>
      <c r="C769" s="2" t="s">
        <v>32</v>
      </c>
      <c r="D769" s="2" t="s">
        <v>35</v>
      </c>
      <c r="E769" s="3" t="n">
        <v>45962</v>
      </c>
      <c r="F769" s="2" t="n">
        <v>15</v>
      </c>
      <c r="G769" s="4" t="n">
        <v>64.99</v>
      </c>
      <c r="H769" s="4" t="n">
        <v>45.55</v>
      </c>
      <c r="I769" s="4" t="n">
        <f aca="false">F769*G769</f>
        <v>974.85</v>
      </c>
      <c r="J769" s="4" t="n">
        <f aca="false">F769*H769</f>
        <v>683.25</v>
      </c>
      <c r="K769" s="4" t="n">
        <f aca="false">I769-J769</f>
        <v>291.6</v>
      </c>
      <c r="L769" s="5" t="n">
        <f aca="false">IFERROR(K769/I769,0)</f>
        <v>0.299122941991076</v>
      </c>
    </row>
    <row r="770" customFormat="false" ht="15" hidden="false" customHeight="false" outlineLevel="0" collapsed="false">
      <c r="A770" s="2" t="s">
        <v>52</v>
      </c>
      <c r="B770" s="2" t="s">
        <v>53</v>
      </c>
      <c r="C770" s="2" t="s">
        <v>32</v>
      </c>
      <c r="D770" s="2" t="s">
        <v>36</v>
      </c>
      <c r="E770" s="3" t="n">
        <v>45962</v>
      </c>
      <c r="F770" s="2" t="n">
        <v>20</v>
      </c>
      <c r="G770" s="4" t="n">
        <v>22.99</v>
      </c>
      <c r="H770" s="4" t="n">
        <v>16.49</v>
      </c>
      <c r="I770" s="4" t="n">
        <f aca="false">F770*G770</f>
        <v>459.8</v>
      </c>
      <c r="J770" s="4" t="n">
        <f aca="false">F770*H770</f>
        <v>329.8</v>
      </c>
      <c r="K770" s="4" t="n">
        <f aca="false">I770-J770</f>
        <v>130</v>
      </c>
      <c r="L770" s="5" t="n">
        <f aca="false">IFERROR(K770/I770,0)</f>
        <v>0.282731622444541</v>
      </c>
    </row>
    <row r="771" customFormat="false" ht="15" hidden="false" customHeight="false" outlineLevel="0" collapsed="false">
      <c r="A771" s="2" t="s">
        <v>52</v>
      </c>
      <c r="B771" s="2" t="s">
        <v>53</v>
      </c>
      <c r="C771" s="2" t="s">
        <v>32</v>
      </c>
      <c r="D771" s="2" t="s">
        <v>37</v>
      </c>
      <c r="E771" s="3" t="n">
        <v>45962</v>
      </c>
      <c r="F771" s="2" t="n">
        <v>22</v>
      </c>
      <c r="G771" s="4" t="n">
        <v>29.99</v>
      </c>
      <c r="H771" s="4" t="n">
        <v>20.17</v>
      </c>
      <c r="I771" s="4" t="n">
        <f aca="false">F771*G771</f>
        <v>659.78</v>
      </c>
      <c r="J771" s="4" t="n">
        <f aca="false">F771*H771</f>
        <v>443.74</v>
      </c>
      <c r="K771" s="4" t="n">
        <f aca="false">I771-J771</f>
        <v>216.04</v>
      </c>
      <c r="L771" s="5" t="n">
        <f aca="false">IFERROR(K771/I771,0)</f>
        <v>0.327442480826942</v>
      </c>
    </row>
    <row r="772" customFormat="false" ht="15" hidden="false" customHeight="false" outlineLevel="0" collapsed="false">
      <c r="A772" s="2" t="s">
        <v>52</v>
      </c>
      <c r="B772" s="2" t="s">
        <v>53</v>
      </c>
      <c r="C772" s="2" t="s">
        <v>38</v>
      </c>
      <c r="D772" s="2" t="s">
        <v>39</v>
      </c>
      <c r="E772" s="3" t="n">
        <v>45962</v>
      </c>
      <c r="F772" s="2" t="n">
        <v>11</v>
      </c>
      <c r="G772" s="4" t="n">
        <v>129.99</v>
      </c>
      <c r="H772" s="4" t="n">
        <v>73.72</v>
      </c>
      <c r="I772" s="4" t="n">
        <f aca="false">F772*G772</f>
        <v>1429.89</v>
      </c>
      <c r="J772" s="4" t="n">
        <f aca="false">F772*H772</f>
        <v>810.92</v>
      </c>
      <c r="K772" s="4" t="n">
        <f aca="false">I772-J772</f>
        <v>618.97</v>
      </c>
      <c r="L772" s="5" t="n">
        <f aca="false">IFERROR(K772/I772,0)</f>
        <v>0.432879452265559</v>
      </c>
    </row>
    <row r="773" customFormat="false" ht="15" hidden="false" customHeight="false" outlineLevel="0" collapsed="false">
      <c r="A773" s="2" t="s">
        <v>52</v>
      </c>
      <c r="B773" s="2" t="s">
        <v>53</v>
      </c>
      <c r="C773" s="2" t="s">
        <v>38</v>
      </c>
      <c r="D773" s="2" t="s">
        <v>40</v>
      </c>
      <c r="E773" s="3" t="n">
        <v>45962</v>
      </c>
      <c r="F773" s="2" t="n">
        <v>13</v>
      </c>
      <c r="G773" s="4" t="n">
        <v>74.99</v>
      </c>
      <c r="H773" s="4" t="n">
        <v>40.42</v>
      </c>
      <c r="I773" s="4" t="n">
        <f aca="false">F773*G773</f>
        <v>974.87</v>
      </c>
      <c r="J773" s="4" t="n">
        <f aca="false">F773*H773</f>
        <v>525.46</v>
      </c>
      <c r="K773" s="4" t="n">
        <f aca="false">I773-J773</f>
        <v>449.41</v>
      </c>
      <c r="L773" s="5" t="n">
        <f aca="false">IFERROR(K773/I773,0)</f>
        <v>0.460994799306574</v>
      </c>
    </row>
    <row r="774" customFormat="false" ht="15" hidden="false" customHeight="false" outlineLevel="0" collapsed="false">
      <c r="A774" s="2" t="s">
        <v>52</v>
      </c>
      <c r="B774" s="2" t="s">
        <v>53</v>
      </c>
      <c r="C774" s="2" t="s">
        <v>38</v>
      </c>
      <c r="D774" s="2" t="s">
        <v>41</v>
      </c>
      <c r="E774" s="3" t="n">
        <v>45962</v>
      </c>
      <c r="F774" s="2" t="n">
        <v>7</v>
      </c>
      <c r="G774" s="4" t="n">
        <v>19.99</v>
      </c>
      <c r="H774" s="4" t="n">
        <v>9.48</v>
      </c>
      <c r="I774" s="4" t="n">
        <f aca="false">F774*G774</f>
        <v>139.93</v>
      </c>
      <c r="J774" s="4" t="n">
        <f aca="false">F774*H774</f>
        <v>66.36</v>
      </c>
      <c r="K774" s="4" t="n">
        <f aca="false">I774-J774</f>
        <v>73.57</v>
      </c>
      <c r="L774" s="5" t="n">
        <f aca="false">IFERROR(K774/I774,0)</f>
        <v>0.52576288144072</v>
      </c>
    </row>
    <row r="775" customFormat="false" ht="15" hidden="false" customHeight="false" outlineLevel="0" collapsed="false">
      <c r="A775" s="2" t="s">
        <v>52</v>
      </c>
      <c r="B775" s="2" t="s">
        <v>53</v>
      </c>
      <c r="C775" s="2" t="s">
        <v>38</v>
      </c>
      <c r="D775" s="2" t="s">
        <v>42</v>
      </c>
      <c r="E775" s="3" t="n">
        <v>45962</v>
      </c>
      <c r="F775" s="2" t="n">
        <v>17</v>
      </c>
      <c r="G775" s="4" t="n">
        <v>16.99</v>
      </c>
      <c r="H775" s="4" t="n">
        <v>8.57</v>
      </c>
      <c r="I775" s="4" t="n">
        <f aca="false">F775*G775</f>
        <v>288.83</v>
      </c>
      <c r="J775" s="4" t="n">
        <f aca="false">F775*H775</f>
        <v>145.69</v>
      </c>
      <c r="K775" s="4" t="n">
        <f aca="false">I775-J775</f>
        <v>143.14</v>
      </c>
      <c r="L775" s="5" t="n">
        <f aca="false">IFERROR(K775/I775,0)</f>
        <v>0.495585638610948</v>
      </c>
    </row>
    <row r="776" customFormat="false" ht="15" hidden="false" customHeight="false" outlineLevel="0" collapsed="false">
      <c r="A776" s="2" t="s">
        <v>52</v>
      </c>
      <c r="B776" s="2" t="s">
        <v>53</v>
      </c>
      <c r="C776" s="2" t="s">
        <v>38</v>
      </c>
      <c r="D776" s="2" t="s">
        <v>43</v>
      </c>
      <c r="E776" s="3" t="n">
        <v>45962</v>
      </c>
      <c r="F776" s="2" t="n">
        <v>13</v>
      </c>
      <c r="G776" s="4" t="n">
        <v>24.99</v>
      </c>
      <c r="H776" s="4" t="n">
        <v>13.33</v>
      </c>
      <c r="I776" s="4" t="n">
        <f aca="false">F776*G776</f>
        <v>324.87</v>
      </c>
      <c r="J776" s="4" t="n">
        <f aca="false">F776*H776</f>
        <v>173.29</v>
      </c>
      <c r="K776" s="4" t="n">
        <f aca="false">I776-J776</f>
        <v>151.58</v>
      </c>
      <c r="L776" s="5" t="n">
        <f aca="false">IFERROR(K776/I776,0)</f>
        <v>0.466586634653862</v>
      </c>
    </row>
    <row r="777" customFormat="false" ht="15" hidden="false" customHeight="false" outlineLevel="0" collapsed="false">
      <c r="A777" s="2" t="s">
        <v>52</v>
      </c>
      <c r="B777" s="2" t="s">
        <v>54</v>
      </c>
      <c r="C777" s="2" t="s">
        <v>14</v>
      </c>
      <c r="D777" s="2" t="s">
        <v>15</v>
      </c>
      <c r="E777" s="3" t="n">
        <v>45962</v>
      </c>
      <c r="F777" s="2" t="n">
        <v>14</v>
      </c>
      <c r="G777" s="4" t="n">
        <v>69.99</v>
      </c>
      <c r="H777" s="4" t="n">
        <v>32.71</v>
      </c>
      <c r="I777" s="4" t="n">
        <f aca="false">F777*G777</f>
        <v>979.86</v>
      </c>
      <c r="J777" s="4" t="n">
        <f aca="false">F777*H777</f>
        <v>457.94</v>
      </c>
      <c r="K777" s="4" t="n">
        <f aca="false">I777-J777</f>
        <v>521.92</v>
      </c>
      <c r="L777" s="5" t="n">
        <f aca="false">IFERROR(K777/I777,0)</f>
        <v>0.532647521074439</v>
      </c>
    </row>
    <row r="778" customFormat="false" ht="15" hidden="false" customHeight="false" outlineLevel="0" collapsed="false">
      <c r="A778" s="2" t="s">
        <v>52</v>
      </c>
      <c r="B778" s="2" t="s">
        <v>54</v>
      </c>
      <c r="C778" s="2" t="s">
        <v>14</v>
      </c>
      <c r="D778" s="2" t="s">
        <v>16</v>
      </c>
      <c r="E778" s="3" t="n">
        <v>45962</v>
      </c>
      <c r="F778" s="2" t="n">
        <v>22</v>
      </c>
      <c r="G778" s="4" t="n">
        <v>19.99</v>
      </c>
      <c r="H778" s="4" t="n">
        <v>8.91</v>
      </c>
      <c r="I778" s="4" t="n">
        <f aca="false">F778*G778</f>
        <v>439.78</v>
      </c>
      <c r="J778" s="4" t="n">
        <f aca="false">F778*H778</f>
        <v>196.02</v>
      </c>
      <c r="K778" s="4" t="n">
        <f aca="false">I778-J778</f>
        <v>243.76</v>
      </c>
      <c r="L778" s="5" t="n">
        <f aca="false">IFERROR(K778/I778,0)</f>
        <v>0.554277138569285</v>
      </c>
    </row>
    <row r="779" customFormat="false" ht="15" hidden="false" customHeight="false" outlineLevel="0" collapsed="false">
      <c r="A779" s="2" t="s">
        <v>52</v>
      </c>
      <c r="B779" s="2" t="s">
        <v>54</v>
      </c>
      <c r="C779" s="2" t="s">
        <v>14</v>
      </c>
      <c r="D779" s="2" t="s">
        <v>17</v>
      </c>
      <c r="E779" s="3" t="n">
        <v>45962</v>
      </c>
      <c r="F779" s="2" t="n">
        <v>20</v>
      </c>
      <c r="G779" s="4" t="n">
        <v>79.99</v>
      </c>
      <c r="H779" s="4" t="n">
        <v>38.89</v>
      </c>
      <c r="I779" s="4" t="n">
        <f aca="false">F779*G779</f>
        <v>1599.8</v>
      </c>
      <c r="J779" s="4" t="n">
        <f aca="false">F779*H779</f>
        <v>777.8</v>
      </c>
      <c r="K779" s="4" t="n">
        <f aca="false">I779-J779</f>
        <v>822</v>
      </c>
      <c r="L779" s="5" t="n">
        <f aca="false">IFERROR(K779/I779,0)</f>
        <v>0.513814226778347</v>
      </c>
    </row>
    <row r="780" customFormat="false" ht="15" hidden="false" customHeight="false" outlineLevel="0" collapsed="false">
      <c r="A780" s="2" t="s">
        <v>52</v>
      </c>
      <c r="B780" s="2" t="s">
        <v>54</v>
      </c>
      <c r="C780" s="2" t="s">
        <v>14</v>
      </c>
      <c r="D780" s="2" t="s">
        <v>18</v>
      </c>
      <c r="E780" s="3" t="n">
        <v>45962</v>
      </c>
      <c r="F780" s="2" t="n">
        <v>12</v>
      </c>
      <c r="G780" s="4" t="n">
        <v>34.99</v>
      </c>
      <c r="H780" s="4" t="n">
        <v>14.36</v>
      </c>
      <c r="I780" s="4" t="n">
        <f aca="false">F780*G780</f>
        <v>419.88</v>
      </c>
      <c r="J780" s="4" t="n">
        <f aca="false">F780*H780</f>
        <v>172.32</v>
      </c>
      <c r="K780" s="4" t="n">
        <f aca="false">I780-J780</f>
        <v>247.56</v>
      </c>
      <c r="L780" s="5" t="n">
        <f aca="false">IFERROR(K780/I780,0)</f>
        <v>0.589597027722206</v>
      </c>
    </row>
    <row r="781" customFormat="false" ht="15" hidden="false" customHeight="false" outlineLevel="0" collapsed="false">
      <c r="A781" s="2" t="s">
        <v>52</v>
      </c>
      <c r="B781" s="2" t="s">
        <v>54</v>
      </c>
      <c r="C781" s="2" t="s">
        <v>14</v>
      </c>
      <c r="D781" s="2" t="s">
        <v>19</v>
      </c>
      <c r="E781" s="3" t="n">
        <v>45962</v>
      </c>
      <c r="F781" s="2" t="n">
        <v>20</v>
      </c>
      <c r="G781" s="4" t="n">
        <v>54.99</v>
      </c>
      <c r="H781" s="4" t="n">
        <v>24.65</v>
      </c>
      <c r="I781" s="4" t="n">
        <f aca="false">F781*G781</f>
        <v>1099.8</v>
      </c>
      <c r="J781" s="4" t="n">
        <f aca="false">F781*H781</f>
        <v>493</v>
      </c>
      <c r="K781" s="4" t="n">
        <f aca="false">I781-J781</f>
        <v>606.8</v>
      </c>
      <c r="L781" s="5" t="n">
        <f aca="false">IFERROR(K781/I781,0)</f>
        <v>0.551736679396254</v>
      </c>
    </row>
    <row r="782" customFormat="false" ht="15" hidden="false" customHeight="false" outlineLevel="0" collapsed="false">
      <c r="A782" s="2" t="s">
        <v>52</v>
      </c>
      <c r="B782" s="2" t="s">
        <v>54</v>
      </c>
      <c r="C782" s="2" t="s">
        <v>20</v>
      </c>
      <c r="D782" s="2" t="s">
        <v>21</v>
      </c>
      <c r="E782" s="3" t="n">
        <v>45962</v>
      </c>
      <c r="F782" s="2" t="n">
        <v>24</v>
      </c>
      <c r="G782" s="4" t="n">
        <v>44.99</v>
      </c>
      <c r="H782" s="4" t="n">
        <v>20.2</v>
      </c>
      <c r="I782" s="4" t="n">
        <f aca="false">F782*G782</f>
        <v>1079.76</v>
      </c>
      <c r="J782" s="4" t="n">
        <f aca="false">F782*H782</f>
        <v>484.8</v>
      </c>
      <c r="K782" s="4" t="n">
        <f aca="false">I782-J782</f>
        <v>594.96</v>
      </c>
      <c r="L782" s="5" t="n">
        <f aca="false">IFERROR(K782/I782,0)</f>
        <v>0.551011335852412</v>
      </c>
    </row>
    <row r="783" customFormat="false" ht="15" hidden="false" customHeight="false" outlineLevel="0" collapsed="false">
      <c r="A783" s="2" t="s">
        <v>52</v>
      </c>
      <c r="B783" s="2" t="s">
        <v>54</v>
      </c>
      <c r="C783" s="2" t="s">
        <v>20</v>
      </c>
      <c r="D783" s="2" t="s">
        <v>22</v>
      </c>
      <c r="E783" s="3" t="n">
        <v>45962</v>
      </c>
      <c r="F783" s="2" t="n">
        <v>11</v>
      </c>
      <c r="G783" s="4" t="n">
        <v>14.99</v>
      </c>
      <c r="H783" s="4" t="n">
        <v>5.85</v>
      </c>
      <c r="I783" s="4" t="n">
        <f aca="false">F783*G783</f>
        <v>164.89</v>
      </c>
      <c r="J783" s="4" t="n">
        <f aca="false">F783*H783</f>
        <v>64.35</v>
      </c>
      <c r="K783" s="4" t="n">
        <f aca="false">I783-J783</f>
        <v>100.54</v>
      </c>
      <c r="L783" s="5" t="n">
        <f aca="false">IFERROR(K783/I783,0)</f>
        <v>0.609739826551034</v>
      </c>
    </row>
    <row r="784" customFormat="false" ht="15" hidden="false" customHeight="false" outlineLevel="0" collapsed="false">
      <c r="A784" s="2" t="s">
        <v>52</v>
      </c>
      <c r="B784" s="2" t="s">
        <v>54</v>
      </c>
      <c r="C784" s="2" t="s">
        <v>20</v>
      </c>
      <c r="D784" s="2" t="s">
        <v>23</v>
      </c>
      <c r="E784" s="3" t="n">
        <v>45962</v>
      </c>
      <c r="F784" s="2" t="n">
        <v>13</v>
      </c>
      <c r="G784" s="4" t="n">
        <v>39.99</v>
      </c>
      <c r="H784" s="4" t="n">
        <v>16.34</v>
      </c>
      <c r="I784" s="4" t="n">
        <f aca="false">F784*G784</f>
        <v>519.87</v>
      </c>
      <c r="J784" s="4" t="n">
        <f aca="false">F784*H784</f>
        <v>212.42</v>
      </c>
      <c r="K784" s="4" t="n">
        <f aca="false">I784-J784</f>
        <v>307.45</v>
      </c>
      <c r="L784" s="5" t="n">
        <f aca="false">IFERROR(K784/I784,0)</f>
        <v>0.591397849462366</v>
      </c>
    </row>
    <row r="785" customFormat="false" ht="15" hidden="false" customHeight="false" outlineLevel="0" collapsed="false">
      <c r="A785" s="2" t="s">
        <v>52</v>
      </c>
      <c r="B785" s="2" t="s">
        <v>54</v>
      </c>
      <c r="C785" s="2" t="s">
        <v>20</v>
      </c>
      <c r="D785" s="2" t="s">
        <v>24</v>
      </c>
      <c r="E785" s="3" t="n">
        <v>45962</v>
      </c>
      <c r="F785" s="2" t="n">
        <v>13</v>
      </c>
      <c r="G785" s="4" t="n">
        <v>18.99</v>
      </c>
      <c r="H785" s="4" t="n">
        <v>7.79</v>
      </c>
      <c r="I785" s="4" t="n">
        <f aca="false">F785*G785</f>
        <v>246.87</v>
      </c>
      <c r="J785" s="4" t="n">
        <f aca="false">F785*H785</f>
        <v>101.27</v>
      </c>
      <c r="K785" s="4" t="n">
        <f aca="false">I785-J785</f>
        <v>145.6</v>
      </c>
      <c r="L785" s="5" t="n">
        <f aca="false">IFERROR(K785/I785,0)</f>
        <v>0.589784096893102</v>
      </c>
    </row>
    <row r="786" customFormat="false" ht="15" hidden="false" customHeight="false" outlineLevel="0" collapsed="false">
      <c r="A786" s="2" t="s">
        <v>52</v>
      </c>
      <c r="B786" s="2" t="s">
        <v>54</v>
      </c>
      <c r="C786" s="2" t="s">
        <v>20</v>
      </c>
      <c r="D786" s="2" t="s">
        <v>25</v>
      </c>
      <c r="E786" s="3" t="n">
        <v>45962</v>
      </c>
      <c r="F786" s="2" t="n">
        <v>17</v>
      </c>
      <c r="G786" s="4" t="n">
        <v>42.99</v>
      </c>
      <c r="H786" s="4" t="n">
        <v>15.54</v>
      </c>
      <c r="I786" s="4" t="n">
        <f aca="false">F786*G786</f>
        <v>730.83</v>
      </c>
      <c r="J786" s="4" t="n">
        <f aca="false">F786*H786</f>
        <v>264.18</v>
      </c>
      <c r="K786" s="4" t="n">
        <f aca="false">I786-J786</f>
        <v>466.65</v>
      </c>
      <c r="L786" s="5" t="n">
        <f aca="false">IFERROR(K786/I786,0)</f>
        <v>0.638520586182833</v>
      </c>
    </row>
    <row r="787" customFormat="false" ht="15" hidden="false" customHeight="false" outlineLevel="0" collapsed="false">
      <c r="A787" s="2" t="s">
        <v>52</v>
      </c>
      <c r="B787" s="2" t="s">
        <v>54</v>
      </c>
      <c r="C787" s="2" t="s">
        <v>26</v>
      </c>
      <c r="D787" s="2" t="s">
        <v>27</v>
      </c>
      <c r="E787" s="3" t="n">
        <v>45962</v>
      </c>
      <c r="F787" s="2" t="n">
        <v>36</v>
      </c>
      <c r="G787" s="4" t="n">
        <v>44.99</v>
      </c>
      <c r="H787" s="4" t="n">
        <v>28</v>
      </c>
      <c r="I787" s="4" t="n">
        <f aca="false">F787*G787</f>
        <v>1619.64</v>
      </c>
      <c r="J787" s="4" t="n">
        <f aca="false">F787*H787</f>
        <v>1008</v>
      </c>
      <c r="K787" s="4" t="n">
        <f aca="false">I787-J787</f>
        <v>611.64</v>
      </c>
      <c r="L787" s="5" t="n">
        <f aca="false">IFERROR(K787/I787,0)</f>
        <v>0.377639475438986</v>
      </c>
    </row>
    <row r="788" customFormat="false" ht="15" hidden="false" customHeight="false" outlineLevel="0" collapsed="false">
      <c r="A788" s="2" t="s">
        <v>52</v>
      </c>
      <c r="B788" s="2" t="s">
        <v>54</v>
      </c>
      <c r="C788" s="2" t="s">
        <v>26</v>
      </c>
      <c r="D788" s="2" t="s">
        <v>28</v>
      </c>
      <c r="E788" s="3" t="n">
        <v>45962</v>
      </c>
      <c r="F788" s="2" t="n">
        <v>48</v>
      </c>
      <c r="G788" s="4" t="n">
        <v>34.99</v>
      </c>
      <c r="H788" s="4" t="n">
        <v>21.94</v>
      </c>
      <c r="I788" s="4" t="n">
        <f aca="false">F788*G788</f>
        <v>1679.52</v>
      </c>
      <c r="J788" s="4" t="n">
        <f aca="false">F788*H788</f>
        <v>1053.12</v>
      </c>
      <c r="K788" s="4" t="n">
        <f aca="false">I788-J788</f>
        <v>626.4</v>
      </c>
      <c r="L788" s="5" t="n">
        <f aca="false">IFERROR(K788/I788,0)</f>
        <v>0.372963703915404</v>
      </c>
    </row>
    <row r="789" customFormat="false" ht="15" hidden="false" customHeight="false" outlineLevel="0" collapsed="false">
      <c r="A789" s="2" t="s">
        <v>52</v>
      </c>
      <c r="B789" s="2" t="s">
        <v>54</v>
      </c>
      <c r="C789" s="2" t="s">
        <v>26</v>
      </c>
      <c r="D789" s="2" t="s">
        <v>29</v>
      </c>
      <c r="E789" s="3" t="n">
        <v>45962</v>
      </c>
      <c r="F789" s="2" t="n">
        <v>39</v>
      </c>
      <c r="G789" s="4" t="n">
        <v>119.99</v>
      </c>
      <c r="H789" s="4" t="n">
        <v>83.59</v>
      </c>
      <c r="I789" s="4" t="n">
        <f aca="false">F789*G789</f>
        <v>4679.61</v>
      </c>
      <c r="J789" s="4" t="n">
        <f aca="false">F789*H789</f>
        <v>3260.01</v>
      </c>
      <c r="K789" s="4" t="n">
        <f aca="false">I789-J789</f>
        <v>1419.6</v>
      </c>
      <c r="L789" s="5" t="n">
        <f aca="false">IFERROR(K789/I789,0)</f>
        <v>0.303358613217768</v>
      </c>
    </row>
    <row r="790" customFormat="false" ht="15" hidden="false" customHeight="false" outlineLevel="0" collapsed="false">
      <c r="A790" s="2" t="s">
        <v>52</v>
      </c>
      <c r="B790" s="2" t="s">
        <v>54</v>
      </c>
      <c r="C790" s="2" t="s">
        <v>26</v>
      </c>
      <c r="D790" s="2" t="s">
        <v>30</v>
      </c>
      <c r="E790" s="3" t="n">
        <v>45962</v>
      </c>
      <c r="F790" s="2" t="n">
        <v>43</v>
      </c>
      <c r="G790" s="4" t="n">
        <v>24.99</v>
      </c>
      <c r="H790" s="4" t="n">
        <v>15.19</v>
      </c>
      <c r="I790" s="4" t="n">
        <f aca="false">F790*G790</f>
        <v>1074.57</v>
      </c>
      <c r="J790" s="4" t="n">
        <f aca="false">F790*H790</f>
        <v>653.17</v>
      </c>
      <c r="K790" s="4" t="n">
        <f aca="false">I790-J790</f>
        <v>421.4</v>
      </c>
      <c r="L790" s="5" t="n">
        <f aca="false">IFERROR(K790/I790,0)</f>
        <v>0.392156862745098</v>
      </c>
    </row>
    <row r="791" customFormat="false" ht="15" hidden="false" customHeight="false" outlineLevel="0" collapsed="false">
      <c r="A791" s="2" t="s">
        <v>52</v>
      </c>
      <c r="B791" s="2" t="s">
        <v>54</v>
      </c>
      <c r="C791" s="2" t="s">
        <v>26</v>
      </c>
      <c r="D791" s="2" t="s">
        <v>31</v>
      </c>
      <c r="E791" s="3" t="n">
        <v>45962</v>
      </c>
      <c r="F791" s="2" t="n">
        <v>49</v>
      </c>
      <c r="G791" s="4" t="n">
        <v>59.99</v>
      </c>
      <c r="H791" s="4" t="n">
        <v>39.64</v>
      </c>
      <c r="I791" s="4" t="n">
        <f aca="false">F791*G791</f>
        <v>2939.51</v>
      </c>
      <c r="J791" s="4" t="n">
        <f aca="false">F791*H791</f>
        <v>1942.36</v>
      </c>
      <c r="K791" s="4" t="n">
        <f aca="false">I791-J791</f>
        <v>997.15</v>
      </c>
      <c r="L791" s="5" t="n">
        <f aca="false">IFERROR(K791/I791,0)</f>
        <v>0.339223203867311</v>
      </c>
    </row>
    <row r="792" customFormat="false" ht="15" hidden="false" customHeight="false" outlineLevel="0" collapsed="false">
      <c r="A792" s="2" t="s">
        <v>52</v>
      </c>
      <c r="B792" s="2" t="s">
        <v>54</v>
      </c>
      <c r="C792" s="2" t="s">
        <v>32</v>
      </c>
      <c r="D792" s="2" t="s">
        <v>33</v>
      </c>
      <c r="E792" s="3" t="n">
        <v>45962</v>
      </c>
      <c r="F792" s="2" t="n">
        <v>13</v>
      </c>
      <c r="G792" s="4" t="n">
        <v>49.99</v>
      </c>
      <c r="H792" s="4" t="n">
        <v>34.98</v>
      </c>
      <c r="I792" s="4" t="n">
        <f aca="false">F792*G792</f>
        <v>649.87</v>
      </c>
      <c r="J792" s="4" t="n">
        <f aca="false">F792*H792</f>
        <v>454.74</v>
      </c>
      <c r="K792" s="4" t="n">
        <f aca="false">I792-J792</f>
        <v>195.13</v>
      </c>
      <c r="L792" s="5" t="n">
        <f aca="false">IFERROR(K792/I792,0)</f>
        <v>0.300260052010402</v>
      </c>
    </row>
    <row r="793" customFormat="false" ht="15" hidden="false" customHeight="false" outlineLevel="0" collapsed="false">
      <c r="A793" s="2" t="s">
        <v>52</v>
      </c>
      <c r="B793" s="2" t="s">
        <v>54</v>
      </c>
      <c r="C793" s="2" t="s">
        <v>32</v>
      </c>
      <c r="D793" s="2" t="s">
        <v>34</v>
      </c>
      <c r="E793" s="3" t="n">
        <v>45962</v>
      </c>
      <c r="F793" s="2" t="n">
        <v>11</v>
      </c>
      <c r="G793" s="4" t="n">
        <v>27.99</v>
      </c>
      <c r="H793" s="4" t="n">
        <v>19.49</v>
      </c>
      <c r="I793" s="4" t="n">
        <f aca="false">F793*G793</f>
        <v>307.89</v>
      </c>
      <c r="J793" s="4" t="n">
        <f aca="false">F793*H793</f>
        <v>214.39</v>
      </c>
      <c r="K793" s="4" t="n">
        <f aca="false">I793-J793</f>
        <v>93.5</v>
      </c>
      <c r="L793" s="5" t="n">
        <f aca="false">IFERROR(K793/I793,0)</f>
        <v>0.303679885673455</v>
      </c>
    </row>
    <row r="794" customFormat="false" ht="15" hidden="false" customHeight="false" outlineLevel="0" collapsed="false">
      <c r="A794" s="2" t="s">
        <v>52</v>
      </c>
      <c r="B794" s="2" t="s">
        <v>54</v>
      </c>
      <c r="C794" s="2" t="s">
        <v>32</v>
      </c>
      <c r="D794" s="2" t="s">
        <v>35</v>
      </c>
      <c r="E794" s="3" t="n">
        <v>45962</v>
      </c>
      <c r="F794" s="2" t="n">
        <v>17</v>
      </c>
      <c r="G794" s="4" t="n">
        <v>64.99</v>
      </c>
      <c r="H794" s="4" t="n">
        <v>45.85</v>
      </c>
      <c r="I794" s="4" t="n">
        <f aca="false">F794*G794</f>
        <v>1104.83</v>
      </c>
      <c r="J794" s="4" t="n">
        <f aca="false">F794*H794</f>
        <v>779.45</v>
      </c>
      <c r="K794" s="4" t="n">
        <f aca="false">I794-J794</f>
        <v>325.38</v>
      </c>
      <c r="L794" s="5" t="n">
        <f aca="false">IFERROR(K794/I794,0)</f>
        <v>0.294506847207263</v>
      </c>
    </row>
    <row r="795" customFormat="false" ht="15" hidden="false" customHeight="false" outlineLevel="0" collapsed="false">
      <c r="A795" s="2" t="s">
        <v>52</v>
      </c>
      <c r="B795" s="2" t="s">
        <v>54</v>
      </c>
      <c r="C795" s="2" t="s">
        <v>32</v>
      </c>
      <c r="D795" s="2" t="s">
        <v>36</v>
      </c>
      <c r="E795" s="3" t="n">
        <v>45962</v>
      </c>
      <c r="F795" s="2" t="n">
        <v>13</v>
      </c>
      <c r="G795" s="4" t="n">
        <v>22.99</v>
      </c>
      <c r="H795" s="4" t="n">
        <v>16.87</v>
      </c>
      <c r="I795" s="4" t="n">
        <f aca="false">F795*G795</f>
        <v>298.87</v>
      </c>
      <c r="J795" s="4" t="n">
        <f aca="false">F795*H795</f>
        <v>219.31</v>
      </c>
      <c r="K795" s="4" t="n">
        <f aca="false">I795-J795</f>
        <v>79.56</v>
      </c>
      <c r="L795" s="5" t="n">
        <f aca="false">IFERROR(K795/I795,0)</f>
        <v>0.266202696824706</v>
      </c>
    </row>
    <row r="796" customFormat="false" ht="15" hidden="false" customHeight="false" outlineLevel="0" collapsed="false">
      <c r="A796" s="2" t="s">
        <v>52</v>
      </c>
      <c r="B796" s="2" t="s">
        <v>54</v>
      </c>
      <c r="C796" s="2" t="s">
        <v>32</v>
      </c>
      <c r="D796" s="2" t="s">
        <v>37</v>
      </c>
      <c r="E796" s="3" t="n">
        <v>45962</v>
      </c>
      <c r="F796" s="2" t="n">
        <v>22</v>
      </c>
      <c r="G796" s="4" t="n">
        <v>29.99</v>
      </c>
      <c r="H796" s="4" t="n">
        <v>19.85</v>
      </c>
      <c r="I796" s="4" t="n">
        <f aca="false">F796*G796</f>
        <v>659.78</v>
      </c>
      <c r="J796" s="4" t="n">
        <f aca="false">F796*H796</f>
        <v>436.7</v>
      </c>
      <c r="K796" s="4" t="n">
        <f aca="false">I796-J796</f>
        <v>223.08</v>
      </c>
      <c r="L796" s="5" t="n">
        <f aca="false">IFERROR(K796/I796,0)</f>
        <v>0.338112704234745</v>
      </c>
    </row>
    <row r="797" customFormat="false" ht="15" hidden="false" customHeight="false" outlineLevel="0" collapsed="false">
      <c r="A797" s="2" t="s">
        <v>52</v>
      </c>
      <c r="B797" s="2" t="s">
        <v>54</v>
      </c>
      <c r="C797" s="2" t="s">
        <v>38</v>
      </c>
      <c r="D797" s="2" t="s">
        <v>39</v>
      </c>
      <c r="E797" s="3" t="n">
        <v>45962</v>
      </c>
      <c r="F797" s="2" t="n">
        <v>20</v>
      </c>
      <c r="G797" s="4" t="n">
        <v>129.99</v>
      </c>
      <c r="H797" s="4" t="n">
        <v>77.23</v>
      </c>
      <c r="I797" s="4" t="n">
        <f aca="false">F797*G797</f>
        <v>2599.8</v>
      </c>
      <c r="J797" s="4" t="n">
        <f aca="false">F797*H797</f>
        <v>1544.6</v>
      </c>
      <c r="K797" s="4" t="n">
        <f aca="false">I797-J797</f>
        <v>1055.2</v>
      </c>
      <c r="L797" s="5" t="n">
        <f aca="false">IFERROR(K797/I797,0)</f>
        <v>0.405877375182706</v>
      </c>
    </row>
    <row r="798" customFormat="false" ht="15" hidden="false" customHeight="false" outlineLevel="0" collapsed="false">
      <c r="A798" s="2" t="s">
        <v>52</v>
      </c>
      <c r="B798" s="2" t="s">
        <v>54</v>
      </c>
      <c r="C798" s="2" t="s">
        <v>38</v>
      </c>
      <c r="D798" s="2" t="s">
        <v>40</v>
      </c>
      <c r="E798" s="3" t="n">
        <v>45962</v>
      </c>
      <c r="F798" s="2" t="n">
        <v>22</v>
      </c>
      <c r="G798" s="4" t="n">
        <v>74.99</v>
      </c>
      <c r="H798" s="4" t="n">
        <v>42.41</v>
      </c>
      <c r="I798" s="4" t="n">
        <f aca="false">F798*G798</f>
        <v>1649.78</v>
      </c>
      <c r="J798" s="4" t="n">
        <f aca="false">F798*H798</f>
        <v>933.02</v>
      </c>
      <c r="K798" s="4" t="n">
        <f aca="false">I798-J798</f>
        <v>716.76</v>
      </c>
      <c r="L798" s="5" t="n">
        <f aca="false">IFERROR(K798/I798,0)</f>
        <v>0.434457927723697</v>
      </c>
    </row>
    <row r="799" customFormat="false" ht="15" hidden="false" customHeight="false" outlineLevel="0" collapsed="false">
      <c r="A799" s="2" t="s">
        <v>52</v>
      </c>
      <c r="B799" s="2" t="s">
        <v>54</v>
      </c>
      <c r="C799" s="2" t="s">
        <v>38</v>
      </c>
      <c r="D799" s="2" t="s">
        <v>41</v>
      </c>
      <c r="E799" s="3" t="n">
        <v>45962</v>
      </c>
      <c r="F799" s="2" t="n">
        <v>12</v>
      </c>
      <c r="G799" s="4" t="n">
        <v>19.99</v>
      </c>
      <c r="H799" s="4" t="n">
        <v>9.66</v>
      </c>
      <c r="I799" s="4" t="n">
        <f aca="false">F799*G799</f>
        <v>239.88</v>
      </c>
      <c r="J799" s="4" t="n">
        <f aca="false">F799*H799</f>
        <v>115.92</v>
      </c>
      <c r="K799" s="4" t="n">
        <f aca="false">I799-J799</f>
        <v>123.96</v>
      </c>
      <c r="L799" s="5" t="n">
        <f aca="false">IFERROR(K799/I799,0)</f>
        <v>0.516758379189595</v>
      </c>
    </row>
    <row r="800" customFormat="false" ht="15" hidden="false" customHeight="false" outlineLevel="0" collapsed="false">
      <c r="A800" s="2" t="s">
        <v>52</v>
      </c>
      <c r="B800" s="2" t="s">
        <v>54</v>
      </c>
      <c r="C800" s="2" t="s">
        <v>38</v>
      </c>
      <c r="D800" s="2" t="s">
        <v>42</v>
      </c>
      <c r="E800" s="3" t="n">
        <v>45962</v>
      </c>
      <c r="F800" s="2" t="n">
        <v>12</v>
      </c>
      <c r="G800" s="4" t="n">
        <v>16.99</v>
      </c>
      <c r="H800" s="4" t="n">
        <v>8.3</v>
      </c>
      <c r="I800" s="4" t="n">
        <f aca="false">F800*G800</f>
        <v>203.88</v>
      </c>
      <c r="J800" s="4" t="n">
        <f aca="false">F800*H800</f>
        <v>99.6</v>
      </c>
      <c r="K800" s="4" t="n">
        <f aca="false">I800-J800</f>
        <v>104.28</v>
      </c>
      <c r="L800" s="5" t="n">
        <f aca="false">IFERROR(K800/I800,0)</f>
        <v>0.511477339611536</v>
      </c>
    </row>
    <row r="801" customFormat="false" ht="15" hidden="false" customHeight="false" outlineLevel="0" collapsed="false">
      <c r="A801" s="2" t="s">
        <v>52</v>
      </c>
      <c r="B801" s="2" t="s">
        <v>54</v>
      </c>
      <c r="C801" s="2" t="s">
        <v>38</v>
      </c>
      <c r="D801" s="2" t="s">
        <v>43</v>
      </c>
      <c r="E801" s="3" t="n">
        <v>45962</v>
      </c>
      <c r="F801" s="2" t="n">
        <v>14</v>
      </c>
      <c r="G801" s="4" t="n">
        <v>24.99</v>
      </c>
      <c r="H801" s="4" t="n">
        <v>12.62</v>
      </c>
      <c r="I801" s="4" t="n">
        <f aca="false">F801*G801</f>
        <v>349.86</v>
      </c>
      <c r="J801" s="4" t="n">
        <f aca="false">F801*H801</f>
        <v>176.68</v>
      </c>
      <c r="K801" s="4" t="n">
        <f aca="false">I801-J801</f>
        <v>173.18</v>
      </c>
      <c r="L801" s="5" t="n">
        <f aca="false">IFERROR(K801/I801,0)</f>
        <v>0.49499799919968</v>
      </c>
    </row>
    <row r="802" customFormat="false" ht="15" hidden="false" customHeight="false" outlineLevel="0" collapsed="false">
      <c r="A802" s="2" t="s">
        <v>12</v>
      </c>
      <c r="B802" s="2" t="s">
        <v>13</v>
      </c>
      <c r="C802" s="2" t="s">
        <v>14</v>
      </c>
      <c r="D802" s="2" t="s">
        <v>15</v>
      </c>
      <c r="E802" s="3" t="n">
        <v>45992</v>
      </c>
      <c r="F802" s="2" t="n">
        <v>16</v>
      </c>
      <c r="G802" s="4" t="n">
        <v>69.99</v>
      </c>
      <c r="H802" s="4" t="n">
        <v>33.45</v>
      </c>
      <c r="I802" s="4" t="n">
        <f aca="false">F802*G802</f>
        <v>1119.84</v>
      </c>
      <c r="J802" s="4" t="n">
        <f aca="false">F802*H802</f>
        <v>535.2</v>
      </c>
      <c r="K802" s="4" t="n">
        <f aca="false">I802-J802</f>
        <v>584.64</v>
      </c>
      <c r="L802" s="5" t="n">
        <f aca="false">IFERROR(K802/I802,0)</f>
        <v>0.522074582083155</v>
      </c>
    </row>
    <row r="803" customFormat="false" ht="15" hidden="false" customHeight="false" outlineLevel="0" collapsed="false">
      <c r="A803" s="2" t="s">
        <v>12</v>
      </c>
      <c r="B803" s="2" t="s">
        <v>13</v>
      </c>
      <c r="C803" s="2" t="s">
        <v>14</v>
      </c>
      <c r="D803" s="2" t="s">
        <v>16</v>
      </c>
      <c r="E803" s="3" t="n">
        <v>45992</v>
      </c>
      <c r="F803" s="2" t="n">
        <v>14</v>
      </c>
      <c r="G803" s="4" t="n">
        <v>19.99</v>
      </c>
      <c r="H803" s="4" t="n">
        <v>9.06</v>
      </c>
      <c r="I803" s="4" t="n">
        <f aca="false">F803*G803</f>
        <v>279.86</v>
      </c>
      <c r="J803" s="4" t="n">
        <f aca="false">F803*H803</f>
        <v>126.84</v>
      </c>
      <c r="K803" s="4" t="n">
        <f aca="false">I803-J803</f>
        <v>153.02</v>
      </c>
      <c r="L803" s="5" t="n">
        <f aca="false">IFERROR(K803/I803,0)</f>
        <v>0.546773386693347</v>
      </c>
    </row>
    <row r="804" customFormat="false" ht="15" hidden="false" customHeight="false" outlineLevel="0" collapsed="false">
      <c r="A804" s="2" t="s">
        <v>12</v>
      </c>
      <c r="B804" s="2" t="s">
        <v>13</v>
      </c>
      <c r="C804" s="2" t="s">
        <v>14</v>
      </c>
      <c r="D804" s="2" t="s">
        <v>17</v>
      </c>
      <c r="E804" s="3" t="n">
        <v>45992</v>
      </c>
      <c r="F804" s="2" t="n">
        <v>12</v>
      </c>
      <c r="G804" s="4" t="n">
        <v>79.99</v>
      </c>
      <c r="H804" s="4" t="n">
        <v>40.99</v>
      </c>
      <c r="I804" s="4" t="n">
        <f aca="false">F804*G804</f>
        <v>959.88</v>
      </c>
      <c r="J804" s="4" t="n">
        <f aca="false">F804*H804</f>
        <v>491.88</v>
      </c>
      <c r="K804" s="4" t="n">
        <f aca="false">I804-J804</f>
        <v>468</v>
      </c>
      <c r="L804" s="5" t="n">
        <f aca="false">IFERROR(K804/I804,0)</f>
        <v>0.48756094511814</v>
      </c>
    </row>
    <row r="805" customFormat="false" ht="15" hidden="false" customHeight="false" outlineLevel="0" collapsed="false">
      <c r="A805" s="2" t="s">
        <v>12</v>
      </c>
      <c r="B805" s="2" t="s">
        <v>13</v>
      </c>
      <c r="C805" s="2" t="s">
        <v>14</v>
      </c>
      <c r="D805" s="2" t="s">
        <v>18</v>
      </c>
      <c r="E805" s="3" t="n">
        <v>45992</v>
      </c>
      <c r="F805" s="2" t="n">
        <v>17</v>
      </c>
      <c r="G805" s="4" t="n">
        <v>34.99</v>
      </c>
      <c r="H805" s="4" t="n">
        <v>14.26</v>
      </c>
      <c r="I805" s="4" t="n">
        <f aca="false">F805*G805</f>
        <v>594.83</v>
      </c>
      <c r="J805" s="4" t="n">
        <f aca="false">F805*H805</f>
        <v>242.42</v>
      </c>
      <c r="K805" s="4" t="n">
        <f aca="false">I805-J805</f>
        <v>352.41</v>
      </c>
      <c r="L805" s="5" t="n">
        <f aca="false">IFERROR(K805/I805,0)</f>
        <v>0.592454987139183</v>
      </c>
    </row>
    <row r="806" customFormat="false" ht="15" hidden="false" customHeight="false" outlineLevel="0" collapsed="false">
      <c r="A806" s="2" t="s">
        <v>12</v>
      </c>
      <c r="B806" s="2" t="s">
        <v>13</v>
      </c>
      <c r="C806" s="2" t="s">
        <v>14</v>
      </c>
      <c r="D806" s="2" t="s">
        <v>19</v>
      </c>
      <c r="E806" s="3" t="n">
        <v>45992</v>
      </c>
      <c r="F806" s="2" t="n">
        <v>18</v>
      </c>
      <c r="G806" s="4" t="n">
        <v>54.99</v>
      </c>
      <c r="H806" s="4" t="n">
        <v>24.79</v>
      </c>
      <c r="I806" s="4" t="n">
        <f aca="false">F806*G806</f>
        <v>989.82</v>
      </c>
      <c r="J806" s="4" t="n">
        <f aca="false">F806*H806</f>
        <v>446.22</v>
      </c>
      <c r="K806" s="4" t="n">
        <f aca="false">I806-J806</f>
        <v>543.6</v>
      </c>
      <c r="L806" s="5" t="n">
        <f aca="false">IFERROR(K806/I806,0)</f>
        <v>0.54919076195672</v>
      </c>
    </row>
    <row r="807" customFormat="false" ht="15" hidden="false" customHeight="false" outlineLevel="0" collapsed="false">
      <c r="A807" s="2" t="s">
        <v>12</v>
      </c>
      <c r="B807" s="2" t="s">
        <v>13</v>
      </c>
      <c r="C807" s="2" t="s">
        <v>20</v>
      </c>
      <c r="D807" s="2" t="s">
        <v>21</v>
      </c>
      <c r="E807" s="3" t="n">
        <v>45992</v>
      </c>
      <c r="F807" s="2" t="n">
        <v>18</v>
      </c>
      <c r="G807" s="4" t="n">
        <v>44.99</v>
      </c>
      <c r="H807" s="4" t="n">
        <v>19.72</v>
      </c>
      <c r="I807" s="4" t="n">
        <f aca="false">F807*G807</f>
        <v>809.82</v>
      </c>
      <c r="J807" s="4" t="n">
        <f aca="false">F807*H807</f>
        <v>354.96</v>
      </c>
      <c r="K807" s="4" t="n">
        <f aca="false">I807-J807</f>
        <v>454.86</v>
      </c>
      <c r="L807" s="5" t="n">
        <f aca="false">IFERROR(K807/I807,0)</f>
        <v>0.561680373416315</v>
      </c>
    </row>
    <row r="808" customFormat="false" ht="15" hidden="false" customHeight="false" outlineLevel="0" collapsed="false">
      <c r="A808" s="2" t="s">
        <v>12</v>
      </c>
      <c r="B808" s="2" t="s">
        <v>13</v>
      </c>
      <c r="C808" s="2" t="s">
        <v>20</v>
      </c>
      <c r="D808" s="2" t="s">
        <v>22</v>
      </c>
      <c r="E808" s="3" t="n">
        <v>45992</v>
      </c>
      <c r="F808" s="2" t="n">
        <v>12</v>
      </c>
      <c r="G808" s="4" t="n">
        <v>14.99</v>
      </c>
      <c r="H808" s="4" t="n">
        <v>5.61</v>
      </c>
      <c r="I808" s="4" t="n">
        <f aca="false">F808*G808</f>
        <v>179.88</v>
      </c>
      <c r="J808" s="4" t="n">
        <f aca="false">F808*H808</f>
        <v>67.32</v>
      </c>
      <c r="K808" s="4" t="n">
        <f aca="false">I808-J808</f>
        <v>112.56</v>
      </c>
      <c r="L808" s="5" t="n">
        <f aca="false">IFERROR(K808/I808,0)</f>
        <v>0.625750500333556</v>
      </c>
    </row>
    <row r="809" customFormat="false" ht="15" hidden="false" customHeight="false" outlineLevel="0" collapsed="false">
      <c r="A809" s="2" t="s">
        <v>12</v>
      </c>
      <c r="B809" s="2" t="s">
        <v>13</v>
      </c>
      <c r="C809" s="2" t="s">
        <v>20</v>
      </c>
      <c r="D809" s="2" t="s">
        <v>23</v>
      </c>
      <c r="E809" s="3" t="n">
        <v>45992</v>
      </c>
      <c r="F809" s="2" t="n">
        <v>12</v>
      </c>
      <c r="G809" s="4" t="n">
        <v>39.99</v>
      </c>
      <c r="H809" s="4" t="n">
        <v>16.98</v>
      </c>
      <c r="I809" s="4" t="n">
        <f aca="false">F809*G809</f>
        <v>479.88</v>
      </c>
      <c r="J809" s="4" t="n">
        <f aca="false">F809*H809</f>
        <v>203.76</v>
      </c>
      <c r="K809" s="4" t="n">
        <f aca="false">I809-J809</f>
        <v>276.12</v>
      </c>
      <c r="L809" s="5" t="n">
        <f aca="false">IFERROR(K809/I809,0)</f>
        <v>0.575393848462116</v>
      </c>
    </row>
    <row r="810" customFormat="false" ht="15" hidden="false" customHeight="false" outlineLevel="0" collapsed="false">
      <c r="A810" s="2" t="s">
        <v>12</v>
      </c>
      <c r="B810" s="2" t="s">
        <v>13</v>
      </c>
      <c r="C810" s="2" t="s">
        <v>20</v>
      </c>
      <c r="D810" s="2" t="s">
        <v>24</v>
      </c>
      <c r="E810" s="3" t="n">
        <v>45992</v>
      </c>
      <c r="F810" s="2" t="n">
        <v>19</v>
      </c>
      <c r="G810" s="4" t="n">
        <v>18.99</v>
      </c>
      <c r="H810" s="4" t="n">
        <v>7.76</v>
      </c>
      <c r="I810" s="4" t="n">
        <f aca="false">F810*G810</f>
        <v>360.81</v>
      </c>
      <c r="J810" s="4" t="n">
        <f aca="false">F810*H810</f>
        <v>147.44</v>
      </c>
      <c r="K810" s="4" t="n">
        <f aca="false">I810-J810</f>
        <v>213.37</v>
      </c>
      <c r="L810" s="5" t="n">
        <f aca="false">IFERROR(K810/I810,0)</f>
        <v>0.591363875724065</v>
      </c>
    </row>
    <row r="811" customFormat="false" ht="15" hidden="false" customHeight="false" outlineLevel="0" collapsed="false">
      <c r="A811" s="2" t="s">
        <v>12</v>
      </c>
      <c r="B811" s="2" t="s">
        <v>13</v>
      </c>
      <c r="C811" s="2" t="s">
        <v>20</v>
      </c>
      <c r="D811" s="2" t="s">
        <v>25</v>
      </c>
      <c r="E811" s="3" t="n">
        <v>45992</v>
      </c>
      <c r="F811" s="2" t="n">
        <v>10</v>
      </c>
      <c r="G811" s="4" t="n">
        <v>42.99</v>
      </c>
      <c r="H811" s="4" t="n">
        <v>15.93</v>
      </c>
      <c r="I811" s="4" t="n">
        <f aca="false">F811*G811</f>
        <v>429.9</v>
      </c>
      <c r="J811" s="4" t="n">
        <f aca="false">F811*H811</f>
        <v>159.3</v>
      </c>
      <c r="K811" s="4" t="n">
        <f aca="false">I811-J811</f>
        <v>270.6</v>
      </c>
      <c r="L811" s="5" t="n">
        <f aca="false">IFERROR(K811/I811,0)</f>
        <v>0.629448709002094</v>
      </c>
    </row>
    <row r="812" customFormat="false" ht="15" hidden="false" customHeight="false" outlineLevel="0" collapsed="false">
      <c r="A812" s="2" t="s">
        <v>12</v>
      </c>
      <c r="B812" s="2" t="s">
        <v>13</v>
      </c>
      <c r="C812" s="2" t="s">
        <v>26</v>
      </c>
      <c r="D812" s="2" t="s">
        <v>27</v>
      </c>
      <c r="E812" s="3" t="n">
        <v>45992</v>
      </c>
      <c r="F812" s="2" t="n">
        <v>32</v>
      </c>
      <c r="G812" s="4" t="n">
        <v>44.99</v>
      </c>
      <c r="H812" s="4" t="n">
        <v>27.1</v>
      </c>
      <c r="I812" s="4" t="n">
        <f aca="false">F812*G812</f>
        <v>1439.68</v>
      </c>
      <c r="J812" s="4" t="n">
        <f aca="false">F812*H812</f>
        <v>867.2</v>
      </c>
      <c r="K812" s="4" t="n">
        <f aca="false">I812-J812</f>
        <v>572.48</v>
      </c>
      <c r="L812" s="5" t="n">
        <f aca="false">IFERROR(K812/I812,0)</f>
        <v>0.397643920871305</v>
      </c>
    </row>
    <row r="813" customFormat="false" ht="15" hidden="false" customHeight="false" outlineLevel="0" collapsed="false">
      <c r="A813" s="2" t="s">
        <v>12</v>
      </c>
      <c r="B813" s="2" t="s">
        <v>13</v>
      </c>
      <c r="C813" s="2" t="s">
        <v>26</v>
      </c>
      <c r="D813" s="2" t="s">
        <v>28</v>
      </c>
      <c r="E813" s="3" t="n">
        <v>45992</v>
      </c>
      <c r="F813" s="2" t="n">
        <v>26</v>
      </c>
      <c r="G813" s="4" t="n">
        <v>34.99</v>
      </c>
      <c r="H813" s="4" t="n">
        <v>22.25</v>
      </c>
      <c r="I813" s="4" t="n">
        <f aca="false">F813*G813</f>
        <v>909.74</v>
      </c>
      <c r="J813" s="4" t="n">
        <f aca="false">F813*H813</f>
        <v>578.5</v>
      </c>
      <c r="K813" s="4" t="n">
        <f aca="false">I813-J813</f>
        <v>331.24</v>
      </c>
      <c r="L813" s="5" t="n">
        <f aca="false">IFERROR(K813/I813,0)</f>
        <v>0.364104029722778</v>
      </c>
    </row>
    <row r="814" customFormat="false" ht="15" hidden="false" customHeight="false" outlineLevel="0" collapsed="false">
      <c r="A814" s="2" t="s">
        <v>12</v>
      </c>
      <c r="B814" s="2" t="s">
        <v>13</v>
      </c>
      <c r="C814" s="2" t="s">
        <v>26</v>
      </c>
      <c r="D814" s="2" t="s">
        <v>29</v>
      </c>
      <c r="E814" s="3" t="n">
        <v>45992</v>
      </c>
      <c r="F814" s="2" t="n">
        <v>21</v>
      </c>
      <c r="G814" s="4" t="n">
        <v>119.99</v>
      </c>
      <c r="H814" s="4" t="n">
        <v>81.61</v>
      </c>
      <c r="I814" s="4" t="n">
        <f aca="false">F814*G814</f>
        <v>2519.79</v>
      </c>
      <c r="J814" s="4" t="n">
        <f aca="false">F814*H814</f>
        <v>1713.81</v>
      </c>
      <c r="K814" s="4" t="n">
        <f aca="false">I814-J814</f>
        <v>805.98</v>
      </c>
      <c r="L814" s="5" t="n">
        <f aca="false">IFERROR(K814/I814,0)</f>
        <v>0.319859988332361</v>
      </c>
    </row>
    <row r="815" customFormat="false" ht="15" hidden="false" customHeight="false" outlineLevel="0" collapsed="false">
      <c r="A815" s="2" t="s">
        <v>12</v>
      </c>
      <c r="B815" s="2" t="s">
        <v>13</v>
      </c>
      <c r="C815" s="2" t="s">
        <v>26</v>
      </c>
      <c r="D815" s="2" t="s">
        <v>30</v>
      </c>
      <c r="E815" s="3" t="n">
        <v>45992</v>
      </c>
      <c r="F815" s="2" t="n">
        <v>43</v>
      </c>
      <c r="G815" s="4" t="n">
        <v>24.99</v>
      </c>
      <c r="H815" s="4" t="n">
        <v>14.66</v>
      </c>
      <c r="I815" s="4" t="n">
        <f aca="false">F815*G815</f>
        <v>1074.57</v>
      </c>
      <c r="J815" s="4" t="n">
        <f aca="false">F815*H815</f>
        <v>630.38</v>
      </c>
      <c r="K815" s="4" t="n">
        <f aca="false">I815-J815</f>
        <v>444.19</v>
      </c>
      <c r="L815" s="5" t="n">
        <f aca="false">IFERROR(K815/I815,0)</f>
        <v>0.413365346138455</v>
      </c>
    </row>
    <row r="816" customFormat="false" ht="15" hidden="false" customHeight="false" outlineLevel="0" collapsed="false">
      <c r="A816" s="2" t="s">
        <v>12</v>
      </c>
      <c r="B816" s="2" t="s">
        <v>13</v>
      </c>
      <c r="C816" s="2" t="s">
        <v>26</v>
      </c>
      <c r="D816" s="2" t="s">
        <v>31</v>
      </c>
      <c r="E816" s="3" t="n">
        <v>45992</v>
      </c>
      <c r="F816" s="2" t="n">
        <v>43</v>
      </c>
      <c r="G816" s="4" t="n">
        <v>59.99</v>
      </c>
      <c r="H816" s="4" t="n">
        <v>39.13</v>
      </c>
      <c r="I816" s="4" t="n">
        <f aca="false">F816*G816</f>
        <v>2579.57</v>
      </c>
      <c r="J816" s="4" t="n">
        <f aca="false">F816*H816</f>
        <v>1682.59</v>
      </c>
      <c r="K816" s="4" t="n">
        <f aca="false">I816-J816</f>
        <v>896.98</v>
      </c>
      <c r="L816" s="5" t="n">
        <f aca="false">IFERROR(K816/I816,0)</f>
        <v>0.347724620770128</v>
      </c>
    </row>
    <row r="817" customFormat="false" ht="15" hidden="false" customHeight="false" outlineLevel="0" collapsed="false">
      <c r="A817" s="2" t="s">
        <v>12</v>
      </c>
      <c r="B817" s="2" t="s">
        <v>13</v>
      </c>
      <c r="C817" s="2" t="s">
        <v>32</v>
      </c>
      <c r="D817" s="2" t="s">
        <v>33</v>
      </c>
      <c r="E817" s="3" t="n">
        <v>45992</v>
      </c>
      <c r="F817" s="2" t="n">
        <v>16</v>
      </c>
      <c r="G817" s="4" t="n">
        <v>49.99</v>
      </c>
      <c r="H817" s="4" t="n">
        <v>36.51</v>
      </c>
      <c r="I817" s="4" t="n">
        <f aca="false">F817*G817</f>
        <v>799.84</v>
      </c>
      <c r="J817" s="4" t="n">
        <f aca="false">F817*H817</f>
        <v>584.16</v>
      </c>
      <c r="K817" s="4" t="n">
        <f aca="false">I817-J817</f>
        <v>215.68</v>
      </c>
      <c r="L817" s="5" t="n">
        <f aca="false">IFERROR(K817/I817,0)</f>
        <v>0.269653930786157</v>
      </c>
    </row>
    <row r="818" customFormat="false" ht="15" hidden="false" customHeight="false" outlineLevel="0" collapsed="false">
      <c r="A818" s="2" t="s">
        <v>12</v>
      </c>
      <c r="B818" s="2" t="s">
        <v>13</v>
      </c>
      <c r="C818" s="2" t="s">
        <v>32</v>
      </c>
      <c r="D818" s="2" t="s">
        <v>34</v>
      </c>
      <c r="E818" s="3" t="n">
        <v>45992</v>
      </c>
      <c r="F818" s="2" t="n">
        <v>16</v>
      </c>
      <c r="G818" s="4" t="n">
        <v>27.99</v>
      </c>
      <c r="H818" s="4" t="n">
        <v>19.78</v>
      </c>
      <c r="I818" s="4" t="n">
        <f aca="false">F818*G818</f>
        <v>447.84</v>
      </c>
      <c r="J818" s="4" t="n">
        <f aca="false">F818*H818</f>
        <v>316.48</v>
      </c>
      <c r="K818" s="4" t="n">
        <f aca="false">I818-J818</f>
        <v>131.36</v>
      </c>
      <c r="L818" s="5" t="n">
        <f aca="false">IFERROR(K818/I818,0)</f>
        <v>0.293319042515184</v>
      </c>
    </row>
    <row r="819" customFormat="false" ht="15" hidden="false" customHeight="false" outlineLevel="0" collapsed="false">
      <c r="A819" s="2" t="s">
        <v>12</v>
      </c>
      <c r="B819" s="2" t="s">
        <v>13</v>
      </c>
      <c r="C819" s="2" t="s">
        <v>32</v>
      </c>
      <c r="D819" s="2" t="s">
        <v>35</v>
      </c>
      <c r="E819" s="3" t="n">
        <v>45992</v>
      </c>
      <c r="F819" s="2" t="n">
        <v>8</v>
      </c>
      <c r="G819" s="4" t="n">
        <v>64.99</v>
      </c>
      <c r="H819" s="4" t="n">
        <v>46.14</v>
      </c>
      <c r="I819" s="4" t="n">
        <f aca="false">F819*G819</f>
        <v>519.92</v>
      </c>
      <c r="J819" s="4" t="n">
        <f aca="false">F819*H819</f>
        <v>369.12</v>
      </c>
      <c r="K819" s="4" t="n">
        <f aca="false">I819-J819</f>
        <v>150.8</v>
      </c>
      <c r="L819" s="5" t="n">
        <f aca="false">IFERROR(K819/I819,0)</f>
        <v>0.290044622249577</v>
      </c>
    </row>
    <row r="820" customFormat="false" ht="15" hidden="false" customHeight="false" outlineLevel="0" collapsed="false">
      <c r="A820" s="2" t="s">
        <v>12</v>
      </c>
      <c r="B820" s="2" t="s">
        <v>13</v>
      </c>
      <c r="C820" s="2" t="s">
        <v>32</v>
      </c>
      <c r="D820" s="2" t="s">
        <v>36</v>
      </c>
      <c r="E820" s="3" t="n">
        <v>45992</v>
      </c>
      <c r="F820" s="2" t="n">
        <v>15</v>
      </c>
      <c r="G820" s="4" t="n">
        <v>22.99</v>
      </c>
      <c r="H820" s="4" t="n">
        <v>16.39</v>
      </c>
      <c r="I820" s="4" t="n">
        <f aca="false">F820*G820</f>
        <v>344.85</v>
      </c>
      <c r="J820" s="4" t="n">
        <f aca="false">F820*H820</f>
        <v>245.85</v>
      </c>
      <c r="K820" s="4" t="n">
        <f aca="false">I820-J820</f>
        <v>98.9999999999999</v>
      </c>
      <c r="L820" s="5" t="n">
        <f aca="false">IFERROR(K820/I820,0)</f>
        <v>0.287081339712919</v>
      </c>
    </row>
    <row r="821" customFormat="false" ht="15" hidden="false" customHeight="false" outlineLevel="0" collapsed="false">
      <c r="A821" s="2" t="s">
        <v>12</v>
      </c>
      <c r="B821" s="2" t="s">
        <v>13</v>
      </c>
      <c r="C821" s="2" t="s">
        <v>32</v>
      </c>
      <c r="D821" s="2" t="s">
        <v>37</v>
      </c>
      <c r="E821" s="3" t="n">
        <v>45992</v>
      </c>
      <c r="F821" s="2" t="n">
        <v>5</v>
      </c>
      <c r="G821" s="4" t="n">
        <v>29.99</v>
      </c>
      <c r="H821" s="4" t="n">
        <v>20.02</v>
      </c>
      <c r="I821" s="4" t="n">
        <f aca="false">F821*G821</f>
        <v>149.95</v>
      </c>
      <c r="J821" s="4" t="n">
        <f aca="false">F821*H821</f>
        <v>100.1</v>
      </c>
      <c r="K821" s="4" t="n">
        <f aca="false">I821-J821</f>
        <v>49.85</v>
      </c>
      <c r="L821" s="5" t="n">
        <f aca="false">IFERROR(K821/I821,0)</f>
        <v>0.33244414804935</v>
      </c>
    </row>
    <row r="822" customFormat="false" ht="15" hidden="false" customHeight="false" outlineLevel="0" collapsed="false">
      <c r="A822" s="2" t="s">
        <v>12</v>
      </c>
      <c r="B822" s="2" t="s">
        <v>13</v>
      </c>
      <c r="C822" s="2" t="s">
        <v>38</v>
      </c>
      <c r="D822" s="2" t="s">
        <v>39</v>
      </c>
      <c r="E822" s="3" t="n">
        <v>45992</v>
      </c>
      <c r="F822" s="2" t="n">
        <v>13</v>
      </c>
      <c r="G822" s="4" t="n">
        <v>129.99</v>
      </c>
      <c r="H822" s="4" t="n">
        <v>74.5</v>
      </c>
      <c r="I822" s="4" t="n">
        <f aca="false">F822*G822</f>
        <v>1689.87</v>
      </c>
      <c r="J822" s="4" t="n">
        <f aca="false">F822*H822</f>
        <v>968.5</v>
      </c>
      <c r="K822" s="4" t="n">
        <f aca="false">I822-J822</f>
        <v>721.37</v>
      </c>
      <c r="L822" s="5" t="n">
        <f aca="false">IFERROR(K822/I822,0)</f>
        <v>0.426878990691592</v>
      </c>
    </row>
    <row r="823" customFormat="false" ht="15" hidden="false" customHeight="false" outlineLevel="0" collapsed="false">
      <c r="A823" s="2" t="s">
        <v>12</v>
      </c>
      <c r="B823" s="2" t="s">
        <v>13</v>
      </c>
      <c r="C823" s="2" t="s">
        <v>38</v>
      </c>
      <c r="D823" s="2" t="s">
        <v>40</v>
      </c>
      <c r="E823" s="3" t="n">
        <v>45992</v>
      </c>
      <c r="F823" s="2" t="n">
        <v>14</v>
      </c>
      <c r="G823" s="4" t="n">
        <v>74.99</v>
      </c>
      <c r="H823" s="4" t="n">
        <v>42.1</v>
      </c>
      <c r="I823" s="4" t="n">
        <f aca="false">F823*G823</f>
        <v>1049.86</v>
      </c>
      <c r="J823" s="4" t="n">
        <f aca="false">F823*H823</f>
        <v>589.4</v>
      </c>
      <c r="K823" s="4" t="n">
        <f aca="false">I823-J823</f>
        <v>460.46</v>
      </c>
      <c r="L823" s="5" t="n">
        <f aca="false">IFERROR(K823/I823,0)</f>
        <v>0.438591812241632</v>
      </c>
    </row>
    <row r="824" customFormat="false" ht="15" hidden="false" customHeight="false" outlineLevel="0" collapsed="false">
      <c r="A824" s="2" t="s">
        <v>12</v>
      </c>
      <c r="B824" s="2" t="s">
        <v>13</v>
      </c>
      <c r="C824" s="2" t="s">
        <v>38</v>
      </c>
      <c r="D824" s="2" t="s">
        <v>41</v>
      </c>
      <c r="E824" s="3" t="n">
        <v>45992</v>
      </c>
      <c r="F824" s="2" t="n">
        <v>12</v>
      </c>
      <c r="G824" s="4" t="n">
        <v>19.99</v>
      </c>
      <c r="H824" s="4" t="n">
        <v>9.46</v>
      </c>
      <c r="I824" s="4" t="n">
        <f aca="false">F824*G824</f>
        <v>239.88</v>
      </c>
      <c r="J824" s="4" t="n">
        <f aca="false">F824*H824</f>
        <v>113.52</v>
      </c>
      <c r="K824" s="4" t="n">
        <f aca="false">I824-J824</f>
        <v>126.36</v>
      </c>
      <c r="L824" s="5" t="n">
        <f aca="false">IFERROR(K824/I824,0)</f>
        <v>0.526763381690845</v>
      </c>
    </row>
    <row r="825" customFormat="false" ht="15" hidden="false" customHeight="false" outlineLevel="0" collapsed="false">
      <c r="A825" s="2" t="s">
        <v>12</v>
      </c>
      <c r="B825" s="2" t="s">
        <v>13</v>
      </c>
      <c r="C825" s="2" t="s">
        <v>38</v>
      </c>
      <c r="D825" s="2" t="s">
        <v>42</v>
      </c>
      <c r="E825" s="3" t="n">
        <v>45992</v>
      </c>
      <c r="F825" s="2" t="n">
        <v>19</v>
      </c>
      <c r="G825" s="4" t="n">
        <v>16.99</v>
      </c>
      <c r="H825" s="4" t="n">
        <v>8.41</v>
      </c>
      <c r="I825" s="4" t="n">
        <f aca="false">F825*G825</f>
        <v>322.81</v>
      </c>
      <c r="J825" s="4" t="n">
        <f aca="false">F825*H825</f>
        <v>159.79</v>
      </c>
      <c r="K825" s="4" t="n">
        <f aca="false">I825-J825</f>
        <v>163.02</v>
      </c>
      <c r="L825" s="5" t="n">
        <f aca="false">IFERROR(K825/I825,0)</f>
        <v>0.505002942907593</v>
      </c>
    </row>
    <row r="826" customFormat="false" ht="15" hidden="false" customHeight="false" outlineLevel="0" collapsed="false">
      <c r="A826" s="2" t="s">
        <v>12</v>
      </c>
      <c r="B826" s="2" t="s">
        <v>13</v>
      </c>
      <c r="C826" s="2" t="s">
        <v>38</v>
      </c>
      <c r="D826" s="2" t="s">
        <v>43</v>
      </c>
      <c r="E826" s="3" t="n">
        <v>45992</v>
      </c>
      <c r="F826" s="2" t="n">
        <v>16</v>
      </c>
      <c r="G826" s="4" t="n">
        <v>24.99</v>
      </c>
      <c r="H826" s="4" t="n">
        <v>13</v>
      </c>
      <c r="I826" s="4" t="n">
        <f aca="false">F826*G826</f>
        <v>399.84</v>
      </c>
      <c r="J826" s="4" t="n">
        <f aca="false">F826*H826</f>
        <v>208</v>
      </c>
      <c r="K826" s="4" t="n">
        <f aca="false">I826-J826</f>
        <v>191.84</v>
      </c>
      <c r="L826" s="5" t="n">
        <f aca="false">IFERROR(K826/I826,0)</f>
        <v>0.479791916766707</v>
      </c>
    </row>
    <row r="827" customFormat="false" ht="15" hidden="false" customHeight="false" outlineLevel="0" collapsed="false">
      <c r="A827" s="2" t="s">
        <v>44</v>
      </c>
      <c r="B827" s="2" t="s">
        <v>45</v>
      </c>
      <c r="C827" s="2" t="s">
        <v>14</v>
      </c>
      <c r="D827" s="2" t="s">
        <v>15</v>
      </c>
      <c r="E827" s="3" t="n">
        <v>45992</v>
      </c>
      <c r="F827" s="2" t="n">
        <v>31</v>
      </c>
      <c r="G827" s="4" t="n">
        <v>69.99</v>
      </c>
      <c r="H827" s="4" t="n">
        <v>33.75</v>
      </c>
      <c r="I827" s="4" t="n">
        <f aca="false">F827*G827</f>
        <v>2169.69</v>
      </c>
      <c r="J827" s="4" t="n">
        <f aca="false">F827*H827</f>
        <v>1046.25</v>
      </c>
      <c r="K827" s="4" t="n">
        <f aca="false">I827-J827</f>
        <v>1123.44</v>
      </c>
      <c r="L827" s="5" t="n">
        <f aca="false">IFERROR(K827/I827,0)</f>
        <v>0.517788255465067</v>
      </c>
    </row>
    <row r="828" customFormat="false" ht="15" hidden="false" customHeight="false" outlineLevel="0" collapsed="false">
      <c r="A828" s="2" t="s">
        <v>44</v>
      </c>
      <c r="B828" s="2" t="s">
        <v>45</v>
      </c>
      <c r="C828" s="2" t="s">
        <v>14</v>
      </c>
      <c r="D828" s="2" t="s">
        <v>16</v>
      </c>
      <c r="E828" s="3" t="n">
        <v>45992</v>
      </c>
      <c r="F828" s="2" t="n">
        <v>18</v>
      </c>
      <c r="G828" s="4" t="n">
        <v>19.99</v>
      </c>
      <c r="H828" s="4" t="n">
        <v>8.93</v>
      </c>
      <c r="I828" s="4" t="n">
        <f aca="false">F828*G828</f>
        <v>359.82</v>
      </c>
      <c r="J828" s="4" t="n">
        <f aca="false">F828*H828</f>
        <v>160.74</v>
      </c>
      <c r="K828" s="4" t="n">
        <f aca="false">I828-J828</f>
        <v>199.08</v>
      </c>
      <c r="L828" s="5" t="n">
        <f aca="false">IFERROR(K828/I828,0)</f>
        <v>0.55327663831916</v>
      </c>
    </row>
    <row r="829" customFormat="false" ht="15" hidden="false" customHeight="false" outlineLevel="0" collapsed="false">
      <c r="A829" s="2" t="s">
        <v>44</v>
      </c>
      <c r="B829" s="2" t="s">
        <v>45</v>
      </c>
      <c r="C829" s="2" t="s">
        <v>14</v>
      </c>
      <c r="D829" s="2" t="s">
        <v>17</v>
      </c>
      <c r="E829" s="3" t="n">
        <v>45992</v>
      </c>
      <c r="F829" s="2" t="n">
        <v>12</v>
      </c>
      <c r="G829" s="4" t="n">
        <v>79.99</v>
      </c>
      <c r="H829" s="4" t="n">
        <v>39.63</v>
      </c>
      <c r="I829" s="4" t="n">
        <f aca="false">F829*G829</f>
        <v>959.88</v>
      </c>
      <c r="J829" s="4" t="n">
        <f aca="false">F829*H829</f>
        <v>475.56</v>
      </c>
      <c r="K829" s="4" t="n">
        <f aca="false">I829-J829</f>
        <v>484.32</v>
      </c>
      <c r="L829" s="5" t="n">
        <f aca="false">IFERROR(K829/I829,0)</f>
        <v>0.504563070383798</v>
      </c>
    </row>
    <row r="830" customFormat="false" ht="15" hidden="false" customHeight="false" outlineLevel="0" collapsed="false">
      <c r="A830" s="2" t="s">
        <v>44</v>
      </c>
      <c r="B830" s="2" t="s">
        <v>45</v>
      </c>
      <c r="C830" s="2" t="s">
        <v>14</v>
      </c>
      <c r="D830" s="2" t="s">
        <v>18</v>
      </c>
      <c r="E830" s="3" t="n">
        <v>45992</v>
      </c>
      <c r="F830" s="2" t="n">
        <v>16</v>
      </c>
      <c r="G830" s="4" t="n">
        <v>34.99</v>
      </c>
      <c r="H830" s="4" t="n">
        <v>14.26</v>
      </c>
      <c r="I830" s="4" t="n">
        <f aca="false">F830*G830</f>
        <v>559.84</v>
      </c>
      <c r="J830" s="4" t="n">
        <f aca="false">F830*H830</f>
        <v>228.16</v>
      </c>
      <c r="K830" s="4" t="n">
        <f aca="false">I830-J830</f>
        <v>331.68</v>
      </c>
      <c r="L830" s="5" t="n">
        <f aca="false">IFERROR(K830/I830,0)</f>
        <v>0.592454987139183</v>
      </c>
    </row>
    <row r="831" customFormat="false" ht="15" hidden="false" customHeight="false" outlineLevel="0" collapsed="false">
      <c r="A831" s="2" t="s">
        <v>44</v>
      </c>
      <c r="B831" s="2" t="s">
        <v>45</v>
      </c>
      <c r="C831" s="2" t="s">
        <v>14</v>
      </c>
      <c r="D831" s="2" t="s">
        <v>19</v>
      </c>
      <c r="E831" s="3" t="n">
        <v>45992</v>
      </c>
      <c r="F831" s="2" t="n">
        <v>30</v>
      </c>
      <c r="G831" s="4" t="n">
        <v>54.99</v>
      </c>
      <c r="H831" s="4" t="n">
        <v>23.6</v>
      </c>
      <c r="I831" s="4" t="n">
        <f aca="false">F831*G831</f>
        <v>1649.7</v>
      </c>
      <c r="J831" s="4" t="n">
        <f aca="false">F831*H831</f>
        <v>708</v>
      </c>
      <c r="K831" s="4" t="n">
        <f aca="false">I831-J831</f>
        <v>941.7</v>
      </c>
      <c r="L831" s="5" t="n">
        <f aca="false">IFERROR(K831/I831,0)</f>
        <v>0.570831060192762</v>
      </c>
    </row>
    <row r="832" customFormat="false" ht="15" hidden="false" customHeight="false" outlineLevel="0" collapsed="false">
      <c r="A832" s="2" t="s">
        <v>44</v>
      </c>
      <c r="B832" s="2" t="s">
        <v>45</v>
      </c>
      <c r="C832" s="2" t="s">
        <v>20</v>
      </c>
      <c r="D832" s="2" t="s">
        <v>21</v>
      </c>
      <c r="E832" s="3" t="n">
        <v>45992</v>
      </c>
      <c r="F832" s="2" t="n">
        <v>20</v>
      </c>
      <c r="G832" s="4" t="n">
        <v>44.99</v>
      </c>
      <c r="H832" s="4" t="n">
        <v>19.89</v>
      </c>
      <c r="I832" s="4" t="n">
        <f aca="false">F832*G832</f>
        <v>899.8</v>
      </c>
      <c r="J832" s="4" t="n">
        <f aca="false">F832*H832</f>
        <v>397.8</v>
      </c>
      <c r="K832" s="4" t="n">
        <f aca="false">I832-J832</f>
        <v>502</v>
      </c>
      <c r="L832" s="5" t="n">
        <f aca="false">IFERROR(K832/I832,0)</f>
        <v>0.557901755945766</v>
      </c>
    </row>
    <row r="833" customFormat="false" ht="15" hidden="false" customHeight="false" outlineLevel="0" collapsed="false">
      <c r="A833" s="2" t="s">
        <v>44</v>
      </c>
      <c r="B833" s="2" t="s">
        <v>45</v>
      </c>
      <c r="C833" s="2" t="s">
        <v>20</v>
      </c>
      <c r="D833" s="2" t="s">
        <v>22</v>
      </c>
      <c r="E833" s="3" t="n">
        <v>45992</v>
      </c>
      <c r="F833" s="2" t="n">
        <v>19</v>
      </c>
      <c r="G833" s="4" t="n">
        <v>14.99</v>
      </c>
      <c r="H833" s="4" t="n">
        <v>5.61</v>
      </c>
      <c r="I833" s="4" t="n">
        <f aca="false">F833*G833</f>
        <v>284.81</v>
      </c>
      <c r="J833" s="4" t="n">
        <f aca="false">F833*H833</f>
        <v>106.59</v>
      </c>
      <c r="K833" s="4" t="n">
        <f aca="false">I833-J833</f>
        <v>178.22</v>
      </c>
      <c r="L833" s="5" t="n">
        <f aca="false">IFERROR(K833/I833,0)</f>
        <v>0.625750500333556</v>
      </c>
    </row>
    <row r="834" customFormat="false" ht="15" hidden="false" customHeight="false" outlineLevel="0" collapsed="false">
      <c r="A834" s="2" t="s">
        <v>44</v>
      </c>
      <c r="B834" s="2" t="s">
        <v>45</v>
      </c>
      <c r="C834" s="2" t="s">
        <v>20</v>
      </c>
      <c r="D834" s="2" t="s">
        <v>23</v>
      </c>
      <c r="E834" s="3" t="n">
        <v>45992</v>
      </c>
      <c r="F834" s="2" t="n">
        <v>14</v>
      </c>
      <c r="G834" s="4" t="n">
        <v>39.99</v>
      </c>
      <c r="H834" s="4" t="n">
        <v>17.08</v>
      </c>
      <c r="I834" s="4" t="n">
        <f aca="false">F834*G834</f>
        <v>559.86</v>
      </c>
      <c r="J834" s="4" t="n">
        <f aca="false">F834*H834</f>
        <v>239.12</v>
      </c>
      <c r="K834" s="4" t="n">
        <f aca="false">I834-J834</f>
        <v>320.74</v>
      </c>
      <c r="L834" s="5" t="n">
        <f aca="false">IFERROR(K834/I834,0)</f>
        <v>0.572893223305827</v>
      </c>
    </row>
    <row r="835" customFormat="false" ht="15" hidden="false" customHeight="false" outlineLevel="0" collapsed="false">
      <c r="A835" s="2" t="s">
        <v>44</v>
      </c>
      <c r="B835" s="2" t="s">
        <v>45</v>
      </c>
      <c r="C835" s="2" t="s">
        <v>20</v>
      </c>
      <c r="D835" s="2" t="s">
        <v>24</v>
      </c>
      <c r="E835" s="3" t="n">
        <v>45992</v>
      </c>
      <c r="F835" s="2" t="n">
        <v>26</v>
      </c>
      <c r="G835" s="4" t="n">
        <v>18.99</v>
      </c>
      <c r="H835" s="4" t="n">
        <v>7.67</v>
      </c>
      <c r="I835" s="4" t="n">
        <f aca="false">F835*G835</f>
        <v>493.74</v>
      </c>
      <c r="J835" s="4" t="n">
        <f aca="false">F835*H835</f>
        <v>199.42</v>
      </c>
      <c r="K835" s="4" t="n">
        <f aca="false">I835-J835</f>
        <v>294.32</v>
      </c>
      <c r="L835" s="5" t="n">
        <f aca="false">IFERROR(K835/I835,0)</f>
        <v>0.596103212216956</v>
      </c>
    </row>
    <row r="836" customFormat="false" ht="15" hidden="false" customHeight="false" outlineLevel="0" collapsed="false">
      <c r="A836" s="2" t="s">
        <v>44</v>
      </c>
      <c r="B836" s="2" t="s">
        <v>45</v>
      </c>
      <c r="C836" s="2" t="s">
        <v>20</v>
      </c>
      <c r="D836" s="2" t="s">
        <v>25</v>
      </c>
      <c r="E836" s="3" t="n">
        <v>45992</v>
      </c>
      <c r="F836" s="2" t="n">
        <v>9</v>
      </c>
      <c r="G836" s="4" t="n">
        <v>42.99</v>
      </c>
      <c r="H836" s="4" t="n">
        <v>15.52</v>
      </c>
      <c r="I836" s="4" t="n">
        <f aca="false">F836*G836</f>
        <v>386.91</v>
      </c>
      <c r="J836" s="4" t="n">
        <f aca="false">F836*H836</f>
        <v>139.68</v>
      </c>
      <c r="K836" s="4" t="n">
        <f aca="false">I836-J836</f>
        <v>247.23</v>
      </c>
      <c r="L836" s="5" t="n">
        <f aca="false">IFERROR(K836/I836,0)</f>
        <v>0.63898581065364</v>
      </c>
    </row>
    <row r="837" customFormat="false" ht="15" hidden="false" customHeight="false" outlineLevel="0" collapsed="false">
      <c r="A837" s="2" t="s">
        <v>44</v>
      </c>
      <c r="B837" s="2" t="s">
        <v>45</v>
      </c>
      <c r="C837" s="2" t="s">
        <v>26</v>
      </c>
      <c r="D837" s="2" t="s">
        <v>27</v>
      </c>
      <c r="E837" s="3" t="n">
        <v>45992</v>
      </c>
      <c r="F837" s="2" t="n">
        <v>49</v>
      </c>
      <c r="G837" s="4" t="n">
        <v>44.99</v>
      </c>
      <c r="H837" s="4" t="n">
        <v>27.31</v>
      </c>
      <c r="I837" s="4" t="n">
        <f aca="false">F837*G837</f>
        <v>2204.51</v>
      </c>
      <c r="J837" s="4" t="n">
        <f aca="false">F837*H837</f>
        <v>1338.19</v>
      </c>
      <c r="K837" s="4" t="n">
        <f aca="false">I837-J837</f>
        <v>866.32</v>
      </c>
      <c r="L837" s="5" t="n">
        <f aca="false">IFERROR(K837/I837,0)</f>
        <v>0.392976216937097</v>
      </c>
    </row>
    <row r="838" customFormat="false" ht="15" hidden="false" customHeight="false" outlineLevel="0" collapsed="false">
      <c r="A838" s="2" t="s">
        <v>44</v>
      </c>
      <c r="B838" s="2" t="s">
        <v>45</v>
      </c>
      <c r="C838" s="2" t="s">
        <v>26</v>
      </c>
      <c r="D838" s="2" t="s">
        <v>28</v>
      </c>
      <c r="E838" s="3" t="n">
        <v>45992</v>
      </c>
      <c r="F838" s="2" t="n">
        <v>30</v>
      </c>
      <c r="G838" s="4" t="n">
        <v>34.99</v>
      </c>
      <c r="H838" s="4" t="n">
        <v>22.83</v>
      </c>
      <c r="I838" s="4" t="n">
        <f aca="false">F838*G838</f>
        <v>1049.7</v>
      </c>
      <c r="J838" s="4" t="n">
        <f aca="false">F838*H838</f>
        <v>684.9</v>
      </c>
      <c r="K838" s="4" t="n">
        <f aca="false">I838-J838</f>
        <v>364.8</v>
      </c>
      <c r="L838" s="5" t="n">
        <f aca="false">IFERROR(K838/I838,0)</f>
        <v>0.347527865104316</v>
      </c>
    </row>
    <row r="839" customFormat="false" ht="15" hidden="false" customHeight="false" outlineLevel="0" collapsed="false">
      <c r="A839" s="2" t="s">
        <v>44</v>
      </c>
      <c r="B839" s="2" t="s">
        <v>45</v>
      </c>
      <c r="C839" s="2" t="s">
        <v>26</v>
      </c>
      <c r="D839" s="2" t="s">
        <v>29</v>
      </c>
      <c r="E839" s="3" t="n">
        <v>45992</v>
      </c>
      <c r="F839" s="2" t="n">
        <v>83</v>
      </c>
      <c r="G839" s="4" t="n">
        <v>119.99</v>
      </c>
      <c r="H839" s="4" t="n">
        <v>83.85</v>
      </c>
      <c r="I839" s="4" t="n">
        <f aca="false">F839*G839</f>
        <v>9959.17</v>
      </c>
      <c r="J839" s="4" t="n">
        <f aca="false">F839*H839</f>
        <v>6959.55</v>
      </c>
      <c r="K839" s="4" t="n">
        <f aca="false">I839-J839</f>
        <v>2999.62</v>
      </c>
      <c r="L839" s="5" t="n">
        <f aca="false">IFERROR(K839/I839,0)</f>
        <v>0.301191765980498</v>
      </c>
    </row>
    <row r="840" customFormat="false" ht="15" hidden="false" customHeight="false" outlineLevel="0" collapsed="false">
      <c r="A840" s="2" t="s">
        <v>44</v>
      </c>
      <c r="B840" s="2" t="s">
        <v>45</v>
      </c>
      <c r="C840" s="2" t="s">
        <v>26</v>
      </c>
      <c r="D840" s="2" t="s">
        <v>30</v>
      </c>
      <c r="E840" s="3" t="n">
        <v>45992</v>
      </c>
      <c r="F840" s="2" t="n">
        <v>32</v>
      </c>
      <c r="G840" s="4" t="n">
        <v>24.99</v>
      </c>
      <c r="H840" s="4" t="n">
        <v>15.39</v>
      </c>
      <c r="I840" s="4" t="n">
        <f aca="false">F840*G840</f>
        <v>799.68</v>
      </c>
      <c r="J840" s="4" t="n">
        <f aca="false">F840*H840</f>
        <v>492.48</v>
      </c>
      <c r="K840" s="4" t="n">
        <f aca="false">I840-J840</f>
        <v>307.2</v>
      </c>
      <c r="L840" s="5" t="n">
        <f aca="false">IFERROR(K840/I840,0)</f>
        <v>0.384153661464586</v>
      </c>
    </row>
    <row r="841" customFormat="false" ht="15" hidden="false" customHeight="false" outlineLevel="0" collapsed="false">
      <c r="A841" s="2" t="s">
        <v>44</v>
      </c>
      <c r="B841" s="2" t="s">
        <v>45</v>
      </c>
      <c r="C841" s="2" t="s">
        <v>26</v>
      </c>
      <c r="D841" s="2" t="s">
        <v>31</v>
      </c>
      <c r="E841" s="3" t="n">
        <v>45992</v>
      </c>
      <c r="F841" s="2" t="n">
        <v>60</v>
      </c>
      <c r="G841" s="4" t="n">
        <v>59.99</v>
      </c>
      <c r="H841" s="4" t="n">
        <v>38.47</v>
      </c>
      <c r="I841" s="4" t="n">
        <f aca="false">F841*G841</f>
        <v>3599.4</v>
      </c>
      <c r="J841" s="4" t="n">
        <f aca="false">F841*H841</f>
        <v>2308.2</v>
      </c>
      <c r="K841" s="4" t="n">
        <f aca="false">I841-J841</f>
        <v>1291.2</v>
      </c>
      <c r="L841" s="5" t="n">
        <f aca="false">IFERROR(K841/I841,0)</f>
        <v>0.358726454409068</v>
      </c>
    </row>
    <row r="842" customFormat="false" ht="15" hidden="false" customHeight="false" outlineLevel="0" collapsed="false">
      <c r="A842" s="2" t="s">
        <v>44</v>
      </c>
      <c r="B842" s="2" t="s">
        <v>45</v>
      </c>
      <c r="C842" s="2" t="s">
        <v>32</v>
      </c>
      <c r="D842" s="2" t="s">
        <v>33</v>
      </c>
      <c r="E842" s="3" t="n">
        <v>45992</v>
      </c>
      <c r="F842" s="2" t="n">
        <v>19</v>
      </c>
      <c r="G842" s="4" t="n">
        <v>49.99</v>
      </c>
      <c r="H842" s="4" t="n">
        <v>36.22</v>
      </c>
      <c r="I842" s="4" t="n">
        <f aca="false">F842*G842</f>
        <v>949.81</v>
      </c>
      <c r="J842" s="4" t="n">
        <f aca="false">F842*H842</f>
        <v>688.18</v>
      </c>
      <c r="K842" s="4" t="n">
        <f aca="false">I842-J842</f>
        <v>261.63</v>
      </c>
      <c r="L842" s="5" t="n">
        <f aca="false">IFERROR(K842/I842,0)</f>
        <v>0.275455091018204</v>
      </c>
    </row>
    <row r="843" customFormat="false" ht="15" hidden="false" customHeight="false" outlineLevel="0" collapsed="false">
      <c r="A843" s="2" t="s">
        <v>44</v>
      </c>
      <c r="B843" s="2" t="s">
        <v>45</v>
      </c>
      <c r="C843" s="2" t="s">
        <v>32</v>
      </c>
      <c r="D843" s="2" t="s">
        <v>34</v>
      </c>
      <c r="E843" s="3" t="n">
        <v>45992</v>
      </c>
      <c r="F843" s="2" t="n">
        <v>19</v>
      </c>
      <c r="G843" s="4" t="n">
        <v>27.99</v>
      </c>
      <c r="H843" s="4" t="n">
        <v>19.92</v>
      </c>
      <c r="I843" s="4" t="n">
        <f aca="false">F843*G843</f>
        <v>531.81</v>
      </c>
      <c r="J843" s="4" t="n">
        <f aca="false">F843*H843</f>
        <v>378.48</v>
      </c>
      <c r="K843" s="4" t="n">
        <f aca="false">I843-J843</f>
        <v>153.33</v>
      </c>
      <c r="L843" s="5" t="n">
        <f aca="false">IFERROR(K843/I843,0)</f>
        <v>0.288317256162915</v>
      </c>
    </row>
    <row r="844" customFormat="false" ht="15" hidden="false" customHeight="false" outlineLevel="0" collapsed="false">
      <c r="A844" s="2" t="s">
        <v>44</v>
      </c>
      <c r="B844" s="2" t="s">
        <v>45</v>
      </c>
      <c r="C844" s="2" t="s">
        <v>32</v>
      </c>
      <c r="D844" s="2" t="s">
        <v>35</v>
      </c>
      <c r="E844" s="3" t="n">
        <v>45992</v>
      </c>
      <c r="F844" s="2" t="n">
        <v>16</v>
      </c>
      <c r="G844" s="4" t="n">
        <v>64.99</v>
      </c>
      <c r="H844" s="4" t="n">
        <v>44.71</v>
      </c>
      <c r="I844" s="4" t="n">
        <f aca="false">F844*G844</f>
        <v>1039.84</v>
      </c>
      <c r="J844" s="4" t="n">
        <f aca="false">F844*H844</f>
        <v>715.36</v>
      </c>
      <c r="K844" s="4" t="n">
        <f aca="false">I844-J844</f>
        <v>324.48</v>
      </c>
      <c r="L844" s="5" t="n">
        <f aca="false">IFERROR(K844/I844,0)</f>
        <v>0.312048007385752</v>
      </c>
    </row>
    <row r="845" customFormat="false" ht="15" hidden="false" customHeight="false" outlineLevel="0" collapsed="false">
      <c r="A845" s="2" t="s">
        <v>44</v>
      </c>
      <c r="B845" s="2" t="s">
        <v>45</v>
      </c>
      <c r="C845" s="2" t="s">
        <v>32</v>
      </c>
      <c r="D845" s="2" t="s">
        <v>36</v>
      </c>
      <c r="E845" s="3" t="n">
        <v>45992</v>
      </c>
      <c r="F845" s="2" t="n">
        <v>19</v>
      </c>
      <c r="G845" s="4" t="n">
        <v>22.99</v>
      </c>
      <c r="H845" s="4" t="n">
        <v>16.9</v>
      </c>
      <c r="I845" s="4" t="n">
        <f aca="false">F845*G845</f>
        <v>436.81</v>
      </c>
      <c r="J845" s="4" t="n">
        <f aca="false">F845*H845</f>
        <v>321.1</v>
      </c>
      <c r="K845" s="4" t="n">
        <f aca="false">I845-J845</f>
        <v>115.71</v>
      </c>
      <c r="L845" s="5" t="n">
        <f aca="false">IFERROR(K845/I845,0)</f>
        <v>0.264897781644193</v>
      </c>
    </row>
    <row r="846" customFormat="false" ht="15" hidden="false" customHeight="false" outlineLevel="0" collapsed="false">
      <c r="A846" s="2" t="s">
        <v>44</v>
      </c>
      <c r="B846" s="2" t="s">
        <v>45</v>
      </c>
      <c r="C846" s="2" t="s">
        <v>32</v>
      </c>
      <c r="D846" s="2" t="s">
        <v>37</v>
      </c>
      <c r="E846" s="3" t="n">
        <v>45992</v>
      </c>
      <c r="F846" s="2" t="n">
        <v>18</v>
      </c>
      <c r="G846" s="4" t="n">
        <v>29.99</v>
      </c>
      <c r="H846" s="4" t="n">
        <v>20.53</v>
      </c>
      <c r="I846" s="4" t="n">
        <f aca="false">F846*G846</f>
        <v>539.82</v>
      </c>
      <c r="J846" s="4" t="n">
        <f aca="false">F846*H846</f>
        <v>369.54</v>
      </c>
      <c r="K846" s="4" t="n">
        <f aca="false">I846-J846</f>
        <v>170.28</v>
      </c>
      <c r="L846" s="5" t="n">
        <f aca="false">IFERROR(K846/I846,0)</f>
        <v>0.315438479493164</v>
      </c>
    </row>
    <row r="847" customFormat="false" ht="15" hidden="false" customHeight="false" outlineLevel="0" collapsed="false">
      <c r="A847" s="2" t="s">
        <v>44</v>
      </c>
      <c r="B847" s="2" t="s">
        <v>45</v>
      </c>
      <c r="C847" s="2" t="s">
        <v>38</v>
      </c>
      <c r="D847" s="2" t="s">
        <v>39</v>
      </c>
      <c r="E847" s="3" t="n">
        <v>45992</v>
      </c>
      <c r="F847" s="2" t="n">
        <v>28</v>
      </c>
      <c r="G847" s="4" t="n">
        <v>129.99</v>
      </c>
      <c r="H847" s="4" t="n">
        <v>75.46</v>
      </c>
      <c r="I847" s="4" t="n">
        <f aca="false">F847*G847</f>
        <v>3639.72</v>
      </c>
      <c r="J847" s="4" t="n">
        <f aca="false">F847*H847</f>
        <v>2112.88</v>
      </c>
      <c r="K847" s="4" t="n">
        <f aca="false">I847-J847</f>
        <v>1526.84</v>
      </c>
      <c r="L847" s="5" t="n">
        <f aca="false">IFERROR(K847/I847,0)</f>
        <v>0.41949380721594</v>
      </c>
    </row>
    <row r="848" customFormat="false" ht="15" hidden="false" customHeight="false" outlineLevel="0" collapsed="false">
      <c r="A848" s="2" t="s">
        <v>44</v>
      </c>
      <c r="B848" s="2" t="s">
        <v>45</v>
      </c>
      <c r="C848" s="2" t="s">
        <v>38</v>
      </c>
      <c r="D848" s="2" t="s">
        <v>40</v>
      </c>
      <c r="E848" s="3" t="n">
        <v>45992</v>
      </c>
      <c r="F848" s="2" t="n">
        <v>24</v>
      </c>
      <c r="G848" s="4" t="n">
        <v>74.99</v>
      </c>
      <c r="H848" s="4" t="n">
        <v>40.13</v>
      </c>
      <c r="I848" s="4" t="n">
        <f aca="false">F848*G848</f>
        <v>1799.76</v>
      </c>
      <c r="J848" s="4" t="n">
        <f aca="false">F848*H848</f>
        <v>963.12</v>
      </c>
      <c r="K848" s="4" t="n">
        <f aca="false">I848-J848</f>
        <v>836.64</v>
      </c>
      <c r="L848" s="5" t="n">
        <f aca="false">IFERROR(K848/I848,0)</f>
        <v>0.464861981597546</v>
      </c>
    </row>
    <row r="849" customFormat="false" ht="15" hidden="false" customHeight="false" outlineLevel="0" collapsed="false">
      <c r="A849" s="2" t="s">
        <v>44</v>
      </c>
      <c r="B849" s="2" t="s">
        <v>45</v>
      </c>
      <c r="C849" s="2" t="s">
        <v>38</v>
      </c>
      <c r="D849" s="2" t="s">
        <v>41</v>
      </c>
      <c r="E849" s="3" t="n">
        <v>45992</v>
      </c>
      <c r="F849" s="2" t="n">
        <v>9</v>
      </c>
      <c r="G849" s="4" t="n">
        <v>19.99</v>
      </c>
      <c r="H849" s="4" t="n">
        <v>9.39</v>
      </c>
      <c r="I849" s="4" t="n">
        <f aca="false">F849*G849</f>
        <v>179.91</v>
      </c>
      <c r="J849" s="4" t="n">
        <f aca="false">F849*H849</f>
        <v>84.51</v>
      </c>
      <c r="K849" s="4" t="n">
        <f aca="false">I849-J849</f>
        <v>95.4</v>
      </c>
      <c r="L849" s="5" t="n">
        <f aca="false">IFERROR(K849/I849,0)</f>
        <v>0.530265132566283</v>
      </c>
    </row>
    <row r="850" customFormat="false" ht="15" hidden="false" customHeight="false" outlineLevel="0" collapsed="false">
      <c r="A850" s="2" t="s">
        <v>44</v>
      </c>
      <c r="B850" s="2" t="s">
        <v>45</v>
      </c>
      <c r="C850" s="2" t="s">
        <v>38</v>
      </c>
      <c r="D850" s="2" t="s">
        <v>42</v>
      </c>
      <c r="E850" s="3" t="n">
        <v>45992</v>
      </c>
      <c r="F850" s="2" t="n">
        <v>24</v>
      </c>
      <c r="G850" s="4" t="n">
        <v>16.99</v>
      </c>
      <c r="H850" s="4" t="n">
        <v>8.53</v>
      </c>
      <c r="I850" s="4" t="n">
        <f aca="false">F850*G850</f>
        <v>407.76</v>
      </c>
      <c r="J850" s="4" t="n">
        <f aca="false">F850*H850</f>
        <v>204.72</v>
      </c>
      <c r="K850" s="4" t="n">
        <f aca="false">I850-J850</f>
        <v>203.04</v>
      </c>
      <c r="L850" s="5" t="n">
        <f aca="false">IFERROR(K850/I850,0)</f>
        <v>0.497939964685109</v>
      </c>
    </row>
    <row r="851" customFormat="false" ht="15" hidden="false" customHeight="false" outlineLevel="0" collapsed="false">
      <c r="A851" s="2" t="s">
        <v>44</v>
      </c>
      <c r="B851" s="2" t="s">
        <v>45</v>
      </c>
      <c r="C851" s="2" t="s">
        <v>38</v>
      </c>
      <c r="D851" s="2" t="s">
        <v>43</v>
      </c>
      <c r="E851" s="3" t="n">
        <v>45992</v>
      </c>
      <c r="F851" s="2" t="n">
        <v>18</v>
      </c>
      <c r="G851" s="4" t="n">
        <v>24.99</v>
      </c>
      <c r="H851" s="4" t="n">
        <v>13.15</v>
      </c>
      <c r="I851" s="4" t="n">
        <f aca="false">F851*G851</f>
        <v>449.82</v>
      </c>
      <c r="J851" s="4" t="n">
        <f aca="false">F851*H851</f>
        <v>236.7</v>
      </c>
      <c r="K851" s="4" t="n">
        <f aca="false">I851-J851</f>
        <v>213.12</v>
      </c>
      <c r="L851" s="5" t="n">
        <f aca="false">IFERROR(K851/I851,0)</f>
        <v>0.473789515806323</v>
      </c>
    </row>
    <row r="852" customFormat="false" ht="15" hidden="false" customHeight="false" outlineLevel="0" collapsed="false">
      <c r="A852" s="2" t="s">
        <v>44</v>
      </c>
      <c r="B852" s="2" t="s">
        <v>46</v>
      </c>
      <c r="C852" s="2" t="s">
        <v>14</v>
      </c>
      <c r="D852" s="2" t="s">
        <v>15</v>
      </c>
      <c r="E852" s="3" t="n">
        <v>45992</v>
      </c>
      <c r="F852" s="2" t="n">
        <v>9</v>
      </c>
      <c r="G852" s="4" t="n">
        <v>69.99</v>
      </c>
      <c r="H852" s="4" t="n">
        <v>33.35</v>
      </c>
      <c r="I852" s="4" t="n">
        <f aca="false">F852*G852</f>
        <v>629.91</v>
      </c>
      <c r="J852" s="4" t="n">
        <f aca="false">F852*H852</f>
        <v>300.15</v>
      </c>
      <c r="K852" s="4" t="n">
        <f aca="false">I852-J852</f>
        <v>329.76</v>
      </c>
      <c r="L852" s="5" t="n">
        <f aca="false">IFERROR(K852/I852,0)</f>
        <v>0.523503357622517</v>
      </c>
    </row>
    <row r="853" customFormat="false" ht="15" hidden="false" customHeight="false" outlineLevel="0" collapsed="false">
      <c r="A853" s="2" t="s">
        <v>44</v>
      </c>
      <c r="B853" s="2" t="s">
        <v>46</v>
      </c>
      <c r="C853" s="2" t="s">
        <v>14</v>
      </c>
      <c r="D853" s="2" t="s">
        <v>16</v>
      </c>
      <c r="E853" s="3" t="n">
        <v>45992</v>
      </c>
      <c r="F853" s="2" t="n">
        <v>11</v>
      </c>
      <c r="G853" s="4" t="n">
        <v>19.99</v>
      </c>
      <c r="H853" s="4" t="n">
        <v>9.11</v>
      </c>
      <c r="I853" s="4" t="n">
        <f aca="false">F853*G853</f>
        <v>219.89</v>
      </c>
      <c r="J853" s="4" t="n">
        <f aca="false">F853*H853</f>
        <v>100.21</v>
      </c>
      <c r="K853" s="4" t="n">
        <f aca="false">I853-J853</f>
        <v>119.68</v>
      </c>
      <c r="L853" s="5" t="n">
        <f aca="false">IFERROR(K853/I853,0)</f>
        <v>0.544272136068034</v>
      </c>
    </row>
    <row r="854" customFormat="false" ht="15" hidden="false" customHeight="false" outlineLevel="0" collapsed="false">
      <c r="A854" s="2" t="s">
        <v>44</v>
      </c>
      <c r="B854" s="2" t="s">
        <v>46</v>
      </c>
      <c r="C854" s="2" t="s">
        <v>14</v>
      </c>
      <c r="D854" s="2" t="s">
        <v>17</v>
      </c>
      <c r="E854" s="3" t="n">
        <v>45992</v>
      </c>
      <c r="F854" s="2" t="n">
        <v>8</v>
      </c>
      <c r="G854" s="4" t="n">
        <v>79.99</v>
      </c>
      <c r="H854" s="4" t="n">
        <v>40.16</v>
      </c>
      <c r="I854" s="4" t="n">
        <f aca="false">F854*G854</f>
        <v>639.92</v>
      </c>
      <c r="J854" s="4" t="n">
        <f aca="false">F854*H854</f>
        <v>321.28</v>
      </c>
      <c r="K854" s="4" t="n">
        <f aca="false">I854-J854</f>
        <v>318.64</v>
      </c>
      <c r="L854" s="5" t="n">
        <f aca="false">IFERROR(K854/I854,0)</f>
        <v>0.497937242155269</v>
      </c>
    </row>
    <row r="855" customFormat="false" ht="15" hidden="false" customHeight="false" outlineLevel="0" collapsed="false">
      <c r="A855" s="2" t="s">
        <v>44</v>
      </c>
      <c r="B855" s="2" t="s">
        <v>46</v>
      </c>
      <c r="C855" s="2" t="s">
        <v>14</v>
      </c>
      <c r="D855" s="2" t="s">
        <v>18</v>
      </c>
      <c r="E855" s="3" t="n">
        <v>45992</v>
      </c>
      <c r="F855" s="2" t="n">
        <v>11</v>
      </c>
      <c r="G855" s="4" t="n">
        <v>34.99</v>
      </c>
      <c r="H855" s="4" t="n">
        <v>14.64</v>
      </c>
      <c r="I855" s="4" t="n">
        <f aca="false">F855*G855</f>
        <v>384.89</v>
      </c>
      <c r="J855" s="4" t="n">
        <f aca="false">F855*H855</f>
        <v>161.04</v>
      </c>
      <c r="K855" s="4" t="n">
        <f aca="false">I855-J855</f>
        <v>223.85</v>
      </c>
      <c r="L855" s="5" t="n">
        <f aca="false">IFERROR(K855/I855,0)</f>
        <v>0.581594741354673</v>
      </c>
    </row>
    <row r="856" customFormat="false" ht="15" hidden="false" customHeight="false" outlineLevel="0" collapsed="false">
      <c r="A856" s="2" t="s">
        <v>44</v>
      </c>
      <c r="B856" s="2" t="s">
        <v>46</v>
      </c>
      <c r="C856" s="2" t="s">
        <v>14</v>
      </c>
      <c r="D856" s="2" t="s">
        <v>19</v>
      </c>
      <c r="E856" s="3" t="n">
        <v>45992</v>
      </c>
      <c r="F856" s="2" t="n">
        <v>13</v>
      </c>
      <c r="G856" s="4" t="n">
        <v>54.99</v>
      </c>
      <c r="H856" s="4" t="n">
        <v>24.28</v>
      </c>
      <c r="I856" s="4" t="n">
        <f aca="false">F856*G856</f>
        <v>714.87</v>
      </c>
      <c r="J856" s="4" t="n">
        <f aca="false">F856*H856</f>
        <v>315.64</v>
      </c>
      <c r="K856" s="4" t="n">
        <f aca="false">I856-J856</f>
        <v>399.23</v>
      </c>
      <c r="L856" s="5" t="n">
        <f aca="false">IFERROR(K856/I856,0)</f>
        <v>0.558465175486452</v>
      </c>
    </row>
    <row r="857" customFormat="false" ht="15" hidden="false" customHeight="false" outlineLevel="0" collapsed="false">
      <c r="A857" s="2" t="s">
        <v>44</v>
      </c>
      <c r="B857" s="2" t="s">
        <v>46</v>
      </c>
      <c r="C857" s="2" t="s">
        <v>20</v>
      </c>
      <c r="D857" s="2" t="s">
        <v>21</v>
      </c>
      <c r="E857" s="3" t="n">
        <v>45992</v>
      </c>
      <c r="F857" s="2" t="n">
        <v>9</v>
      </c>
      <c r="G857" s="4" t="n">
        <v>44.99</v>
      </c>
      <c r="H857" s="4" t="n">
        <v>20.11</v>
      </c>
      <c r="I857" s="4" t="n">
        <f aca="false">F857*G857</f>
        <v>404.91</v>
      </c>
      <c r="J857" s="4" t="n">
        <f aca="false">F857*H857</f>
        <v>180.99</v>
      </c>
      <c r="K857" s="4" t="n">
        <f aca="false">I857-J857</f>
        <v>223.92</v>
      </c>
      <c r="L857" s="5" t="n">
        <f aca="false">IFERROR(K857/I857,0)</f>
        <v>0.553011780395644</v>
      </c>
    </row>
    <row r="858" customFormat="false" ht="15" hidden="false" customHeight="false" outlineLevel="0" collapsed="false">
      <c r="A858" s="2" t="s">
        <v>44</v>
      </c>
      <c r="B858" s="2" t="s">
        <v>46</v>
      </c>
      <c r="C858" s="2" t="s">
        <v>20</v>
      </c>
      <c r="D858" s="2" t="s">
        <v>22</v>
      </c>
      <c r="E858" s="3" t="n">
        <v>45992</v>
      </c>
      <c r="F858" s="2" t="n">
        <v>8</v>
      </c>
      <c r="G858" s="4" t="n">
        <v>14.99</v>
      </c>
      <c r="H858" s="4" t="n">
        <v>5.65</v>
      </c>
      <c r="I858" s="4" t="n">
        <f aca="false">F858*G858</f>
        <v>119.92</v>
      </c>
      <c r="J858" s="4" t="n">
        <f aca="false">F858*H858</f>
        <v>45.2</v>
      </c>
      <c r="K858" s="4" t="n">
        <f aca="false">I858-J858</f>
        <v>74.72</v>
      </c>
      <c r="L858" s="5" t="n">
        <f aca="false">IFERROR(K858/I858,0)</f>
        <v>0.623082054703135</v>
      </c>
    </row>
    <row r="859" customFormat="false" ht="15" hidden="false" customHeight="false" outlineLevel="0" collapsed="false">
      <c r="A859" s="2" t="s">
        <v>44</v>
      </c>
      <c r="B859" s="2" t="s">
        <v>46</v>
      </c>
      <c r="C859" s="2" t="s">
        <v>20</v>
      </c>
      <c r="D859" s="2" t="s">
        <v>23</v>
      </c>
      <c r="E859" s="3" t="n">
        <v>45992</v>
      </c>
      <c r="F859" s="2" t="n">
        <v>11</v>
      </c>
      <c r="G859" s="4" t="n">
        <v>39.99</v>
      </c>
      <c r="H859" s="4" t="n">
        <v>16.5</v>
      </c>
      <c r="I859" s="4" t="n">
        <f aca="false">F859*G859</f>
        <v>439.89</v>
      </c>
      <c r="J859" s="4" t="n">
        <f aca="false">F859*H859</f>
        <v>181.5</v>
      </c>
      <c r="K859" s="4" t="n">
        <f aca="false">I859-J859</f>
        <v>258.39</v>
      </c>
      <c r="L859" s="5" t="n">
        <f aca="false">IFERROR(K859/I859,0)</f>
        <v>0.587396849212303</v>
      </c>
    </row>
    <row r="860" customFormat="false" ht="15" hidden="false" customHeight="false" outlineLevel="0" collapsed="false">
      <c r="A860" s="2" t="s">
        <v>44</v>
      </c>
      <c r="B860" s="2" t="s">
        <v>46</v>
      </c>
      <c r="C860" s="2" t="s">
        <v>20</v>
      </c>
      <c r="D860" s="2" t="s">
        <v>24</v>
      </c>
      <c r="E860" s="3" t="n">
        <v>45992</v>
      </c>
      <c r="F860" s="2" t="n">
        <v>15</v>
      </c>
      <c r="G860" s="4" t="n">
        <v>18.99</v>
      </c>
      <c r="H860" s="4" t="n">
        <v>7.47</v>
      </c>
      <c r="I860" s="4" t="n">
        <f aca="false">F860*G860</f>
        <v>284.85</v>
      </c>
      <c r="J860" s="4" t="n">
        <f aca="false">F860*H860</f>
        <v>112.05</v>
      </c>
      <c r="K860" s="4" t="n">
        <f aca="false">I860-J860</f>
        <v>172.8</v>
      </c>
      <c r="L860" s="5" t="n">
        <f aca="false">IFERROR(K860/I860,0)</f>
        <v>0.606635071090047</v>
      </c>
    </row>
    <row r="861" customFormat="false" ht="15" hidden="false" customHeight="false" outlineLevel="0" collapsed="false">
      <c r="A861" s="2" t="s">
        <v>44</v>
      </c>
      <c r="B861" s="2" t="s">
        <v>46</v>
      </c>
      <c r="C861" s="2" t="s">
        <v>20</v>
      </c>
      <c r="D861" s="2" t="s">
        <v>25</v>
      </c>
      <c r="E861" s="3" t="n">
        <v>45992</v>
      </c>
      <c r="F861" s="2" t="n">
        <v>11</v>
      </c>
      <c r="G861" s="4" t="n">
        <v>42.99</v>
      </c>
      <c r="H861" s="4" t="n">
        <v>15.62</v>
      </c>
      <c r="I861" s="4" t="n">
        <f aca="false">F861*G861</f>
        <v>472.89</v>
      </c>
      <c r="J861" s="4" t="n">
        <f aca="false">F861*H861</f>
        <v>171.82</v>
      </c>
      <c r="K861" s="4" t="n">
        <f aca="false">I861-J861</f>
        <v>301.07</v>
      </c>
      <c r="L861" s="5" t="n">
        <f aca="false">IFERROR(K861/I861,0)</f>
        <v>0.636659688299605</v>
      </c>
    </row>
    <row r="862" customFormat="false" ht="15" hidden="false" customHeight="false" outlineLevel="0" collapsed="false">
      <c r="A862" s="2" t="s">
        <v>44</v>
      </c>
      <c r="B862" s="2" t="s">
        <v>46</v>
      </c>
      <c r="C862" s="2" t="s">
        <v>26</v>
      </c>
      <c r="D862" s="2" t="s">
        <v>27</v>
      </c>
      <c r="E862" s="3" t="n">
        <v>45992</v>
      </c>
      <c r="F862" s="2" t="n">
        <v>24</v>
      </c>
      <c r="G862" s="4" t="n">
        <v>44.99</v>
      </c>
      <c r="H862" s="4" t="n">
        <v>27.52</v>
      </c>
      <c r="I862" s="4" t="n">
        <f aca="false">F862*G862</f>
        <v>1079.76</v>
      </c>
      <c r="J862" s="4" t="n">
        <f aca="false">F862*H862</f>
        <v>660.48</v>
      </c>
      <c r="K862" s="4" t="n">
        <f aca="false">I862-J862</f>
        <v>419.28</v>
      </c>
      <c r="L862" s="5" t="n">
        <f aca="false">IFERROR(K862/I862,0)</f>
        <v>0.38830851300289</v>
      </c>
    </row>
    <row r="863" customFormat="false" ht="15" hidden="false" customHeight="false" outlineLevel="0" collapsed="false">
      <c r="A863" s="2" t="s">
        <v>44</v>
      </c>
      <c r="B863" s="2" t="s">
        <v>46</v>
      </c>
      <c r="C863" s="2" t="s">
        <v>26</v>
      </c>
      <c r="D863" s="2" t="s">
        <v>28</v>
      </c>
      <c r="E863" s="3" t="n">
        <v>45992</v>
      </c>
      <c r="F863" s="2" t="n">
        <v>28</v>
      </c>
      <c r="G863" s="4" t="n">
        <v>34.99</v>
      </c>
      <c r="H863" s="4" t="n">
        <v>22.21</v>
      </c>
      <c r="I863" s="4" t="n">
        <f aca="false">F863*G863</f>
        <v>979.72</v>
      </c>
      <c r="J863" s="4" t="n">
        <f aca="false">F863*H863</f>
        <v>621.88</v>
      </c>
      <c r="K863" s="4" t="n">
        <f aca="false">I863-J863</f>
        <v>357.84</v>
      </c>
      <c r="L863" s="5" t="n">
        <f aca="false">IFERROR(K863/I863,0)</f>
        <v>0.365247213489568</v>
      </c>
    </row>
    <row r="864" customFormat="false" ht="15" hidden="false" customHeight="false" outlineLevel="0" collapsed="false">
      <c r="A864" s="2" t="s">
        <v>44</v>
      </c>
      <c r="B864" s="2" t="s">
        <v>46</v>
      </c>
      <c r="C864" s="2" t="s">
        <v>26</v>
      </c>
      <c r="D864" s="2" t="s">
        <v>29</v>
      </c>
      <c r="E864" s="3" t="n">
        <v>45992</v>
      </c>
      <c r="F864" s="2" t="n">
        <v>32</v>
      </c>
      <c r="G864" s="4" t="n">
        <v>119.99</v>
      </c>
      <c r="H864" s="4" t="n">
        <v>82.27</v>
      </c>
      <c r="I864" s="4" t="n">
        <f aca="false">F864*G864</f>
        <v>3839.68</v>
      </c>
      <c r="J864" s="4" t="n">
        <f aca="false">F864*H864</f>
        <v>2632.64</v>
      </c>
      <c r="K864" s="4" t="n">
        <f aca="false">I864-J864</f>
        <v>1207.04</v>
      </c>
      <c r="L864" s="5" t="n">
        <f aca="false">IFERROR(K864/I864,0)</f>
        <v>0.31435952996083</v>
      </c>
    </row>
    <row r="865" customFormat="false" ht="15" hidden="false" customHeight="false" outlineLevel="0" collapsed="false">
      <c r="A865" s="2" t="s">
        <v>44</v>
      </c>
      <c r="B865" s="2" t="s">
        <v>46</v>
      </c>
      <c r="C865" s="2" t="s">
        <v>26</v>
      </c>
      <c r="D865" s="2" t="s">
        <v>30</v>
      </c>
      <c r="E865" s="3" t="n">
        <v>45992</v>
      </c>
      <c r="F865" s="2" t="n">
        <v>26</v>
      </c>
      <c r="G865" s="4" t="n">
        <v>24.99</v>
      </c>
      <c r="H865" s="4" t="n">
        <v>15.42</v>
      </c>
      <c r="I865" s="4" t="n">
        <f aca="false">F865*G865</f>
        <v>649.74</v>
      </c>
      <c r="J865" s="4" t="n">
        <f aca="false">F865*H865</f>
        <v>400.92</v>
      </c>
      <c r="K865" s="4" t="n">
        <f aca="false">I865-J865</f>
        <v>248.82</v>
      </c>
      <c r="L865" s="5" t="n">
        <f aca="false">IFERROR(K865/I865,0)</f>
        <v>0.382953181272509</v>
      </c>
    </row>
    <row r="866" customFormat="false" ht="15" hidden="false" customHeight="false" outlineLevel="0" collapsed="false">
      <c r="A866" s="2" t="s">
        <v>44</v>
      </c>
      <c r="B866" s="2" t="s">
        <v>46</v>
      </c>
      <c r="C866" s="2" t="s">
        <v>26</v>
      </c>
      <c r="D866" s="2" t="s">
        <v>31</v>
      </c>
      <c r="E866" s="3" t="n">
        <v>45992</v>
      </c>
      <c r="F866" s="2" t="n">
        <v>22</v>
      </c>
      <c r="G866" s="4" t="n">
        <v>59.99</v>
      </c>
      <c r="H866" s="4" t="n">
        <v>38.9</v>
      </c>
      <c r="I866" s="4" t="n">
        <f aca="false">F866*G866</f>
        <v>1319.78</v>
      </c>
      <c r="J866" s="4" t="n">
        <f aca="false">F866*H866</f>
        <v>855.8</v>
      </c>
      <c r="K866" s="4" t="n">
        <f aca="false">I866-J866</f>
        <v>463.98</v>
      </c>
      <c r="L866" s="5" t="n">
        <f aca="false">IFERROR(K866/I866,0)</f>
        <v>0.35155859309885</v>
      </c>
    </row>
    <row r="867" customFormat="false" ht="15" hidden="false" customHeight="false" outlineLevel="0" collapsed="false">
      <c r="A867" s="2" t="s">
        <v>44</v>
      </c>
      <c r="B867" s="2" t="s">
        <v>46</v>
      </c>
      <c r="C867" s="2" t="s">
        <v>32</v>
      </c>
      <c r="D867" s="2" t="s">
        <v>33</v>
      </c>
      <c r="E867" s="3" t="n">
        <v>45992</v>
      </c>
      <c r="F867" s="2" t="n">
        <v>16</v>
      </c>
      <c r="G867" s="4" t="n">
        <v>49.99</v>
      </c>
      <c r="H867" s="4" t="n">
        <v>36.31</v>
      </c>
      <c r="I867" s="4" t="n">
        <f aca="false">F867*G867</f>
        <v>799.84</v>
      </c>
      <c r="J867" s="4" t="n">
        <f aca="false">F867*H867</f>
        <v>580.96</v>
      </c>
      <c r="K867" s="4" t="n">
        <f aca="false">I867-J867</f>
        <v>218.88</v>
      </c>
      <c r="L867" s="5" t="n">
        <f aca="false">IFERROR(K867/I867,0)</f>
        <v>0.273654730946189</v>
      </c>
    </row>
    <row r="868" customFormat="false" ht="15" hidden="false" customHeight="false" outlineLevel="0" collapsed="false">
      <c r="A868" s="2" t="s">
        <v>44</v>
      </c>
      <c r="B868" s="2" t="s">
        <v>46</v>
      </c>
      <c r="C868" s="2" t="s">
        <v>32</v>
      </c>
      <c r="D868" s="2" t="s">
        <v>34</v>
      </c>
      <c r="E868" s="3" t="n">
        <v>45992</v>
      </c>
      <c r="F868" s="2" t="n">
        <v>12</v>
      </c>
      <c r="G868" s="4" t="n">
        <v>27.99</v>
      </c>
      <c r="H868" s="4" t="n">
        <v>19.66</v>
      </c>
      <c r="I868" s="4" t="n">
        <f aca="false">F868*G868</f>
        <v>335.88</v>
      </c>
      <c r="J868" s="4" t="n">
        <f aca="false">F868*H868</f>
        <v>235.92</v>
      </c>
      <c r="K868" s="4" t="n">
        <f aca="false">I868-J868</f>
        <v>99.96</v>
      </c>
      <c r="L868" s="5" t="n">
        <f aca="false">IFERROR(K868/I868,0)</f>
        <v>0.297606287959986</v>
      </c>
    </row>
    <row r="869" customFormat="false" ht="15" hidden="false" customHeight="false" outlineLevel="0" collapsed="false">
      <c r="A869" s="2" t="s">
        <v>44</v>
      </c>
      <c r="B869" s="2" t="s">
        <v>46</v>
      </c>
      <c r="C869" s="2" t="s">
        <v>32</v>
      </c>
      <c r="D869" s="2" t="s">
        <v>35</v>
      </c>
      <c r="E869" s="3" t="n">
        <v>45992</v>
      </c>
      <c r="F869" s="2" t="n">
        <v>16</v>
      </c>
      <c r="G869" s="4" t="n">
        <v>64.99</v>
      </c>
      <c r="H869" s="4" t="n">
        <v>46.7</v>
      </c>
      <c r="I869" s="4" t="n">
        <f aca="false">F869*G869</f>
        <v>1039.84</v>
      </c>
      <c r="J869" s="4" t="n">
        <f aca="false">F869*H869</f>
        <v>747.2</v>
      </c>
      <c r="K869" s="4" t="n">
        <f aca="false">I869-J869</f>
        <v>292.64</v>
      </c>
      <c r="L869" s="5" t="n">
        <f aca="false">IFERROR(K869/I869,0)</f>
        <v>0.281427911986459</v>
      </c>
    </row>
    <row r="870" customFormat="false" ht="15" hidden="false" customHeight="false" outlineLevel="0" collapsed="false">
      <c r="A870" s="2" t="s">
        <v>44</v>
      </c>
      <c r="B870" s="2" t="s">
        <v>46</v>
      </c>
      <c r="C870" s="2" t="s">
        <v>32</v>
      </c>
      <c r="D870" s="2" t="s">
        <v>36</v>
      </c>
      <c r="E870" s="3" t="n">
        <v>45992</v>
      </c>
      <c r="F870" s="2" t="n">
        <v>7</v>
      </c>
      <c r="G870" s="4" t="n">
        <v>22.99</v>
      </c>
      <c r="H870" s="4" t="n">
        <v>16.66</v>
      </c>
      <c r="I870" s="4" t="n">
        <f aca="false">F870*G870</f>
        <v>160.93</v>
      </c>
      <c r="J870" s="4" t="n">
        <f aca="false">F870*H870</f>
        <v>116.62</v>
      </c>
      <c r="K870" s="4" t="n">
        <f aca="false">I870-J870</f>
        <v>44.31</v>
      </c>
      <c r="L870" s="5" t="n">
        <f aca="false">IFERROR(K870/I870,0)</f>
        <v>0.275337103088299</v>
      </c>
    </row>
    <row r="871" customFormat="false" ht="15" hidden="false" customHeight="false" outlineLevel="0" collapsed="false">
      <c r="A871" s="2" t="s">
        <v>44</v>
      </c>
      <c r="B871" s="2" t="s">
        <v>46</v>
      </c>
      <c r="C871" s="2" t="s">
        <v>32</v>
      </c>
      <c r="D871" s="2" t="s">
        <v>37</v>
      </c>
      <c r="E871" s="3" t="n">
        <v>45992</v>
      </c>
      <c r="F871" s="2" t="n">
        <v>16</v>
      </c>
      <c r="G871" s="4" t="n">
        <v>29.99</v>
      </c>
      <c r="H871" s="4" t="n">
        <v>19.84</v>
      </c>
      <c r="I871" s="4" t="n">
        <f aca="false">F871*G871</f>
        <v>479.84</v>
      </c>
      <c r="J871" s="4" t="n">
        <f aca="false">F871*H871</f>
        <v>317.44</v>
      </c>
      <c r="K871" s="4" t="n">
        <f aca="false">I871-J871</f>
        <v>162.4</v>
      </c>
      <c r="L871" s="5" t="n">
        <f aca="false">IFERROR(K871/I871,0)</f>
        <v>0.338446148716239</v>
      </c>
    </row>
    <row r="872" customFormat="false" ht="15" hidden="false" customHeight="false" outlineLevel="0" collapsed="false">
      <c r="A872" s="2" t="s">
        <v>44</v>
      </c>
      <c r="B872" s="2" t="s">
        <v>46</v>
      </c>
      <c r="C872" s="2" t="s">
        <v>38</v>
      </c>
      <c r="D872" s="2" t="s">
        <v>39</v>
      </c>
      <c r="E872" s="3" t="n">
        <v>45992</v>
      </c>
      <c r="F872" s="2" t="n">
        <v>15</v>
      </c>
      <c r="G872" s="4" t="n">
        <v>129.99</v>
      </c>
      <c r="H872" s="4" t="n">
        <v>75.34</v>
      </c>
      <c r="I872" s="4" t="n">
        <f aca="false">F872*G872</f>
        <v>1949.85</v>
      </c>
      <c r="J872" s="4" t="n">
        <f aca="false">F872*H872</f>
        <v>1130.1</v>
      </c>
      <c r="K872" s="4" t="n">
        <f aca="false">I872-J872</f>
        <v>819.75</v>
      </c>
      <c r="L872" s="5" t="n">
        <f aca="false">IFERROR(K872/I872,0)</f>
        <v>0.420416955150396</v>
      </c>
    </row>
    <row r="873" customFormat="false" ht="15" hidden="false" customHeight="false" outlineLevel="0" collapsed="false">
      <c r="A873" s="2" t="s">
        <v>44</v>
      </c>
      <c r="B873" s="2" t="s">
        <v>46</v>
      </c>
      <c r="C873" s="2" t="s">
        <v>38</v>
      </c>
      <c r="D873" s="2" t="s">
        <v>40</v>
      </c>
      <c r="E873" s="3" t="n">
        <v>45992</v>
      </c>
      <c r="F873" s="2" t="n">
        <v>13</v>
      </c>
      <c r="G873" s="4" t="n">
        <v>74.99</v>
      </c>
      <c r="H873" s="4" t="n">
        <v>41.98</v>
      </c>
      <c r="I873" s="4" t="n">
        <f aca="false">F873*G873</f>
        <v>974.87</v>
      </c>
      <c r="J873" s="4" t="n">
        <f aca="false">F873*H873</f>
        <v>545.74</v>
      </c>
      <c r="K873" s="4" t="n">
        <f aca="false">I873-J873</f>
        <v>429.13</v>
      </c>
      <c r="L873" s="5" t="n">
        <f aca="false">IFERROR(K873/I873,0)</f>
        <v>0.440192025603414</v>
      </c>
    </row>
    <row r="874" customFormat="false" ht="15" hidden="false" customHeight="false" outlineLevel="0" collapsed="false">
      <c r="A874" s="2" t="s">
        <v>44</v>
      </c>
      <c r="B874" s="2" t="s">
        <v>46</v>
      </c>
      <c r="C874" s="2" t="s">
        <v>38</v>
      </c>
      <c r="D874" s="2" t="s">
        <v>41</v>
      </c>
      <c r="E874" s="3" t="n">
        <v>45992</v>
      </c>
      <c r="F874" s="2" t="n">
        <v>6</v>
      </c>
      <c r="G874" s="4" t="n">
        <v>19.99</v>
      </c>
      <c r="H874" s="4" t="n">
        <v>9.53</v>
      </c>
      <c r="I874" s="4" t="n">
        <f aca="false">F874*G874</f>
        <v>119.94</v>
      </c>
      <c r="J874" s="4" t="n">
        <f aca="false">F874*H874</f>
        <v>57.18</v>
      </c>
      <c r="K874" s="4" t="n">
        <f aca="false">I874-J874</f>
        <v>62.76</v>
      </c>
      <c r="L874" s="5" t="n">
        <f aca="false">IFERROR(K874/I874,0)</f>
        <v>0.523261630815408</v>
      </c>
    </row>
    <row r="875" customFormat="false" ht="15" hidden="false" customHeight="false" outlineLevel="0" collapsed="false">
      <c r="A875" s="2" t="s">
        <v>44</v>
      </c>
      <c r="B875" s="2" t="s">
        <v>46</v>
      </c>
      <c r="C875" s="2" t="s">
        <v>38</v>
      </c>
      <c r="D875" s="2" t="s">
        <v>42</v>
      </c>
      <c r="E875" s="3" t="n">
        <v>45992</v>
      </c>
      <c r="F875" s="2" t="n">
        <v>10</v>
      </c>
      <c r="G875" s="4" t="n">
        <v>16.99</v>
      </c>
      <c r="H875" s="4" t="n">
        <v>8.5</v>
      </c>
      <c r="I875" s="4" t="n">
        <f aca="false">F875*G875</f>
        <v>169.9</v>
      </c>
      <c r="J875" s="4" t="n">
        <f aca="false">F875*H875</f>
        <v>85</v>
      </c>
      <c r="K875" s="4" t="n">
        <f aca="false">I875-J875</f>
        <v>84.9</v>
      </c>
      <c r="L875" s="5" t="n">
        <f aca="false">IFERROR(K875/I875,0)</f>
        <v>0.49970570924073</v>
      </c>
    </row>
    <row r="876" customFormat="false" ht="15" hidden="false" customHeight="false" outlineLevel="0" collapsed="false">
      <c r="A876" s="2" t="s">
        <v>44</v>
      </c>
      <c r="B876" s="2" t="s">
        <v>46</v>
      </c>
      <c r="C876" s="2" t="s">
        <v>38</v>
      </c>
      <c r="D876" s="2" t="s">
        <v>43</v>
      </c>
      <c r="E876" s="3" t="n">
        <v>45992</v>
      </c>
      <c r="F876" s="2" t="n">
        <v>11</v>
      </c>
      <c r="G876" s="4" t="n">
        <v>24.99</v>
      </c>
      <c r="H876" s="4" t="n">
        <v>13.01</v>
      </c>
      <c r="I876" s="4" t="n">
        <f aca="false">F876*G876</f>
        <v>274.89</v>
      </c>
      <c r="J876" s="4" t="n">
        <f aca="false">F876*H876</f>
        <v>143.11</v>
      </c>
      <c r="K876" s="4" t="n">
        <f aca="false">I876-J876</f>
        <v>131.78</v>
      </c>
      <c r="L876" s="5" t="n">
        <f aca="false">IFERROR(K876/I876,0)</f>
        <v>0.479391756702681</v>
      </c>
    </row>
    <row r="877" customFormat="false" ht="15" hidden="false" customHeight="false" outlineLevel="0" collapsed="false">
      <c r="A877" s="2" t="s">
        <v>47</v>
      </c>
      <c r="B877" s="2" t="s">
        <v>48</v>
      </c>
      <c r="C877" s="2" t="s">
        <v>14</v>
      </c>
      <c r="D877" s="2" t="s">
        <v>15</v>
      </c>
      <c r="E877" s="3" t="n">
        <v>45992</v>
      </c>
      <c r="F877" s="2" t="n">
        <v>12</v>
      </c>
      <c r="G877" s="4" t="n">
        <v>69.99</v>
      </c>
      <c r="H877" s="4" t="n">
        <v>33.15</v>
      </c>
      <c r="I877" s="4" t="n">
        <f aca="false">F877*G877</f>
        <v>839.88</v>
      </c>
      <c r="J877" s="4" t="n">
        <f aca="false">F877*H877</f>
        <v>397.8</v>
      </c>
      <c r="K877" s="4" t="n">
        <f aca="false">I877-J877</f>
        <v>442.08</v>
      </c>
      <c r="L877" s="5" t="n">
        <f aca="false">IFERROR(K877/I877,0)</f>
        <v>0.526360908701243</v>
      </c>
    </row>
    <row r="878" customFormat="false" ht="15" hidden="false" customHeight="false" outlineLevel="0" collapsed="false">
      <c r="A878" s="2" t="s">
        <v>47</v>
      </c>
      <c r="B878" s="2" t="s">
        <v>48</v>
      </c>
      <c r="C878" s="2" t="s">
        <v>14</v>
      </c>
      <c r="D878" s="2" t="s">
        <v>16</v>
      </c>
      <c r="E878" s="3" t="n">
        <v>45992</v>
      </c>
      <c r="F878" s="2" t="n">
        <v>9</v>
      </c>
      <c r="G878" s="4" t="n">
        <v>19.99</v>
      </c>
      <c r="H878" s="4" t="n">
        <v>9.05</v>
      </c>
      <c r="I878" s="4" t="n">
        <f aca="false">F878*G878</f>
        <v>179.91</v>
      </c>
      <c r="J878" s="4" t="n">
        <f aca="false">F878*H878</f>
        <v>81.45</v>
      </c>
      <c r="K878" s="4" t="n">
        <f aca="false">I878-J878</f>
        <v>98.46</v>
      </c>
      <c r="L878" s="5" t="n">
        <f aca="false">IFERROR(K878/I878,0)</f>
        <v>0.547273636818409</v>
      </c>
    </row>
    <row r="879" customFormat="false" ht="15" hidden="false" customHeight="false" outlineLevel="0" collapsed="false">
      <c r="A879" s="2" t="s">
        <v>47</v>
      </c>
      <c r="B879" s="2" t="s">
        <v>48</v>
      </c>
      <c r="C879" s="2" t="s">
        <v>14</v>
      </c>
      <c r="D879" s="2" t="s">
        <v>17</v>
      </c>
      <c r="E879" s="3" t="n">
        <v>45992</v>
      </c>
      <c r="F879" s="2" t="n">
        <v>11</v>
      </c>
      <c r="G879" s="4" t="n">
        <v>79.99</v>
      </c>
      <c r="H879" s="4" t="n">
        <v>39.18</v>
      </c>
      <c r="I879" s="4" t="n">
        <f aca="false">F879*G879</f>
        <v>879.89</v>
      </c>
      <c r="J879" s="4" t="n">
        <f aca="false">F879*H879</f>
        <v>430.98</v>
      </c>
      <c r="K879" s="4" t="n">
        <f aca="false">I879-J879</f>
        <v>448.91</v>
      </c>
      <c r="L879" s="5" t="n">
        <f aca="false">IFERROR(K879/I879,0)</f>
        <v>0.5101887735967</v>
      </c>
    </row>
    <row r="880" customFormat="false" ht="15" hidden="false" customHeight="false" outlineLevel="0" collapsed="false">
      <c r="A880" s="2" t="s">
        <v>47</v>
      </c>
      <c r="B880" s="2" t="s">
        <v>48</v>
      </c>
      <c r="C880" s="2" t="s">
        <v>14</v>
      </c>
      <c r="D880" s="2" t="s">
        <v>18</v>
      </c>
      <c r="E880" s="3" t="n">
        <v>45992</v>
      </c>
      <c r="F880" s="2" t="n">
        <v>16</v>
      </c>
      <c r="G880" s="4" t="n">
        <v>34.99</v>
      </c>
      <c r="H880" s="4" t="n">
        <v>14.26</v>
      </c>
      <c r="I880" s="4" t="n">
        <f aca="false">F880*G880</f>
        <v>559.84</v>
      </c>
      <c r="J880" s="4" t="n">
        <f aca="false">F880*H880</f>
        <v>228.16</v>
      </c>
      <c r="K880" s="4" t="n">
        <f aca="false">I880-J880</f>
        <v>331.68</v>
      </c>
      <c r="L880" s="5" t="n">
        <f aca="false">IFERROR(K880/I880,0)</f>
        <v>0.592454987139183</v>
      </c>
    </row>
    <row r="881" customFormat="false" ht="15" hidden="false" customHeight="false" outlineLevel="0" collapsed="false">
      <c r="A881" s="2" t="s">
        <v>47</v>
      </c>
      <c r="B881" s="2" t="s">
        <v>48</v>
      </c>
      <c r="C881" s="2" t="s">
        <v>14</v>
      </c>
      <c r="D881" s="2" t="s">
        <v>19</v>
      </c>
      <c r="E881" s="3" t="n">
        <v>45992</v>
      </c>
      <c r="F881" s="2" t="n">
        <v>17</v>
      </c>
      <c r="G881" s="4" t="n">
        <v>54.99</v>
      </c>
      <c r="H881" s="4" t="n">
        <v>24.28</v>
      </c>
      <c r="I881" s="4" t="n">
        <f aca="false">F881*G881</f>
        <v>934.83</v>
      </c>
      <c r="J881" s="4" t="n">
        <f aca="false">F881*H881</f>
        <v>412.76</v>
      </c>
      <c r="K881" s="4" t="n">
        <f aca="false">I881-J881</f>
        <v>522.07</v>
      </c>
      <c r="L881" s="5" t="n">
        <f aca="false">IFERROR(K881/I881,0)</f>
        <v>0.558465175486452</v>
      </c>
    </row>
    <row r="882" customFormat="false" ht="15" hidden="false" customHeight="false" outlineLevel="0" collapsed="false">
      <c r="A882" s="2" t="s">
        <v>47</v>
      </c>
      <c r="B882" s="2" t="s">
        <v>48</v>
      </c>
      <c r="C882" s="2" t="s">
        <v>20</v>
      </c>
      <c r="D882" s="2" t="s">
        <v>21</v>
      </c>
      <c r="E882" s="3" t="n">
        <v>45992</v>
      </c>
      <c r="F882" s="2" t="n">
        <v>10</v>
      </c>
      <c r="G882" s="4" t="n">
        <v>44.99</v>
      </c>
      <c r="H882" s="4" t="n">
        <v>20.27</v>
      </c>
      <c r="I882" s="4" t="n">
        <f aca="false">F882*G882</f>
        <v>449.9</v>
      </c>
      <c r="J882" s="4" t="n">
        <f aca="false">F882*H882</f>
        <v>202.7</v>
      </c>
      <c r="K882" s="4" t="n">
        <f aca="false">I882-J882</f>
        <v>247.2</v>
      </c>
      <c r="L882" s="5" t="n">
        <f aca="false">IFERROR(K882/I882,0)</f>
        <v>0.549455434541009</v>
      </c>
    </row>
    <row r="883" customFormat="false" ht="15" hidden="false" customHeight="false" outlineLevel="0" collapsed="false">
      <c r="A883" s="2" t="s">
        <v>47</v>
      </c>
      <c r="B883" s="2" t="s">
        <v>48</v>
      </c>
      <c r="C883" s="2" t="s">
        <v>20</v>
      </c>
      <c r="D883" s="2" t="s">
        <v>22</v>
      </c>
      <c r="E883" s="3" t="n">
        <v>45992</v>
      </c>
      <c r="F883" s="2" t="n">
        <v>12</v>
      </c>
      <c r="G883" s="4" t="n">
        <v>14.99</v>
      </c>
      <c r="H883" s="4" t="n">
        <v>5.71</v>
      </c>
      <c r="I883" s="4" t="n">
        <f aca="false">F883*G883</f>
        <v>179.88</v>
      </c>
      <c r="J883" s="4" t="n">
        <f aca="false">F883*H883</f>
        <v>68.52</v>
      </c>
      <c r="K883" s="4" t="n">
        <f aca="false">I883-J883</f>
        <v>111.36</v>
      </c>
      <c r="L883" s="5" t="n">
        <f aca="false">IFERROR(K883/I883,0)</f>
        <v>0.619079386257505</v>
      </c>
    </row>
    <row r="884" customFormat="false" ht="15" hidden="false" customHeight="false" outlineLevel="0" collapsed="false">
      <c r="A884" s="2" t="s">
        <v>47</v>
      </c>
      <c r="B884" s="2" t="s">
        <v>48</v>
      </c>
      <c r="C884" s="2" t="s">
        <v>20</v>
      </c>
      <c r="D884" s="2" t="s">
        <v>23</v>
      </c>
      <c r="E884" s="3" t="n">
        <v>45992</v>
      </c>
      <c r="F884" s="2" t="n">
        <v>16</v>
      </c>
      <c r="G884" s="4" t="n">
        <v>39.99</v>
      </c>
      <c r="H884" s="4" t="n">
        <v>16.51</v>
      </c>
      <c r="I884" s="4" t="n">
        <f aca="false">F884*G884</f>
        <v>639.84</v>
      </c>
      <c r="J884" s="4" t="n">
        <f aca="false">F884*H884</f>
        <v>264.16</v>
      </c>
      <c r="K884" s="4" t="n">
        <f aca="false">I884-J884</f>
        <v>375.68</v>
      </c>
      <c r="L884" s="5" t="n">
        <f aca="false">IFERROR(K884/I884,0)</f>
        <v>0.587146786696674</v>
      </c>
    </row>
    <row r="885" customFormat="false" ht="15" hidden="false" customHeight="false" outlineLevel="0" collapsed="false">
      <c r="A885" s="2" t="s">
        <v>47</v>
      </c>
      <c r="B885" s="2" t="s">
        <v>48</v>
      </c>
      <c r="C885" s="2" t="s">
        <v>20</v>
      </c>
      <c r="D885" s="2" t="s">
        <v>24</v>
      </c>
      <c r="E885" s="3" t="n">
        <v>45992</v>
      </c>
      <c r="F885" s="2" t="n">
        <v>14</v>
      </c>
      <c r="G885" s="4" t="n">
        <v>18.99</v>
      </c>
      <c r="H885" s="4" t="n">
        <v>7.51</v>
      </c>
      <c r="I885" s="4" t="n">
        <f aca="false">F885*G885</f>
        <v>265.86</v>
      </c>
      <c r="J885" s="4" t="n">
        <f aca="false">F885*H885</f>
        <v>105.14</v>
      </c>
      <c r="K885" s="4" t="n">
        <f aca="false">I885-J885</f>
        <v>160.72</v>
      </c>
      <c r="L885" s="5" t="n">
        <f aca="false">IFERROR(K885/I885,0)</f>
        <v>0.604528699315429</v>
      </c>
    </row>
    <row r="886" customFormat="false" ht="15" hidden="false" customHeight="false" outlineLevel="0" collapsed="false">
      <c r="A886" s="2" t="s">
        <v>47</v>
      </c>
      <c r="B886" s="2" t="s">
        <v>48</v>
      </c>
      <c r="C886" s="2" t="s">
        <v>20</v>
      </c>
      <c r="D886" s="2" t="s">
        <v>25</v>
      </c>
      <c r="E886" s="3" t="n">
        <v>45992</v>
      </c>
      <c r="F886" s="2" t="n">
        <v>7</v>
      </c>
      <c r="G886" s="4" t="n">
        <v>42.99</v>
      </c>
      <c r="H886" s="4" t="n">
        <v>15.6</v>
      </c>
      <c r="I886" s="4" t="n">
        <f aca="false">F886*G886</f>
        <v>300.93</v>
      </c>
      <c r="J886" s="4" t="n">
        <f aca="false">F886*H886</f>
        <v>109.2</v>
      </c>
      <c r="K886" s="4" t="n">
        <f aca="false">I886-J886</f>
        <v>191.73</v>
      </c>
      <c r="L886" s="5" t="n">
        <f aca="false">IFERROR(K886/I886,0)</f>
        <v>0.637124912770412</v>
      </c>
    </row>
    <row r="887" customFormat="false" ht="15" hidden="false" customHeight="false" outlineLevel="0" collapsed="false">
      <c r="A887" s="2" t="s">
        <v>47</v>
      </c>
      <c r="B887" s="2" t="s">
        <v>48</v>
      </c>
      <c r="C887" s="2" t="s">
        <v>26</v>
      </c>
      <c r="D887" s="2" t="s">
        <v>27</v>
      </c>
      <c r="E887" s="3" t="n">
        <v>45992</v>
      </c>
      <c r="F887" s="2" t="n">
        <v>43</v>
      </c>
      <c r="G887" s="4" t="n">
        <v>44.99</v>
      </c>
      <c r="H887" s="4" t="n">
        <v>28.19</v>
      </c>
      <c r="I887" s="4" t="n">
        <f aca="false">F887*G887</f>
        <v>1934.57</v>
      </c>
      <c r="J887" s="4" t="n">
        <f aca="false">F887*H887</f>
        <v>1212.17</v>
      </c>
      <c r="K887" s="4" t="n">
        <f aca="false">I887-J887</f>
        <v>722.4</v>
      </c>
      <c r="L887" s="5" t="n">
        <f aca="false">IFERROR(K887/I887,0)</f>
        <v>0.373416314736608</v>
      </c>
    </row>
    <row r="888" customFormat="false" ht="15" hidden="false" customHeight="false" outlineLevel="0" collapsed="false">
      <c r="A888" s="2" t="s">
        <v>47</v>
      </c>
      <c r="B888" s="2" t="s">
        <v>48</v>
      </c>
      <c r="C888" s="2" t="s">
        <v>26</v>
      </c>
      <c r="D888" s="2" t="s">
        <v>28</v>
      </c>
      <c r="E888" s="3" t="n">
        <v>45992</v>
      </c>
      <c r="F888" s="2" t="n">
        <v>45</v>
      </c>
      <c r="G888" s="4" t="n">
        <v>34.99</v>
      </c>
      <c r="H888" s="4" t="n">
        <v>21.76</v>
      </c>
      <c r="I888" s="4" t="n">
        <f aca="false">F888*G888</f>
        <v>1574.55</v>
      </c>
      <c r="J888" s="4" t="n">
        <f aca="false">F888*H888</f>
        <v>979.2</v>
      </c>
      <c r="K888" s="4" t="n">
        <f aca="false">I888-J888</f>
        <v>595.35</v>
      </c>
      <c r="L888" s="5" t="n">
        <f aca="false">IFERROR(K888/I888,0)</f>
        <v>0.378108030865962</v>
      </c>
    </row>
    <row r="889" customFormat="false" ht="15" hidden="false" customHeight="false" outlineLevel="0" collapsed="false">
      <c r="A889" s="2" t="s">
        <v>47</v>
      </c>
      <c r="B889" s="2" t="s">
        <v>48</v>
      </c>
      <c r="C889" s="2" t="s">
        <v>26</v>
      </c>
      <c r="D889" s="2" t="s">
        <v>29</v>
      </c>
      <c r="E889" s="3" t="n">
        <v>45992</v>
      </c>
      <c r="F889" s="2" t="n">
        <v>59</v>
      </c>
      <c r="G889" s="4" t="n">
        <v>119.99</v>
      </c>
      <c r="H889" s="4" t="n">
        <v>79.75</v>
      </c>
      <c r="I889" s="4" t="n">
        <f aca="false">F889*G889</f>
        <v>7079.41</v>
      </c>
      <c r="J889" s="4" t="n">
        <f aca="false">F889*H889</f>
        <v>4705.25</v>
      </c>
      <c r="K889" s="4" t="n">
        <f aca="false">I889-J889</f>
        <v>2374.16</v>
      </c>
      <c r="L889" s="5" t="n">
        <f aca="false">IFERROR(K889/I889,0)</f>
        <v>0.335361280106676</v>
      </c>
    </row>
    <row r="890" customFormat="false" ht="15" hidden="false" customHeight="false" outlineLevel="0" collapsed="false">
      <c r="A890" s="2" t="s">
        <v>47</v>
      </c>
      <c r="B890" s="2" t="s">
        <v>48</v>
      </c>
      <c r="C890" s="2" t="s">
        <v>26</v>
      </c>
      <c r="D890" s="2" t="s">
        <v>30</v>
      </c>
      <c r="E890" s="3" t="n">
        <v>45992</v>
      </c>
      <c r="F890" s="2" t="n">
        <v>51</v>
      </c>
      <c r="G890" s="4" t="n">
        <v>24.99</v>
      </c>
      <c r="H890" s="4" t="n">
        <v>14.69</v>
      </c>
      <c r="I890" s="4" t="n">
        <f aca="false">F890*G890</f>
        <v>1274.49</v>
      </c>
      <c r="J890" s="4" t="n">
        <f aca="false">F890*H890</f>
        <v>749.19</v>
      </c>
      <c r="K890" s="4" t="n">
        <f aca="false">I890-J890</f>
        <v>525.3</v>
      </c>
      <c r="L890" s="5" t="n">
        <f aca="false">IFERROR(K890/I890,0)</f>
        <v>0.412164865946379</v>
      </c>
    </row>
    <row r="891" customFormat="false" ht="15" hidden="false" customHeight="false" outlineLevel="0" collapsed="false">
      <c r="A891" s="2" t="s">
        <v>47</v>
      </c>
      <c r="B891" s="2" t="s">
        <v>48</v>
      </c>
      <c r="C891" s="2" t="s">
        <v>26</v>
      </c>
      <c r="D891" s="2" t="s">
        <v>31</v>
      </c>
      <c r="E891" s="3" t="n">
        <v>45992</v>
      </c>
      <c r="F891" s="2" t="n">
        <v>42</v>
      </c>
      <c r="G891" s="4" t="n">
        <v>59.99</v>
      </c>
      <c r="H891" s="4" t="n">
        <v>38.11</v>
      </c>
      <c r="I891" s="4" t="n">
        <f aca="false">F891*G891</f>
        <v>2519.58</v>
      </c>
      <c r="J891" s="4" t="n">
        <f aca="false">F891*H891</f>
        <v>1600.62</v>
      </c>
      <c r="K891" s="4" t="n">
        <f aca="false">I891-J891</f>
        <v>918.96</v>
      </c>
      <c r="L891" s="5" t="n">
        <f aca="false">IFERROR(K891/I891,0)</f>
        <v>0.364727454575763</v>
      </c>
    </row>
    <row r="892" customFormat="false" ht="15" hidden="false" customHeight="false" outlineLevel="0" collapsed="false">
      <c r="A892" s="2" t="s">
        <v>47</v>
      </c>
      <c r="B892" s="2" t="s">
        <v>48</v>
      </c>
      <c r="C892" s="2" t="s">
        <v>32</v>
      </c>
      <c r="D892" s="2" t="s">
        <v>33</v>
      </c>
      <c r="E892" s="3" t="n">
        <v>45992</v>
      </c>
      <c r="F892" s="2" t="n">
        <v>10</v>
      </c>
      <c r="G892" s="4" t="n">
        <v>49.99</v>
      </c>
      <c r="H892" s="4" t="n">
        <v>36.04</v>
      </c>
      <c r="I892" s="4" t="n">
        <f aca="false">F892*G892</f>
        <v>499.9</v>
      </c>
      <c r="J892" s="4" t="n">
        <f aca="false">F892*H892</f>
        <v>360.4</v>
      </c>
      <c r="K892" s="4" t="n">
        <f aca="false">I892-J892</f>
        <v>139.5</v>
      </c>
      <c r="L892" s="5" t="n">
        <f aca="false">IFERROR(K892/I892,0)</f>
        <v>0.279055811162233</v>
      </c>
    </row>
    <row r="893" customFormat="false" ht="15" hidden="false" customHeight="false" outlineLevel="0" collapsed="false">
      <c r="A893" s="2" t="s">
        <v>47</v>
      </c>
      <c r="B893" s="2" t="s">
        <v>48</v>
      </c>
      <c r="C893" s="2" t="s">
        <v>32</v>
      </c>
      <c r="D893" s="2" t="s">
        <v>34</v>
      </c>
      <c r="E893" s="3" t="n">
        <v>45992</v>
      </c>
      <c r="F893" s="2" t="n">
        <v>15</v>
      </c>
      <c r="G893" s="4" t="n">
        <v>27.99</v>
      </c>
      <c r="H893" s="4" t="n">
        <v>20.46</v>
      </c>
      <c r="I893" s="4" t="n">
        <f aca="false">F893*G893</f>
        <v>419.85</v>
      </c>
      <c r="J893" s="4" t="n">
        <f aca="false">F893*H893</f>
        <v>306.9</v>
      </c>
      <c r="K893" s="4" t="n">
        <f aca="false">I893-J893</f>
        <v>112.95</v>
      </c>
      <c r="L893" s="5" t="n">
        <f aca="false">IFERROR(K893/I893,0)</f>
        <v>0.269024651661307</v>
      </c>
    </row>
    <row r="894" customFormat="false" ht="15" hidden="false" customHeight="false" outlineLevel="0" collapsed="false">
      <c r="A894" s="2" t="s">
        <v>47</v>
      </c>
      <c r="B894" s="2" t="s">
        <v>48</v>
      </c>
      <c r="C894" s="2" t="s">
        <v>32</v>
      </c>
      <c r="D894" s="2" t="s">
        <v>35</v>
      </c>
      <c r="E894" s="3" t="n">
        <v>45992</v>
      </c>
      <c r="F894" s="2" t="n">
        <v>14</v>
      </c>
      <c r="G894" s="4" t="n">
        <v>64.99</v>
      </c>
      <c r="H894" s="4" t="n">
        <v>45.03</v>
      </c>
      <c r="I894" s="4" t="n">
        <f aca="false">F894*G894</f>
        <v>909.86</v>
      </c>
      <c r="J894" s="4" t="n">
        <f aca="false">F894*H894</f>
        <v>630.42</v>
      </c>
      <c r="K894" s="4" t="n">
        <f aca="false">I894-J894</f>
        <v>279.44</v>
      </c>
      <c r="L894" s="5" t="n">
        <f aca="false">IFERROR(K894/I894,0)</f>
        <v>0.307124172949684</v>
      </c>
    </row>
    <row r="895" customFormat="false" ht="15" hidden="false" customHeight="false" outlineLevel="0" collapsed="false">
      <c r="A895" s="2" t="s">
        <v>47</v>
      </c>
      <c r="B895" s="2" t="s">
        <v>48</v>
      </c>
      <c r="C895" s="2" t="s">
        <v>32</v>
      </c>
      <c r="D895" s="2" t="s">
        <v>36</v>
      </c>
      <c r="E895" s="3" t="n">
        <v>45992</v>
      </c>
      <c r="F895" s="2" t="n">
        <v>6</v>
      </c>
      <c r="G895" s="4" t="n">
        <v>22.99</v>
      </c>
      <c r="H895" s="4" t="n">
        <v>16.46</v>
      </c>
      <c r="I895" s="4" t="n">
        <f aca="false">F895*G895</f>
        <v>137.94</v>
      </c>
      <c r="J895" s="4" t="n">
        <f aca="false">F895*H895</f>
        <v>98.76</v>
      </c>
      <c r="K895" s="4" t="n">
        <f aca="false">I895-J895</f>
        <v>39.18</v>
      </c>
      <c r="L895" s="5" t="n">
        <f aca="false">IFERROR(K895/I895,0)</f>
        <v>0.284036537625054</v>
      </c>
    </row>
    <row r="896" customFormat="false" ht="15" hidden="false" customHeight="false" outlineLevel="0" collapsed="false">
      <c r="A896" s="2" t="s">
        <v>47</v>
      </c>
      <c r="B896" s="2" t="s">
        <v>48</v>
      </c>
      <c r="C896" s="2" t="s">
        <v>32</v>
      </c>
      <c r="D896" s="2" t="s">
        <v>37</v>
      </c>
      <c r="E896" s="3" t="n">
        <v>45992</v>
      </c>
      <c r="F896" s="2" t="n">
        <v>12</v>
      </c>
      <c r="G896" s="4" t="n">
        <v>29.99</v>
      </c>
      <c r="H896" s="4" t="n">
        <v>20.27</v>
      </c>
      <c r="I896" s="4" t="n">
        <f aca="false">F896*G896</f>
        <v>359.88</v>
      </c>
      <c r="J896" s="4" t="n">
        <f aca="false">F896*H896</f>
        <v>243.24</v>
      </c>
      <c r="K896" s="4" t="n">
        <f aca="false">I896-J896</f>
        <v>116.64</v>
      </c>
      <c r="L896" s="5" t="n">
        <f aca="false">IFERROR(K896/I896,0)</f>
        <v>0.324108036012004</v>
      </c>
    </row>
    <row r="897" customFormat="false" ht="15" hidden="false" customHeight="false" outlineLevel="0" collapsed="false">
      <c r="A897" s="2" t="s">
        <v>47</v>
      </c>
      <c r="B897" s="2" t="s">
        <v>48</v>
      </c>
      <c r="C897" s="2" t="s">
        <v>38</v>
      </c>
      <c r="D897" s="2" t="s">
        <v>39</v>
      </c>
      <c r="E897" s="3" t="n">
        <v>45992</v>
      </c>
      <c r="F897" s="2" t="n">
        <v>20</v>
      </c>
      <c r="G897" s="4" t="n">
        <v>129.99</v>
      </c>
      <c r="H897" s="4" t="n">
        <v>76.65</v>
      </c>
      <c r="I897" s="4" t="n">
        <f aca="false">F897*G897</f>
        <v>2599.8</v>
      </c>
      <c r="J897" s="4" t="n">
        <f aca="false">F897*H897</f>
        <v>1533</v>
      </c>
      <c r="K897" s="4" t="n">
        <f aca="false">I897-J897</f>
        <v>1066.8</v>
      </c>
      <c r="L897" s="5" t="n">
        <f aca="false">IFERROR(K897/I897,0)</f>
        <v>0.410339256865913</v>
      </c>
    </row>
    <row r="898" customFormat="false" ht="15" hidden="false" customHeight="false" outlineLevel="0" collapsed="false">
      <c r="A898" s="2" t="s">
        <v>47</v>
      </c>
      <c r="B898" s="2" t="s">
        <v>48</v>
      </c>
      <c r="C898" s="2" t="s">
        <v>38</v>
      </c>
      <c r="D898" s="2" t="s">
        <v>40</v>
      </c>
      <c r="E898" s="3" t="n">
        <v>45992</v>
      </c>
      <c r="F898" s="2" t="n">
        <v>11</v>
      </c>
      <c r="G898" s="4" t="n">
        <v>74.99</v>
      </c>
      <c r="H898" s="4" t="n">
        <v>40.48</v>
      </c>
      <c r="I898" s="4" t="n">
        <f aca="false">F898*G898</f>
        <v>824.89</v>
      </c>
      <c r="J898" s="4" t="n">
        <f aca="false">F898*H898</f>
        <v>445.28</v>
      </c>
      <c r="K898" s="4" t="n">
        <f aca="false">I898-J898</f>
        <v>379.61</v>
      </c>
      <c r="L898" s="5" t="n">
        <f aca="false">IFERROR(K898/I898,0)</f>
        <v>0.460194692625683</v>
      </c>
    </row>
    <row r="899" customFormat="false" ht="15" hidden="false" customHeight="false" outlineLevel="0" collapsed="false">
      <c r="A899" s="2" t="s">
        <v>47</v>
      </c>
      <c r="B899" s="2" t="s">
        <v>48</v>
      </c>
      <c r="C899" s="2" t="s">
        <v>38</v>
      </c>
      <c r="D899" s="2" t="s">
        <v>41</v>
      </c>
      <c r="E899" s="3" t="n">
        <v>45992</v>
      </c>
      <c r="F899" s="2" t="n">
        <v>13</v>
      </c>
      <c r="G899" s="4" t="n">
        <v>19.99</v>
      </c>
      <c r="H899" s="4" t="n">
        <v>9.32</v>
      </c>
      <c r="I899" s="4" t="n">
        <f aca="false">F899*G899</f>
        <v>259.87</v>
      </c>
      <c r="J899" s="4" t="n">
        <f aca="false">F899*H899</f>
        <v>121.16</v>
      </c>
      <c r="K899" s="4" t="n">
        <f aca="false">I899-J899</f>
        <v>138.71</v>
      </c>
      <c r="L899" s="5" t="n">
        <f aca="false">IFERROR(K899/I899,0)</f>
        <v>0.533766883441721</v>
      </c>
    </row>
    <row r="900" customFormat="false" ht="15" hidden="false" customHeight="false" outlineLevel="0" collapsed="false">
      <c r="A900" s="2" t="s">
        <v>47</v>
      </c>
      <c r="B900" s="2" t="s">
        <v>48</v>
      </c>
      <c r="C900" s="2" t="s">
        <v>38</v>
      </c>
      <c r="D900" s="2" t="s">
        <v>42</v>
      </c>
      <c r="E900" s="3" t="n">
        <v>45992</v>
      </c>
      <c r="F900" s="2" t="n">
        <v>15</v>
      </c>
      <c r="G900" s="4" t="n">
        <v>16.99</v>
      </c>
      <c r="H900" s="4" t="n">
        <v>8.4</v>
      </c>
      <c r="I900" s="4" t="n">
        <f aca="false">F900*G900</f>
        <v>254.85</v>
      </c>
      <c r="J900" s="4" t="n">
        <f aca="false">F900*H900</f>
        <v>126</v>
      </c>
      <c r="K900" s="4" t="n">
        <f aca="false">I900-J900</f>
        <v>128.85</v>
      </c>
      <c r="L900" s="5" t="n">
        <f aca="false">IFERROR(K900/I900,0)</f>
        <v>0.505591524426133</v>
      </c>
    </row>
    <row r="901" customFormat="false" ht="15" hidden="false" customHeight="false" outlineLevel="0" collapsed="false">
      <c r="A901" s="2" t="s">
        <v>47</v>
      </c>
      <c r="B901" s="2" t="s">
        <v>48</v>
      </c>
      <c r="C901" s="2" t="s">
        <v>38</v>
      </c>
      <c r="D901" s="2" t="s">
        <v>43</v>
      </c>
      <c r="E901" s="3" t="n">
        <v>45992</v>
      </c>
      <c r="F901" s="2" t="n">
        <v>15</v>
      </c>
      <c r="G901" s="4" t="n">
        <v>24.99</v>
      </c>
      <c r="H901" s="4" t="n">
        <v>12.99</v>
      </c>
      <c r="I901" s="4" t="n">
        <f aca="false">F901*G901</f>
        <v>374.85</v>
      </c>
      <c r="J901" s="4" t="n">
        <f aca="false">F901*H901</f>
        <v>194.85</v>
      </c>
      <c r="K901" s="4" t="n">
        <f aca="false">I901-J901</f>
        <v>180</v>
      </c>
      <c r="L901" s="5" t="n">
        <f aca="false">IFERROR(K901/I901,0)</f>
        <v>0.480192076830732</v>
      </c>
    </row>
    <row r="902" customFormat="false" ht="15" hidden="false" customHeight="false" outlineLevel="0" collapsed="false">
      <c r="A902" s="2" t="s">
        <v>47</v>
      </c>
      <c r="B902" s="2" t="s">
        <v>49</v>
      </c>
      <c r="C902" s="2" t="s">
        <v>14</v>
      </c>
      <c r="D902" s="2" t="s">
        <v>15</v>
      </c>
      <c r="E902" s="3" t="n">
        <v>45992</v>
      </c>
      <c r="F902" s="2" t="n">
        <v>24</v>
      </c>
      <c r="G902" s="4" t="n">
        <v>69.99</v>
      </c>
      <c r="H902" s="4" t="n">
        <v>34.22</v>
      </c>
      <c r="I902" s="4" t="n">
        <f aca="false">F902*G902</f>
        <v>1679.76</v>
      </c>
      <c r="J902" s="4" t="n">
        <f aca="false">F902*H902</f>
        <v>821.28</v>
      </c>
      <c r="K902" s="4" t="n">
        <f aca="false">I902-J902</f>
        <v>858.48</v>
      </c>
      <c r="L902" s="5" t="n">
        <f aca="false">IFERROR(K902/I902,0)</f>
        <v>0.511073010430061</v>
      </c>
    </row>
    <row r="903" customFormat="false" ht="15" hidden="false" customHeight="false" outlineLevel="0" collapsed="false">
      <c r="A903" s="2" t="s">
        <v>47</v>
      </c>
      <c r="B903" s="2" t="s">
        <v>49</v>
      </c>
      <c r="C903" s="2" t="s">
        <v>14</v>
      </c>
      <c r="D903" s="2" t="s">
        <v>16</v>
      </c>
      <c r="E903" s="3" t="n">
        <v>45992</v>
      </c>
      <c r="F903" s="2" t="n">
        <v>15</v>
      </c>
      <c r="G903" s="4" t="n">
        <v>19.99</v>
      </c>
      <c r="H903" s="4" t="n">
        <v>9.16</v>
      </c>
      <c r="I903" s="4" t="n">
        <f aca="false">F903*G903</f>
        <v>299.85</v>
      </c>
      <c r="J903" s="4" t="n">
        <f aca="false">F903*H903</f>
        <v>137.4</v>
      </c>
      <c r="K903" s="4" t="n">
        <f aca="false">I903-J903</f>
        <v>162.45</v>
      </c>
      <c r="L903" s="5" t="n">
        <f aca="false">IFERROR(K903/I903,0)</f>
        <v>0.541770885442721</v>
      </c>
    </row>
    <row r="904" customFormat="false" ht="15" hidden="false" customHeight="false" outlineLevel="0" collapsed="false">
      <c r="A904" s="2" t="s">
        <v>47</v>
      </c>
      <c r="B904" s="2" t="s">
        <v>49</v>
      </c>
      <c r="C904" s="2" t="s">
        <v>14</v>
      </c>
      <c r="D904" s="2" t="s">
        <v>17</v>
      </c>
      <c r="E904" s="3" t="n">
        <v>45992</v>
      </c>
      <c r="F904" s="2" t="n">
        <v>21</v>
      </c>
      <c r="G904" s="4" t="n">
        <v>79.99</v>
      </c>
      <c r="H904" s="4" t="n">
        <v>38.98</v>
      </c>
      <c r="I904" s="4" t="n">
        <f aca="false">F904*G904</f>
        <v>1679.79</v>
      </c>
      <c r="J904" s="4" t="n">
        <f aca="false">F904*H904</f>
        <v>818.58</v>
      </c>
      <c r="K904" s="4" t="n">
        <f aca="false">I904-J904</f>
        <v>861.21</v>
      </c>
      <c r="L904" s="5" t="n">
        <f aca="false">IFERROR(K904/I904,0)</f>
        <v>0.512689086135767</v>
      </c>
    </row>
    <row r="905" customFormat="false" ht="15" hidden="false" customHeight="false" outlineLevel="0" collapsed="false">
      <c r="A905" s="2" t="s">
        <v>47</v>
      </c>
      <c r="B905" s="2" t="s">
        <v>49</v>
      </c>
      <c r="C905" s="2" t="s">
        <v>14</v>
      </c>
      <c r="D905" s="2" t="s">
        <v>18</v>
      </c>
      <c r="E905" s="3" t="n">
        <v>45992</v>
      </c>
      <c r="F905" s="2" t="n">
        <v>15</v>
      </c>
      <c r="G905" s="4" t="n">
        <v>34.99</v>
      </c>
      <c r="H905" s="4" t="n">
        <v>14.98</v>
      </c>
      <c r="I905" s="4" t="n">
        <f aca="false">F905*G905</f>
        <v>524.85</v>
      </c>
      <c r="J905" s="4" t="n">
        <f aca="false">F905*H905</f>
        <v>224.7</v>
      </c>
      <c r="K905" s="4" t="n">
        <f aca="false">I905-J905</f>
        <v>300.15</v>
      </c>
      <c r="L905" s="5" t="n">
        <f aca="false">IFERROR(K905/I905,0)</f>
        <v>0.571877679336953</v>
      </c>
    </row>
    <row r="906" customFormat="false" ht="15" hidden="false" customHeight="false" outlineLevel="0" collapsed="false">
      <c r="A906" s="2" t="s">
        <v>47</v>
      </c>
      <c r="B906" s="2" t="s">
        <v>49</v>
      </c>
      <c r="C906" s="2" t="s">
        <v>14</v>
      </c>
      <c r="D906" s="2" t="s">
        <v>19</v>
      </c>
      <c r="E906" s="3" t="n">
        <v>45992</v>
      </c>
      <c r="F906" s="2" t="n">
        <v>12</v>
      </c>
      <c r="G906" s="4" t="n">
        <v>54.99</v>
      </c>
      <c r="H906" s="4" t="n">
        <v>23.85</v>
      </c>
      <c r="I906" s="4" t="n">
        <f aca="false">F906*G906</f>
        <v>659.88</v>
      </c>
      <c r="J906" s="4" t="n">
        <f aca="false">F906*H906</f>
        <v>286.2</v>
      </c>
      <c r="K906" s="4" t="n">
        <f aca="false">I906-J906</f>
        <v>373.68</v>
      </c>
      <c r="L906" s="5" t="n">
        <f aca="false">IFERROR(K906/I906,0)</f>
        <v>0.566284779050736</v>
      </c>
    </row>
    <row r="907" customFormat="false" ht="15" hidden="false" customHeight="false" outlineLevel="0" collapsed="false">
      <c r="A907" s="2" t="s">
        <v>47</v>
      </c>
      <c r="B907" s="2" t="s">
        <v>49</v>
      </c>
      <c r="C907" s="2" t="s">
        <v>20</v>
      </c>
      <c r="D907" s="2" t="s">
        <v>21</v>
      </c>
      <c r="E907" s="3" t="n">
        <v>45992</v>
      </c>
      <c r="F907" s="2" t="n">
        <v>17</v>
      </c>
      <c r="G907" s="4" t="n">
        <v>44.99</v>
      </c>
      <c r="H907" s="4" t="n">
        <v>20.74</v>
      </c>
      <c r="I907" s="4" t="n">
        <f aca="false">F907*G907</f>
        <v>764.83</v>
      </c>
      <c r="J907" s="4" t="n">
        <f aca="false">F907*H907</f>
        <v>352.58</v>
      </c>
      <c r="K907" s="4" t="n">
        <f aca="false">I907-J907</f>
        <v>412.25</v>
      </c>
      <c r="L907" s="5" t="n">
        <f aca="false">IFERROR(K907/I907,0)</f>
        <v>0.539008668593021</v>
      </c>
    </row>
    <row r="908" customFormat="false" ht="15" hidden="false" customHeight="false" outlineLevel="0" collapsed="false">
      <c r="A908" s="2" t="s">
        <v>47</v>
      </c>
      <c r="B908" s="2" t="s">
        <v>49</v>
      </c>
      <c r="C908" s="2" t="s">
        <v>20</v>
      </c>
      <c r="D908" s="2" t="s">
        <v>22</v>
      </c>
      <c r="E908" s="3" t="n">
        <v>45992</v>
      </c>
      <c r="F908" s="2" t="n">
        <v>17</v>
      </c>
      <c r="G908" s="4" t="n">
        <v>14.99</v>
      </c>
      <c r="H908" s="4" t="n">
        <v>5.56</v>
      </c>
      <c r="I908" s="4" t="n">
        <f aca="false">F908*G908</f>
        <v>254.83</v>
      </c>
      <c r="J908" s="4" t="n">
        <f aca="false">F908*H908</f>
        <v>94.52</v>
      </c>
      <c r="K908" s="4" t="n">
        <f aca="false">I908-J908</f>
        <v>160.31</v>
      </c>
      <c r="L908" s="5" t="n">
        <f aca="false">IFERROR(K908/I908,0)</f>
        <v>0.629086057371581</v>
      </c>
    </row>
    <row r="909" customFormat="false" ht="15" hidden="false" customHeight="false" outlineLevel="0" collapsed="false">
      <c r="A909" s="2" t="s">
        <v>47</v>
      </c>
      <c r="B909" s="2" t="s">
        <v>49</v>
      </c>
      <c r="C909" s="2" t="s">
        <v>20</v>
      </c>
      <c r="D909" s="2" t="s">
        <v>23</v>
      </c>
      <c r="E909" s="3" t="n">
        <v>45992</v>
      </c>
      <c r="F909" s="2" t="n">
        <v>17</v>
      </c>
      <c r="G909" s="4" t="n">
        <v>39.99</v>
      </c>
      <c r="H909" s="4" t="n">
        <v>16.83</v>
      </c>
      <c r="I909" s="4" t="n">
        <f aca="false">F909*G909</f>
        <v>679.83</v>
      </c>
      <c r="J909" s="4" t="n">
        <f aca="false">F909*H909</f>
        <v>286.11</v>
      </c>
      <c r="K909" s="4" t="n">
        <f aca="false">I909-J909</f>
        <v>393.72</v>
      </c>
      <c r="L909" s="5" t="n">
        <f aca="false">IFERROR(K909/I909,0)</f>
        <v>0.579144786196549</v>
      </c>
    </row>
    <row r="910" customFormat="false" ht="15" hidden="false" customHeight="false" outlineLevel="0" collapsed="false">
      <c r="A910" s="2" t="s">
        <v>47</v>
      </c>
      <c r="B910" s="2" t="s">
        <v>49</v>
      </c>
      <c r="C910" s="2" t="s">
        <v>20</v>
      </c>
      <c r="D910" s="2" t="s">
        <v>24</v>
      </c>
      <c r="E910" s="3" t="n">
        <v>45992</v>
      </c>
      <c r="F910" s="2" t="n">
        <v>20</v>
      </c>
      <c r="G910" s="4" t="n">
        <v>18.99</v>
      </c>
      <c r="H910" s="4" t="n">
        <v>7.53</v>
      </c>
      <c r="I910" s="4" t="n">
        <f aca="false">F910*G910</f>
        <v>379.8</v>
      </c>
      <c r="J910" s="4" t="n">
        <f aca="false">F910*H910</f>
        <v>150.6</v>
      </c>
      <c r="K910" s="4" t="n">
        <f aca="false">I910-J910</f>
        <v>229.2</v>
      </c>
      <c r="L910" s="5" t="n">
        <f aca="false">IFERROR(K910/I910,0)</f>
        <v>0.60347551342812</v>
      </c>
    </row>
    <row r="911" customFormat="false" ht="15" hidden="false" customHeight="false" outlineLevel="0" collapsed="false">
      <c r="A911" s="2" t="s">
        <v>47</v>
      </c>
      <c r="B911" s="2" t="s">
        <v>49</v>
      </c>
      <c r="C911" s="2" t="s">
        <v>20</v>
      </c>
      <c r="D911" s="2" t="s">
        <v>25</v>
      </c>
      <c r="E911" s="3" t="n">
        <v>45992</v>
      </c>
      <c r="F911" s="2" t="n">
        <v>17</v>
      </c>
      <c r="G911" s="4" t="n">
        <v>42.99</v>
      </c>
      <c r="H911" s="4" t="n">
        <v>16.1</v>
      </c>
      <c r="I911" s="4" t="n">
        <f aca="false">F911*G911</f>
        <v>730.83</v>
      </c>
      <c r="J911" s="4" t="n">
        <f aca="false">F911*H911</f>
        <v>273.7</v>
      </c>
      <c r="K911" s="4" t="n">
        <f aca="false">I911-J911</f>
        <v>457.13</v>
      </c>
      <c r="L911" s="5" t="n">
        <f aca="false">IFERROR(K911/I911,0)</f>
        <v>0.625494301000233</v>
      </c>
    </row>
    <row r="912" customFormat="false" ht="15" hidden="false" customHeight="false" outlineLevel="0" collapsed="false">
      <c r="A912" s="2" t="s">
        <v>47</v>
      </c>
      <c r="B912" s="2" t="s">
        <v>49</v>
      </c>
      <c r="C912" s="2" t="s">
        <v>26</v>
      </c>
      <c r="D912" s="2" t="s">
        <v>27</v>
      </c>
      <c r="E912" s="3" t="n">
        <v>45992</v>
      </c>
      <c r="F912" s="2" t="n">
        <v>51</v>
      </c>
      <c r="G912" s="4" t="n">
        <v>44.99</v>
      </c>
      <c r="H912" s="4" t="n">
        <v>27.86</v>
      </c>
      <c r="I912" s="4" t="n">
        <f aca="false">F912*G912</f>
        <v>2294.49</v>
      </c>
      <c r="J912" s="4" t="n">
        <f aca="false">F912*H912</f>
        <v>1420.86</v>
      </c>
      <c r="K912" s="4" t="n">
        <f aca="false">I912-J912</f>
        <v>873.63</v>
      </c>
      <c r="L912" s="5" t="n">
        <f aca="false">IFERROR(K912/I912,0)</f>
        <v>0.380751278061792</v>
      </c>
    </row>
    <row r="913" customFormat="false" ht="15" hidden="false" customHeight="false" outlineLevel="0" collapsed="false">
      <c r="A913" s="2" t="s">
        <v>47</v>
      </c>
      <c r="B913" s="2" t="s">
        <v>49</v>
      </c>
      <c r="C913" s="2" t="s">
        <v>26</v>
      </c>
      <c r="D913" s="2" t="s">
        <v>28</v>
      </c>
      <c r="E913" s="3" t="n">
        <v>45992</v>
      </c>
      <c r="F913" s="2" t="n">
        <v>39</v>
      </c>
      <c r="G913" s="4" t="n">
        <v>34.99</v>
      </c>
      <c r="H913" s="4" t="n">
        <v>21.96</v>
      </c>
      <c r="I913" s="4" t="n">
        <f aca="false">F913*G913</f>
        <v>1364.61</v>
      </c>
      <c r="J913" s="4" t="n">
        <f aca="false">F913*H913</f>
        <v>856.44</v>
      </c>
      <c r="K913" s="4" t="n">
        <f aca="false">I913-J913</f>
        <v>508.17</v>
      </c>
      <c r="L913" s="5" t="n">
        <f aca="false">IFERROR(K913/I913,0)</f>
        <v>0.372392112032009</v>
      </c>
    </row>
    <row r="914" customFormat="false" ht="15" hidden="false" customHeight="false" outlineLevel="0" collapsed="false">
      <c r="A914" s="2" t="s">
        <v>47</v>
      </c>
      <c r="B914" s="2" t="s">
        <v>49</v>
      </c>
      <c r="C914" s="2" t="s">
        <v>26</v>
      </c>
      <c r="D914" s="2" t="s">
        <v>29</v>
      </c>
      <c r="E914" s="3" t="n">
        <v>45992</v>
      </c>
      <c r="F914" s="2" t="n">
        <v>28</v>
      </c>
      <c r="G914" s="4" t="n">
        <v>119.99</v>
      </c>
      <c r="H914" s="4" t="n">
        <v>83.75</v>
      </c>
      <c r="I914" s="4" t="n">
        <f aca="false">F914*G914</f>
        <v>3359.72</v>
      </c>
      <c r="J914" s="4" t="n">
        <f aca="false">F914*H914</f>
        <v>2345</v>
      </c>
      <c r="K914" s="4" t="n">
        <f aca="false">I914-J914</f>
        <v>1014.72</v>
      </c>
      <c r="L914" s="5" t="n">
        <f aca="false">IFERROR(K914/I914,0)</f>
        <v>0.302025168764064</v>
      </c>
    </row>
    <row r="915" customFormat="false" ht="15" hidden="false" customHeight="false" outlineLevel="0" collapsed="false">
      <c r="A915" s="2" t="s">
        <v>47</v>
      </c>
      <c r="B915" s="2" t="s">
        <v>49</v>
      </c>
      <c r="C915" s="2" t="s">
        <v>26</v>
      </c>
      <c r="D915" s="2" t="s">
        <v>30</v>
      </c>
      <c r="E915" s="3" t="n">
        <v>45992</v>
      </c>
      <c r="F915" s="2" t="n">
        <v>48</v>
      </c>
      <c r="G915" s="4" t="n">
        <v>24.99</v>
      </c>
      <c r="H915" s="4" t="n">
        <v>14.91</v>
      </c>
      <c r="I915" s="4" t="n">
        <f aca="false">F915*G915</f>
        <v>1199.52</v>
      </c>
      <c r="J915" s="4" t="n">
        <f aca="false">F915*H915</f>
        <v>715.68</v>
      </c>
      <c r="K915" s="4" t="n">
        <f aca="false">I915-J915</f>
        <v>483.84</v>
      </c>
      <c r="L915" s="5" t="n">
        <f aca="false">IFERROR(K915/I915,0)</f>
        <v>0.403361344537815</v>
      </c>
    </row>
    <row r="916" customFormat="false" ht="15" hidden="false" customHeight="false" outlineLevel="0" collapsed="false">
      <c r="A916" s="2" t="s">
        <v>47</v>
      </c>
      <c r="B916" s="2" t="s">
        <v>49</v>
      </c>
      <c r="C916" s="2" t="s">
        <v>26</v>
      </c>
      <c r="D916" s="2" t="s">
        <v>31</v>
      </c>
      <c r="E916" s="3" t="n">
        <v>45992</v>
      </c>
      <c r="F916" s="2" t="n">
        <v>32</v>
      </c>
      <c r="G916" s="4" t="n">
        <v>59.99</v>
      </c>
      <c r="H916" s="4" t="n">
        <v>39.73</v>
      </c>
      <c r="I916" s="4" t="n">
        <f aca="false">F916*G916</f>
        <v>1919.68</v>
      </c>
      <c r="J916" s="4" t="n">
        <f aca="false">F916*H916</f>
        <v>1271.36</v>
      </c>
      <c r="K916" s="4" t="n">
        <f aca="false">I916-J916</f>
        <v>648.32</v>
      </c>
      <c r="L916" s="5" t="n">
        <f aca="false">IFERROR(K916/I916,0)</f>
        <v>0.337722953825638</v>
      </c>
    </row>
    <row r="917" customFormat="false" ht="15" hidden="false" customHeight="false" outlineLevel="0" collapsed="false">
      <c r="A917" s="2" t="s">
        <v>47</v>
      </c>
      <c r="B917" s="2" t="s">
        <v>49</v>
      </c>
      <c r="C917" s="2" t="s">
        <v>32</v>
      </c>
      <c r="D917" s="2" t="s">
        <v>33</v>
      </c>
      <c r="E917" s="3" t="n">
        <v>45992</v>
      </c>
      <c r="F917" s="2" t="n">
        <v>12</v>
      </c>
      <c r="G917" s="4" t="n">
        <v>49.99</v>
      </c>
      <c r="H917" s="4" t="n">
        <v>36.92</v>
      </c>
      <c r="I917" s="4" t="n">
        <f aca="false">F917*G917</f>
        <v>599.88</v>
      </c>
      <c r="J917" s="4" t="n">
        <f aca="false">F917*H917</f>
        <v>443.04</v>
      </c>
      <c r="K917" s="4" t="n">
        <f aca="false">I917-J917</f>
        <v>156.84</v>
      </c>
      <c r="L917" s="5" t="n">
        <f aca="false">IFERROR(K917/I917,0)</f>
        <v>0.261452290458092</v>
      </c>
    </row>
    <row r="918" customFormat="false" ht="15" hidden="false" customHeight="false" outlineLevel="0" collapsed="false">
      <c r="A918" s="2" t="s">
        <v>47</v>
      </c>
      <c r="B918" s="2" t="s">
        <v>49</v>
      </c>
      <c r="C918" s="2" t="s">
        <v>32</v>
      </c>
      <c r="D918" s="2" t="s">
        <v>34</v>
      </c>
      <c r="E918" s="3" t="n">
        <v>45992</v>
      </c>
      <c r="F918" s="2" t="n">
        <v>17</v>
      </c>
      <c r="G918" s="4" t="n">
        <v>27.99</v>
      </c>
      <c r="H918" s="4" t="n">
        <v>19.48</v>
      </c>
      <c r="I918" s="4" t="n">
        <f aca="false">F918*G918</f>
        <v>475.83</v>
      </c>
      <c r="J918" s="4" t="n">
        <f aca="false">F918*H918</f>
        <v>331.16</v>
      </c>
      <c r="K918" s="4" t="n">
        <f aca="false">I918-J918</f>
        <v>144.67</v>
      </c>
      <c r="L918" s="5" t="n">
        <f aca="false">IFERROR(K918/I918,0)</f>
        <v>0.304037156127188</v>
      </c>
    </row>
    <row r="919" customFormat="false" ht="15" hidden="false" customHeight="false" outlineLevel="0" collapsed="false">
      <c r="A919" s="2" t="s">
        <v>47</v>
      </c>
      <c r="B919" s="2" t="s">
        <v>49</v>
      </c>
      <c r="C919" s="2" t="s">
        <v>32</v>
      </c>
      <c r="D919" s="2" t="s">
        <v>35</v>
      </c>
      <c r="E919" s="3" t="n">
        <v>45992</v>
      </c>
      <c r="F919" s="2" t="n">
        <v>18</v>
      </c>
      <c r="G919" s="4" t="n">
        <v>64.99</v>
      </c>
      <c r="H919" s="4" t="n">
        <v>44.82</v>
      </c>
      <c r="I919" s="4" t="n">
        <f aca="false">F919*G919</f>
        <v>1169.82</v>
      </c>
      <c r="J919" s="4" t="n">
        <f aca="false">F919*H919</f>
        <v>806.76</v>
      </c>
      <c r="K919" s="4" t="n">
        <f aca="false">I919-J919</f>
        <v>363.06</v>
      </c>
      <c r="L919" s="5" t="n">
        <f aca="false">IFERROR(K919/I919,0)</f>
        <v>0.310355439298354</v>
      </c>
    </row>
    <row r="920" customFormat="false" ht="15" hidden="false" customHeight="false" outlineLevel="0" collapsed="false">
      <c r="A920" s="2" t="s">
        <v>47</v>
      </c>
      <c r="B920" s="2" t="s">
        <v>49</v>
      </c>
      <c r="C920" s="2" t="s">
        <v>32</v>
      </c>
      <c r="D920" s="2" t="s">
        <v>36</v>
      </c>
      <c r="E920" s="3" t="n">
        <v>45992</v>
      </c>
      <c r="F920" s="2" t="n">
        <v>22</v>
      </c>
      <c r="G920" s="4" t="n">
        <v>22.99</v>
      </c>
      <c r="H920" s="4" t="n">
        <v>16.31</v>
      </c>
      <c r="I920" s="4" t="n">
        <f aca="false">F920*G920</f>
        <v>505.78</v>
      </c>
      <c r="J920" s="4" t="n">
        <f aca="false">F920*H920</f>
        <v>358.82</v>
      </c>
      <c r="K920" s="4" t="n">
        <f aca="false">I920-J920</f>
        <v>146.96</v>
      </c>
      <c r="L920" s="5" t="n">
        <f aca="false">IFERROR(K920/I920,0)</f>
        <v>0.290561113527621</v>
      </c>
    </row>
    <row r="921" customFormat="false" ht="15" hidden="false" customHeight="false" outlineLevel="0" collapsed="false">
      <c r="A921" s="2" t="s">
        <v>47</v>
      </c>
      <c r="B921" s="2" t="s">
        <v>49</v>
      </c>
      <c r="C921" s="2" t="s">
        <v>32</v>
      </c>
      <c r="D921" s="2" t="s">
        <v>37</v>
      </c>
      <c r="E921" s="3" t="n">
        <v>45992</v>
      </c>
      <c r="F921" s="2" t="n">
        <v>15</v>
      </c>
      <c r="G921" s="4" t="n">
        <v>29.99</v>
      </c>
      <c r="H921" s="4" t="n">
        <v>20.47</v>
      </c>
      <c r="I921" s="4" t="n">
        <f aca="false">F921*G921</f>
        <v>449.85</v>
      </c>
      <c r="J921" s="4" t="n">
        <f aca="false">F921*H921</f>
        <v>307.05</v>
      </c>
      <c r="K921" s="4" t="n">
        <f aca="false">I921-J921</f>
        <v>142.8</v>
      </c>
      <c r="L921" s="5" t="n">
        <f aca="false">IFERROR(K921/I921,0)</f>
        <v>0.317439146382127</v>
      </c>
    </row>
    <row r="922" customFormat="false" ht="15" hidden="false" customHeight="false" outlineLevel="0" collapsed="false">
      <c r="A922" s="2" t="s">
        <v>47</v>
      </c>
      <c r="B922" s="2" t="s">
        <v>49</v>
      </c>
      <c r="C922" s="2" t="s">
        <v>38</v>
      </c>
      <c r="D922" s="2" t="s">
        <v>39</v>
      </c>
      <c r="E922" s="3" t="n">
        <v>45992</v>
      </c>
      <c r="F922" s="2" t="n">
        <v>14</v>
      </c>
      <c r="G922" s="4" t="n">
        <v>129.99</v>
      </c>
      <c r="H922" s="4" t="n">
        <v>74.36</v>
      </c>
      <c r="I922" s="4" t="n">
        <f aca="false">F922*G922</f>
        <v>1819.86</v>
      </c>
      <c r="J922" s="4" t="n">
        <f aca="false">F922*H922</f>
        <v>1041.04</v>
      </c>
      <c r="K922" s="4" t="n">
        <f aca="false">I922-J922</f>
        <v>778.82</v>
      </c>
      <c r="L922" s="5" t="n">
        <f aca="false">IFERROR(K922/I922,0)</f>
        <v>0.427955996615124</v>
      </c>
    </row>
    <row r="923" customFormat="false" ht="15" hidden="false" customHeight="false" outlineLevel="0" collapsed="false">
      <c r="A923" s="2" t="s">
        <v>47</v>
      </c>
      <c r="B923" s="2" t="s">
        <v>49</v>
      </c>
      <c r="C923" s="2" t="s">
        <v>38</v>
      </c>
      <c r="D923" s="2" t="s">
        <v>40</v>
      </c>
      <c r="E923" s="3" t="n">
        <v>45992</v>
      </c>
      <c r="F923" s="2" t="n">
        <v>17</v>
      </c>
      <c r="G923" s="4" t="n">
        <v>74.99</v>
      </c>
      <c r="H923" s="4" t="n">
        <v>41.42</v>
      </c>
      <c r="I923" s="4" t="n">
        <f aca="false">F923*G923</f>
        <v>1274.83</v>
      </c>
      <c r="J923" s="4" t="n">
        <f aca="false">F923*H923</f>
        <v>704.14</v>
      </c>
      <c r="K923" s="4" t="n">
        <f aca="false">I923-J923</f>
        <v>570.69</v>
      </c>
      <c r="L923" s="5" t="n">
        <f aca="false">IFERROR(K923/I923,0)</f>
        <v>0.447659687958394</v>
      </c>
    </row>
    <row r="924" customFormat="false" ht="15" hidden="false" customHeight="false" outlineLevel="0" collapsed="false">
      <c r="A924" s="2" t="s">
        <v>47</v>
      </c>
      <c r="B924" s="2" t="s">
        <v>49</v>
      </c>
      <c r="C924" s="2" t="s">
        <v>38</v>
      </c>
      <c r="D924" s="2" t="s">
        <v>41</v>
      </c>
      <c r="E924" s="3" t="n">
        <v>45992</v>
      </c>
      <c r="F924" s="2" t="n">
        <v>17</v>
      </c>
      <c r="G924" s="4" t="n">
        <v>19.99</v>
      </c>
      <c r="H924" s="4" t="n">
        <v>9.75</v>
      </c>
      <c r="I924" s="4" t="n">
        <f aca="false">F924*G924</f>
        <v>339.83</v>
      </c>
      <c r="J924" s="4" t="n">
        <f aca="false">F924*H924</f>
        <v>165.75</v>
      </c>
      <c r="K924" s="4" t="n">
        <f aca="false">I924-J924</f>
        <v>174.08</v>
      </c>
      <c r="L924" s="5" t="n">
        <f aca="false">IFERROR(K924/I924,0)</f>
        <v>0.512256128064032</v>
      </c>
    </row>
    <row r="925" customFormat="false" ht="15" hidden="false" customHeight="false" outlineLevel="0" collapsed="false">
      <c r="A925" s="2" t="s">
        <v>47</v>
      </c>
      <c r="B925" s="2" t="s">
        <v>49</v>
      </c>
      <c r="C925" s="2" t="s">
        <v>38</v>
      </c>
      <c r="D925" s="2" t="s">
        <v>42</v>
      </c>
      <c r="E925" s="3" t="n">
        <v>45992</v>
      </c>
      <c r="F925" s="2" t="n">
        <v>8</v>
      </c>
      <c r="G925" s="4" t="n">
        <v>16.99</v>
      </c>
      <c r="H925" s="4" t="n">
        <v>8.52</v>
      </c>
      <c r="I925" s="4" t="n">
        <f aca="false">F925*G925</f>
        <v>135.92</v>
      </c>
      <c r="J925" s="4" t="n">
        <f aca="false">F925*H925</f>
        <v>68.16</v>
      </c>
      <c r="K925" s="4" t="n">
        <f aca="false">I925-J925</f>
        <v>67.76</v>
      </c>
      <c r="L925" s="5" t="n">
        <f aca="false">IFERROR(K925/I925,0)</f>
        <v>0.498528546203649</v>
      </c>
    </row>
    <row r="926" customFormat="false" ht="15" hidden="false" customHeight="false" outlineLevel="0" collapsed="false">
      <c r="A926" s="2" t="s">
        <v>47</v>
      </c>
      <c r="B926" s="2" t="s">
        <v>49</v>
      </c>
      <c r="C926" s="2" t="s">
        <v>38</v>
      </c>
      <c r="D926" s="2" t="s">
        <v>43</v>
      </c>
      <c r="E926" s="3" t="n">
        <v>45992</v>
      </c>
      <c r="F926" s="2" t="n">
        <v>18</v>
      </c>
      <c r="G926" s="4" t="n">
        <v>24.99</v>
      </c>
      <c r="H926" s="4" t="n">
        <v>12.73</v>
      </c>
      <c r="I926" s="4" t="n">
        <f aca="false">F926*G926</f>
        <v>449.82</v>
      </c>
      <c r="J926" s="4" t="n">
        <f aca="false">F926*H926</f>
        <v>229.14</v>
      </c>
      <c r="K926" s="4" t="n">
        <f aca="false">I926-J926</f>
        <v>220.68</v>
      </c>
      <c r="L926" s="5" t="n">
        <f aca="false">IFERROR(K926/I926,0)</f>
        <v>0.490596238495398</v>
      </c>
    </row>
    <row r="927" customFormat="false" ht="15" hidden="false" customHeight="false" outlineLevel="0" collapsed="false">
      <c r="A927" s="2" t="s">
        <v>50</v>
      </c>
      <c r="B927" s="2" t="s">
        <v>51</v>
      </c>
      <c r="C927" s="2" t="s">
        <v>14</v>
      </c>
      <c r="D927" s="2" t="s">
        <v>15</v>
      </c>
      <c r="E927" s="3" t="n">
        <v>45992</v>
      </c>
      <c r="F927" s="2" t="n">
        <v>17</v>
      </c>
      <c r="G927" s="4" t="n">
        <v>69.99</v>
      </c>
      <c r="H927" s="4" t="n">
        <v>32.94</v>
      </c>
      <c r="I927" s="4" t="n">
        <f aca="false">F927*G927</f>
        <v>1189.83</v>
      </c>
      <c r="J927" s="4" t="n">
        <f aca="false">F927*H927</f>
        <v>559.98</v>
      </c>
      <c r="K927" s="4" t="n">
        <f aca="false">I927-J927</f>
        <v>629.85</v>
      </c>
      <c r="L927" s="5" t="n">
        <f aca="false">IFERROR(K927/I927,0)</f>
        <v>0.529361337333905</v>
      </c>
    </row>
    <row r="928" customFormat="false" ht="15" hidden="false" customHeight="false" outlineLevel="0" collapsed="false">
      <c r="A928" s="2" t="s">
        <v>50</v>
      </c>
      <c r="B928" s="2" t="s">
        <v>51</v>
      </c>
      <c r="C928" s="2" t="s">
        <v>14</v>
      </c>
      <c r="D928" s="2" t="s">
        <v>16</v>
      </c>
      <c r="E928" s="3" t="n">
        <v>45992</v>
      </c>
      <c r="F928" s="2" t="n">
        <v>8</v>
      </c>
      <c r="G928" s="4" t="n">
        <v>19.99</v>
      </c>
      <c r="H928" s="4" t="n">
        <v>8.99</v>
      </c>
      <c r="I928" s="4" t="n">
        <f aca="false">F928*G928</f>
        <v>159.92</v>
      </c>
      <c r="J928" s="4" t="n">
        <f aca="false">F928*H928</f>
        <v>71.92</v>
      </c>
      <c r="K928" s="4" t="n">
        <f aca="false">I928-J928</f>
        <v>88</v>
      </c>
      <c r="L928" s="5" t="n">
        <f aca="false">IFERROR(K928/I928,0)</f>
        <v>0.550275137568784</v>
      </c>
    </row>
    <row r="929" customFormat="false" ht="15" hidden="false" customHeight="false" outlineLevel="0" collapsed="false">
      <c r="A929" s="2" t="s">
        <v>50</v>
      </c>
      <c r="B929" s="2" t="s">
        <v>51</v>
      </c>
      <c r="C929" s="2" t="s">
        <v>14</v>
      </c>
      <c r="D929" s="2" t="s">
        <v>17</v>
      </c>
      <c r="E929" s="3" t="n">
        <v>45992</v>
      </c>
      <c r="F929" s="2" t="n">
        <v>7</v>
      </c>
      <c r="G929" s="4" t="n">
        <v>79.99</v>
      </c>
      <c r="H929" s="4" t="n">
        <v>39.78</v>
      </c>
      <c r="I929" s="4" t="n">
        <f aca="false">F929*G929</f>
        <v>559.93</v>
      </c>
      <c r="J929" s="4" t="n">
        <f aca="false">F929*H929</f>
        <v>278.46</v>
      </c>
      <c r="K929" s="4" t="n">
        <f aca="false">I929-J929</f>
        <v>281.47</v>
      </c>
      <c r="L929" s="5" t="n">
        <f aca="false">IFERROR(K929/I929,0)</f>
        <v>0.502687835979497</v>
      </c>
    </row>
    <row r="930" customFormat="false" ht="15" hidden="false" customHeight="false" outlineLevel="0" collapsed="false">
      <c r="A930" s="2" t="s">
        <v>50</v>
      </c>
      <c r="B930" s="2" t="s">
        <v>51</v>
      </c>
      <c r="C930" s="2" t="s">
        <v>14</v>
      </c>
      <c r="D930" s="2" t="s">
        <v>18</v>
      </c>
      <c r="E930" s="3" t="n">
        <v>45992</v>
      </c>
      <c r="F930" s="2" t="n">
        <v>10</v>
      </c>
      <c r="G930" s="4" t="n">
        <v>34.99</v>
      </c>
      <c r="H930" s="4" t="n">
        <v>14.54</v>
      </c>
      <c r="I930" s="4" t="n">
        <f aca="false">F930*G930</f>
        <v>349.9</v>
      </c>
      <c r="J930" s="4" t="n">
        <f aca="false">F930*H930</f>
        <v>145.4</v>
      </c>
      <c r="K930" s="4" t="n">
        <f aca="false">I930-J930</f>
        <v>204.5</v>
      </c>
      <c r="L930" s="5" t="n">
        <f aca="false">IFERROR(K930/I930,0)</f>
        <v>0.584452700771649</v>
      </c>
    </row>
    <row r="931" customFormat="false" ht="15" hidden="false" customHeight="false" outlineLevel="0" collapsed="false">
      <c r="A931" s="2" t="s">
        <v>50</v>
      </c>
      <c r="B931" s="2" t="s">
        <v>51</v>
      </c>
      <c r="C931" s="2" t="s">
        <v>14</v>
      </c>
      <c r="D931" s="2" t="s">
        <v>19</v>
      </c>
      <c r="E931" s="3" t="n">
        <v>45992</v>
      </c>
      <c r="F931" s="2" t="n">
        <v>16</v>
      </c>
      <c r="G931" s="4" t="n">
        <v>54.99</v>
      </c>
      <c r="H931" s="4" t="n">
        <v>23.73</v>
      </c>
      <c r="I931" s="4" t="n">
        <f aca="false">F931*G931</f>
        <v>879.84</v>
      </c>
      <c r="J931" s="4" t="n">
        <f aca="false">F931*H931</f>
        <v>379.68</v>
      </c>
      <c r="K931" s="4" t="n">
        <f aca="false">I931-J931</f>
        <v>500.16</v>
      </c>
      <c r="L931" s="5" t="n">
        <f aca="false">IFERROR(K931/I931,0)</f>
        <v>0.568466993998909</v>
      </c>
    </row>
    <row r="932" customFormat="false" ht="15" hidden="false" customHeight="false" outlineLevel="0" collapsed="false">
      <c r="A932" s="2" t="s">
        <v>50</v>
      </c>
      <c r="B932" s="2" t="s">
        <v>51</v>
      </c>
      <c r="C932" s="2" t="s">
        <v>20</v>
      </c>
      <c r="D932" s="2" t="s">
        <v>21</v>
      </c>
      <c r="E932" s="3" t="n">
        <v>45992</v>
      </c>
      <c r="F932" s="2" t="n">
        <v>10</v>
      </c>
      <c r="G932" s="4" t="n">
        <v>44.99</v>
      </c>
      <c r="H932" s="4" t="n">
        <v>20.18</v>
      </c>
      <c r="I932" s="4" t="n">
        <f aca="false">F932*G932</f>
        <v>449.9</v>
      </c>
      <c r="J932" s="4" t="n">
        <f aca="false">F932*H932</f>
        <v>201.8</v>
      </c>
      <c r="K932" s="4" t="n">
        <f aca="false">I932-J932</f>
        <v>248.1</v>
      </c>
      <c r="L932" s="5" t="n">
        <f aca="false">IFERROR(K932/I932,0)</f>
        <v>0.551455879084241</v>
      </c>
    </row>
    <row r="933" customFormat="false" ht="15" hidden="false" customHeight="false" outlineLevel="0" collapsed="false">
      <c r="A933" s="2" t="s">
        <v>50</v>
      </c>
      <c r="B933" s="2" t="s">
        <v>51</v>
      </c>
      <c r="C933" s="2" t="s">
        <v>20</v>
      </c>
      <c r="D933" s="2" t="s">
        <v>22</v>
      </c>
      <c r="E933" s="3" t="n">
        <v>45992</v>
      </c>
      <c r="F933" s="2" t="n">
        <v>13</v>
      </c>
      <c r="G933" s="4" t="n">
        <v>14.99</v>
      </c>
      <c r="H933" s="4" t="n">
        <v>5.79</v>
      </c>
      <c r="I933" s="4" t="n">
        <f aca="false">F933*G933</f>
        <v>194.87</v>
      </c>
      <c r="J933" s="4" t="n">
        <f aca="false">F933*H933</f>
        <v>75.27</v>
      </c>
      <c r="K933" s="4" t="n">
        <f aca="false">I933-J933</f>
        <v>119.6</v>
      </c>
      <c r="L933" s="5" t="n">
        <f aca="false">IFERROR(K933/I933,0)</f>
        <v>0.613742494996664</v>
      </c>
    </row>
    <row r="934" customFormat="false" ht="15" hidden="false" customHeight="false" outlineLevel="0" collapsed="false">
      <c r="A934" s="2" t="s">
        <v>50</v>
      </c>
      <c r="B934" s="2" t="s">
        <v>51</v>
      </c>
      <c r="C934" s="2" t="s">
        <v>20</v>
      </c>
      <c r="D934" s="2" t="s">
        <v>23</v>
      </c>
      <c r="E934" s="3" t="n">
        <v>45992</v>
      </c>
      <c r="F934" s="2" t="n">
        <v>11</v>
      </c>
      <c r="G934" s="4" t="n">
        <v>39.99</v>
      </c>
      <c r="H934" s="4" t="n">
        <v>16.54</v>
      </c>
      <c r="I934" s="4" t="n">
        <f aca="false">F934*G934</f>
        <v>439.89</v>
      </c>
      <c r="J934" s="4" t="n">
        <f aca="false">F934*H934</f>
        <v>181.94</v>
      </c>
      <c r="K934" s="4" t="n">
        <f aca="false">I934-J934</f>
        <v>257.95</v>
      </c>
      <c r="L934" s="5" t="n">
        <f aca="false">IFERROR(K934/I934,0)</f>
        <v>0.586396599149788</v>
      </c>
    </row>
    <row r="935" customFormat="false" ht="15" hidden="false" customHeight="false" outlineLevel="0" collapsed="false">
      <c r="A935" s="2" t="s">
        <v>50</v>
      </c>
      <c r="B935" s="2" t="s">
        <v>51</v>
      </c>
      <c r="C935" s="2" t="s">
        <v>20</v>
      </c>
      <c r="D935" s="2" t="s">
        <v>24</v>
      </c>
      <c r="E935" s="3" t="n">
        <v>45992</v>
      </c>
      <c r="F935" s="2" t="n">
        <v>15</v>
      </c>
      <c r="G935" s="4" t="n">
        <v>18.99</v>
      </c>
      <c r="H935" s="4" t="n">
        <v>7.7</v>
      </c>
      <c r="I935" s="4" t="n">
        <f aca="false">F935*G935</f>
        <v>284.85</v>
      </c>
      <c r="J935" s="4" t="n">
        <f aca="false">F935*H935</f>
        <v>115.5</v>
      </c>
      <c r="K935" s="4" t="n">
        <f aca="false">I935-J935</f>
        <v>169.35</v>
      </c>
      <c r="L935" s="5" t="n">
        <f aca="false">IFERROR(K935/I935,0)</f>
        <v>0.594523433385993</v>
      </c>
    </row>
    <row r="936" customFormat="false" ht="15" hidden="false" customHeight="false" outlineLevel="0" collapsed="false">
      <c r="A936" s="2" t="s">
        <v>50</v>
      </c>
      <c r="B936" s="2" t="s">
        <v>51</v>
      </c>
      <c r="C936" s="2" t="s">
        <v>20</v>
      </c>
      <c r="D936" s="2" t="s">
        <v>25</v>
      </c>
      <c r="E936" s="3" t="n">
        <v>45992</v>
      </c>
      <c r="F936" s="2" t="n">
        <v>10</v>
      </c>
      <c r="G936" s="4" t="n">
        <v>42.99</v>
      </c>
      <c r="H936" s="4" t="n">
        <v>15.94</v>
      </c>
      <c r="I936" s="4" t="n">
        <f aca="false">F936*G936</f>
        <v>429.9</v>
      </c>
      <c r="J936" s="4" t="n">
        <f aca="false">F936*H936</f>
        <v>159.4</v>
      </c>
      <c r="K936" s="4" t="n">
        <f aca="false">I936-J936</f>
        <v>270.5</v>
      </c>
      <c r="L936" s="5" t="n">
        <f aca="false">IFERROR(K936/I936,0)</f>
        <v>0.62921609676669</v>
      </c>
    </row>
    <row r="937" customFormat="false" ht="15" hidden="false" customHeight="false" outlineLevel="0" collapsed="false">
      <c r="A937" s="2" t="s">
        <v>50</v>
      </c>
      <c r="B937" s="2" t="s">
        <v>51</v>
      </c>
      <c r="C937" s="2" t="s">
        <v>26</v>
      </c>
      <c r="D937" s="2" t="s">
        <v>27</v>
      </c>
      <c r="E937" s="3" t="n">
        <v>45992</v>
      </c>
      <c r="F937" s="2" t="n">
        <v>22</v>
      </c>
      <c r="G937" s="4" t="n">
        <v>44.99</v>
      </c>
      <c r="H937" s="4" t="n">
        <v>28.54</v>
      </c>
      <c r="I937" s="4" t="n">
        <f aca="false">F937*G937</f>
        <v>989.78</v>
      </c>
      <c r="J937" s="4" t="n">
        <f aca="false">F937*H937</f>
        <v>627.88</v>
      </c>
      <c r="K937" s="4" t="n">
        <f aca="false">I937-J937</f>
        <v>361.9</v>
      </c>
      <c r="L937" s="5" t="n">
        <f aca="false">IFERROR(K937/I937,0)</f>
        <v>0.365636808179596</v>
      </c>
    </row>
    <row r="938" customFormat="false" ht="15" hidden="false" customHeight="false" outlineLevel="0" collapsed="false">
      <c r="A938" s="2" t="s">
        <v>50</v>
      </c>
      <c r="B938" s="2" t="s">
        <v>51</v>
      </c>
      <c r="C938" s="2" t="s">
        <v>26</v>
      </c>
      <c r="D938" s="2" t="s">
        <v>28</v>
      </c>
      <c r="E938" s="3" t="n">
        <v>45992</v>
      </c>
      <c r="F938" s="2" t="n">
        <v>31</v>
      </c>
      <c r="G938" s="4" t="n">
        <v>34.99</v>
      </c>
      <c r="H938" s="4" t="n">
        <v>22.2</v>
      </c>
      <c r="I938" s="4" t="n">
        <f aca="false">F938*G938</f>
        <v>1084.69</v>
      </c>
      <c r="J938" s="4" t="n">
        <f aca="false">F938*H938</f>
        <v>688.2</v>
      </c>
      <c r="K938" s="4" t="n">
        <f aca="false">I938-J938</f>
        <v>396.49</v>
      </c>
      <c r="L938" s="5" t="n">
        <f aca="false">IFERROR(K938/I938,0)</f>
        <v>0.365533009431266</v>
      </c>
    </row>
    <row r="939" customFormat="false" ht="15" hidden="false" customHeight="false" outlineLevel="0" collapsed="false">
      <c r="A939" s="2" t="s">
        <v>50</v>
      </c>
      <c r="B939" s="2" t="s">
        <v>51</v>
      </c>
      <c r="C939" s="2" t="s">
        <v>26</v>
      </c>
      <c r="D939" s="2" t="s">
        <v>29</v>
      </c>
      <c r="E939" s="3" t="n">
        <v>45992</v>
      </c>
      <c r="F939" s="2" t="n">
        <v>40</v>
      </c>
      <c r="G939" s="4" t="n">
        <v>119.99</v>
      </c>
      <c r="H939" s="4" t="n">
        <v>80.53</v>
      </c>
      <c r="I939" s="4" t="n">
        <f aca="false">F939*G939</f>
        <v>4799.6</v>
      </c>
      <c r="J939" s="4" t="n">
        <f aca="false">F939*H939</f>
        <v>3221.2</v>
      </c>
      <c r="K939" s="4" t="n">
        <f aca="false">I939-J939</f>
        <v>1578.4</v>
      </c>
      <c r="L939" s="5" t="n">
        <f aca="false">IFERROR(K939/I939,0)</f>
        <v>0.328860738394866</v>
      </c>
    </row>
    <row r="940" customFormat="false" ht="15" hidden="false" customHeight="false" outlineLevel="0" collapsed="false">
      <c r="A940" s="2" t="s">
        <v>50</v>
      </c>
      <c r="B940" s="2" t="s">
        <v>51</v>
      </c>
      <c r="C940" s="2" t="s">
        <v>26</v>
      </c>
      <c r="D940" s="2" t="s">
        <v>30</v>
      </c>
      <c r="E940" s="3" t="n">
        <v>45992</v>
      </c>
      <c r="F940" s="2" t="n">
        <v>38</v>
      </c>
      <c r="G940" s="4" t="n">
        <v>24.99</v>
      </c>
      <c r="H940" s="4" t="n">
        <v>14.94</v>
      </c>
      <c r="I940" s="4" t="n">
        <f aca="false">F940*G940</f>
        <v>949.62</v>
      </c>
      <c r="J940" s="4" t="n">
        <f aca="false">F940*H940</f>
        <v>567.72</v>
      </c>
      <c r="K940" s="4" t="n">
        <f aca="false">I940-J940</f>
        <v>381.9</v>
      </c>
      <c r="L940" s="5" t="n">
        <f aca="false">IFERROR(K940/I940,0)</f>
        <v>0.402160864345738</v>
      </c>
    </row>
    <row r="941" customFormat="false" ht="15" hidden="false" customHeight="false" outlineLevel="0" collapsed="false">
      <c r="A941" s="2" t="s">
        <v>50</v>
      </c>
      <c r="B941" s="2" t="s">
        <v>51</v>
      </c>
      <c r="C941" s="2" t="s">
        <v>26</v>
      </c>
      <c r="D941" s="2" t="s">
        <v>31</v>
      </c>
      <c r="E941" s="3" t="n">
        <v>45992</v>
      </c>
      <c r="F941" s="2" t="n">
        <v>34</v>
      </c>
      <c r="G941" s="4" t="n">
        <v>59.99</v>
      </c>
      <c r="H941" s="4" t="n">
        <v>39.93</v>
      </c>
      <c r="I941" s="4" t="n">
        <f aca="false">F941*G941</f>
        <v>2039.66</v>
      </c>
      <c r="J941" s="4" t="n">
        <f aca="false">F941*H941</f>
        <v>1357.62</v>
      </c>
      <c r="K941" s="4" t="n">
        <f aca="false">I941-J941</f>
        <v>682.04</v>
      </c>
      <c r="L941" s="5" t="n">
        <f aca="false">IFERROR(K941/I941,0)</f>
        <v>0.334389064844141</v>
      </c>
    </row>
    <row r="942" customFormat="false" ht="15" hidden="false" customHeight="false" outlineLevel="0" collapsed="false">
      <c r="A942" s="2" t="s">
        <v>50</v>
      </c>
      <c r="B942" s="2" t="s">
        <v>51</v>
      </c>
      <c r="C942" s="2" t="s">
        <v>32</v>
      </c>
      <c r="D942" s="2" t="s">
        <v>33</v>
      </c>
      <c r="E942" s="3" t="n">
        <v>45992</v>
      </c>
      <c r="F942" s="2" t="n">
        <v>13</v>
      </c>
      <c r="G942" s="4" t="n">
        <v>49.99</v>
      </c>
      <c r="H942" s="4" t="n">
        <v>36.67</v>
      </c>
      <c r="I942" s="4" t="n">
        <f aca="false">F942*G942</f>
        <v>649.87</v>
      </c>
      <c r="J942" s="4" t="n">
        <f aca="false">F942*H942</f>
        <v>476.71</v>
      </c>
      <c r="K942" s="4" t="n">
        <f aca="false">I942-J942</f>
        <v>173.16</v>
      </c>
      <c r="L942" s="5" t="n">
        <f aca="false">IFERROR(K942/I942,0)</f>
        <v>0.266453290658132</v>
      </c>
    </row>
    <row r="943" customFormat="false" ht="15" hidden="false" customHeight="false" outlineLevel="0" collapsed="false">
      <c r="A943" s="2" t="s">
        <v>50</v>
      </c>
      <c r="B943" s="2" t="s">
        <v>51</v>
      </c>
      <c r="C943" s="2" t="s">
        <v>32</v>
      </c>
      <c r="D943" s="2" t="s">
        <v>34</v>
      </c>
      <c r="E943" s="3" t="n">
        <v>45992</v>
      </c>
      <c r="F943" s="2" t="n">
        <v>22</v>
      </c>
      <c r="G943" s="4" t="n">
        <v>27.99</v>
      </c>
      <c r="H943" s="4" t="n">
        <v>20.38</v>
      </c>
      <c r="I943" s="4" t="n">
        <f aca="false">F943*G943</f>
        <v>615.78</v>
      </c>
      <c r="J943" s="4" t="n">
        <f aca="false">F943*H943</f>
        <v>448.36</v>
      </c>
      <c r="K943" s="4" t="n">
        <f aca="false">I943-J943</f>
        <v>167.42</v>
      </c>
      <c r="L943" s="5" t="n">
        <f aca="false">IFERROR(K943/I943,0)</f>
        <v>0.271882815291176</v>
      </c>
    </row>
    <row r="944" customFormat="false" ht="15" hidden="false" customHeight="false" outlineLevel="0" collapsed="false">
      <c r="A944" s="2" t="s">
        <v>50</v>
      </c>
      <c r="B944" s="2" t="s">
        <v>51</v>
      </c>
      <c r="C944" s="2" t="s">
        <v>32</v>
      </c>
      <c r="D944" s="2" t="s">
        <v>35</v>
      </c>
      <c r="E944" s="3" t="n">
        <v>45992</v>
      </c>
      <c r="F944" s="2" t="n">
        <v>14</v>
      </c>
      <c r="G944" s="4" t="n">
        <v>64.99</v>
      </c>
      <c r="H944" s="4" t="n">
        <v>46.07</v>
      </c>
      <c r="I944" s="4" t="n">
        <f aca="false">F944*G944</f>
        <v>909.86</v>
      </c>
      <c r="J944" s="4" t="n">
        <f aca="false">F944*H944</f>
        <v>644.98</v>
      </c>
      <c r="K944" s="4" t="n">
        <f aca="false">I944-J944</f>
        <v>264.88</v>
      </c>
      <c r="L944" s="5" t="n">
        <f aca="false">IFERROR(K944/I944,0)</f>
        <v>0.291121711032466</v>
      </c>
    </row>
    <row r="945" customFormat="false" ht="15" hidden="false" customHeight="false" outlineLevel="0" collapsed="false">
      <c r="A945" s="2" t="s">
        <v>50</v>
      </c>
      <c r="B945" s="2" t="s">
        <v>51</v>
      </c>
      <c r="C945" s="2" t="s">
        <v>32</v>
      </c>
      <c r="D945" s="2" t="s">
        <v>36</v>
      </c>
      <c r="E945" s="3" t="n">
        <v>45992</v>
      </c>
      <c r="F945" s="2" t="n">
        <v>14</v>
      </c>
      <c r="G945" s="4" t="n">
        <v>22.99</v>
      </c>
      <c r="H945" s="4" t="n">
        <v>17.21</v>
      </c>
      <c r="I945" s="4" t="n">
        <f aca="false">F945*G945</f>
        <v>321.86</v>
      </c>
      <c r="J945" s="4" t="n">
        <f aca="false">F945*H945</f>
        <v>240.94</v>
      </c>
      <c r="K945" s="4" t="n">
        <f aca="false">I945-J945</f>
        <v>80.92</v>
      </c>
      <c r="L945" s="5" t="n">
        <f aca="false">IFERROR(K945/I945,0)</f>
        <v>0.251413658112223</v>
      </c>
    </row>
    <row r="946" customFormat="false" ht="15" hidden="false" customHeight="false" outlineLevel="0" collapsed="false">
      <c r="A946" s="2" t="s">
        <v>50</v>
      </c>
      <c r="B946" s="2" t="s">
        <v>51</v>
      </c>
      <c r="C946" s="2" t="s">
        <v>32</v>
      </c>
      <c r="D946" s="2" t="s">
        <v>37</v>
      </c>
      <c r="E946" s="3" t="n">
        <v>45992</v>
      </c>
      <c r="F946" s="2" t="n">
        <v>10</v>
      </c>
      <c r="G946" s="4" t="n">
        <v>29.99</v>
      </c>
      <c r="H946" s="4" t="n">
        <v>19.81</v>
      </c>
      <c r="I946" s="4" t="n">
        <f aca="false">F946*G946</f>
        <v>299.9</v>
      </c>
      <c r="J946" s="4" t="n">
        <f aca="false">F946*H946</f>
        <v>198.1</v>
      </c>
      <c r="K946" s="4" t="n">
        <f aca="false">I946-J946</f>
        <v>101.8</v>
      </c>
      <c r="L946" s="5" t="n">
        <f aca="false">IFERROR(K946/I946,0)</f>
        <v>0.33944648216072</v>
      </c>
    </row>
    <row r="947" customFormat="false" ht="15" hidden="false" customHeight="false" outlineLevel="0" collapsed="false">
      <c r="A947" s="2" t="s">
        <v>50</v>
      </c>
      <c r="B947" s="2" t="s">
        <v>51</v>
      </c>
      <c r="C947" s="2" t="s">
        <v>38</v>
      </c>
      <c r="D947" s="2" t="s">
        <v>39</v>
      </c>
      <c r="E947" s="3" t="n">
        <v>45992</v>
      </c>
      <c r="F947" s="2" t="n">
        <v>5</v>
      </c>
      <c r="G947" s="4" t="n">
        <v>129.99</v>
      </c>
      <c r="H947" s="4" t="n">
        <v>75.18</v>
      </c>
      <c r="I947" s="4" t="n">
        <f aca="false">F947*G947</f>
        <v>649.95</v>
      </c>
      <c r="J947" s="4" t="n">
        <f aca="false">F947*H947</f>
        <v>375.9</v>
      </c>
      <c r="K947" s="4" t="n">
        <f aca="false">I947-J947</f>
        <v>274.05</v>
      </c>
      <c r="L947" s="5" t="n">
        <f aca="false">IFERROR(K947/I947,0)</f>
        <v>0.421647819063005</v>
      </c>
    </row>
    <row r="948" customFormat="false" ht="15" hidden="false" customHeight="false" outlineLevel="0" collapsed="false">
      <c r="A948" s="2" t="s">
        <v>50</v>
      </c>
      <c r="B948" s="2" t="s">
        <v>51</v>
      </c>
      <c r="C948" s="2" t="s">
        <v>38</v>
      </c>
      <c r="D948" s="2" t="s">
        <v>40</v>
      </c>
      <c r="E948" s="3" t="n">
        <v>45992</v>
      </c>
      <c r="F948" s="2" t="n">
        <v>5</v>
      </c>
      <c r="G948" s="4" t="n">
        <v>74.99</v>
      </c>
      <c r="H948" s="4" t="n">
        <v>41.26</v>
      </c>
      <c r="I948" s="4" t="n">
        <f aca="false">F948*G948</f>
        <v>374.95</v>
      </c>
      <c r="J948" s="4" t="n">
        <f aca="false">F948*H948</f>
        <v>206.3</v>
      </c>
      <c r="K948" s="4" t="n">
        <f aca="false">I948-J948</f>
        <v>168.65</v>
      </c>
      <c r="L948" s="5" t="n">
        <f aca="false">IFERROR(K948/I948,0)</f>
        <v>0.449793305774103</v>
      </c>
    </row>
    <row r="949" customFormat="false" ht="15" hidden="false" customHeight="false" outlineLevel="0" collapsed="false">
      <c r="A949" s="2" t="s">
        <v>50</v>
      </c>
      <c r="B949" s="2" t="s">
        <v>51</v>
      </c>
      <c r="C949" s="2" t="s">
        <v>38</v>
      </c>
      <c r="D949" s="2" t="s">
        <v>41</v>
      </c>
      <c r="E949" s="3" t="n">
        <v>45992</v>
      </c>
      <c r="F949" s="2" t="n">
        <v>7</v>
      </c>
      <c r="G949" s="4" t="n">
        <v>19.99</v>
      </c>
      <c r="H949" s="4" t="n">
        <v>9.37</v>
      </c>
      <c r="I949" s="4" t="n">
        <f aca="false">F949*G949</f>
        <v>139.93</v>
      </c>
      <c r="J949" s="4" t="n">
        <f aca="false">F949*H949</f>
        <v>65.59</v>
      </c>
      <c r="K949" s="4" t="n">
        <f aca="false">I949-J949</f>
        <v>74.34</v>
      </c>
      <c r="L949" s="5" t="n">
        <f aca="false">IFERROR(K949/I949,0)</f>
        <v>0.531265632816408</v>
      </c>
    </row>
    <row r="950" customFormat="false" ht="15" hidden="false" customHeight="false" outlineLevel="0" collapsed="false">
      <c r="A950" s="2" t="s">
        <v>50</v>
      </c>
      <c r="B950" s="2" t="s">
        <v>51</v>
      </c>
      <c r="C950" s="2" t="s">
        <v>38</v>
      </c>
      <c r="D950" s="2" t="s">
        <v>42</v>
      </c>
      <c r="E950" s="3" t="n">
        <v>45992</v>
      </c>
      <c r="F950" s="2" t="n">
        <v>3</v>
      </c>
      <c r="G950" s="4" t="n">
        <v>16.99</v>
      </c>
      <c r="H950" s="4" t="n">
        <v>8.32</v>
      </c>
      <c r="I950" s="4" t="n">
        <f aca="false">F950*G950</f>
        <v>50.97</v>
      </c>
      <c r="J950" s="4" t="n">
        <f aca="false">F950*H950</f>
        <v>24.96</v>
      </c>
      <c r="K950" s="4" t="n">
        <f aca="false">I950-J950</f>
        <v>26.01</v>
      </c>
      <c r="L950" s="5" t="n">
        <f aca="false">IFERROR(K950/I950,0)</f>
        <v>0.510300176574456</v>
      </c>
    </row>
    <row r="951" customFormat="false" ht="15" hidden="false" customHeight="false" outlineLevel="0" collapsed="false">
      <c r="A951" s="2" t="s">
        <v>50</v>
      </c>
      <c r="B951" s="2" t="s">
        <v>51</v>
      </c>
      <c r="C951" s="2" t="s">
        <v>38</v>
      </c>
      <c r="D951" s="2" t="s">
        <v>43</v>
      </c>
      <c r="E951" s="3" t="n">
        <v>45992</v>
      </c>
      <c r="F951" s="2" t="n">
        <v>4</v>
      </c>
      <c r="G951" s="4" t="n">
        <v>24.99</v>
      </c>
      <c r="H951" s="4" t="n">
        <v>13.33</v>
      </c>
      <c r="I951" s="4" t="n">
        <f aca="false">F951*G951</f>
        <v>99.96</v>
      </c>
      <c r="J951" s="4" t="n">
        <f aca="false">F951*H951</f>
        <v>53.32</v>
      </c>
      <c r="K951" s="4" t="n">
        <f aca="false">I951-J951</f>
        <v>46.64</v>
      </c>
      <c r="L951" s="5" t="n">
        <f aca="false">IFERROR(K951/I951,0)</f>
        <v>0.466586634653862</v>
      </c>
    </row>
    <row r="952" customFormat="false" ht="15" hidden="false" customHeight="false" outlineLevel="0" collapsed="false">
      <c r="A952" s="2" t="s">
        <v>52</v>
      </c>
      <c r="B952" s="2" t="s">
        <v>53</v>
      </c>
      <c r="C952" s="2" t="s">
        <v>14</v>
      </c>
      <c r="D952" s="2" t="s">
        <v>15</v>
      </c>
      <c r="E952" s="3" t="n">
        <v>45992</v>
      </c>
      <c r="F952" s="2" t="n">
        <v>17</v>
      </c>
      <c r="G952" s="4" t="n">
        <v>69.99</v>
      </c>
      <c r="H952" s="4" t="n">
        <v>33.8</v>
      </c>
      <c r="I952" s="4" t="n">
        <f aca="false">F952*G952</f>
        <v>1189.83</v>
      </c>
      <c r="J952" s="4" t="n">
        <f aca="false">F952*H952</f>
        <v>574.6</v>
      </c>
      <c r="K952" s="4" t="n">
        <f aca="false">I952-J952</f>
        <v>615.23</v>
      </c>
      <c r="L952" s="5" t="n">
        <f aca="false">IFERROR(K952/I952,0)</f>
        <v>0.517073867695385</v>
      </c>
    </row>
    <row r="953" customFormat="false" ht="15" hidden="false" customHeight="false" outlineLevel="0" collapsed="false">
      <c r="A953" s="2" t="s">
        <v>52</v>
      </c>
      <c r="B953" s="2" t="s">
        <v>53</v>
      </c>
      <c r="C953" s="2" t="s">
        <v>14</v>
      </c>
      <c r="D953" s="2" t="s">
        <v>16</v>
      </c>
      <c r="E953" s="3" t="n">
        <v>45992</v>
      </c>
      <c r="F953" s="2" t="n">
        <v>18</v>
      </c>
      <c r="G953" s="4" t="n">
        <v>19.99</v>
      </c>
      <c r="H953" s="4" t="n">
        <v>9.03</v>
      </c>
      <c r="I953" s="4" t="n">
        <f aca="false">F953*G953</f>
        <v>359.82</v>
      </c>
      <c r="J953" s="4" t="n">
        <f aca="false">F953*H953</f>
        <v>162.54</v>
      </c>
      <c r="K953" s="4" t="n">
        <f aca="false">I953-J953</f>
        <v>197.28</v>
      </c>
      <c r="L953" s="5" t="n">
        <f aca="false">IFERROR(K953/I953,0)</f>
        <v>0.548274137068534</v>
      </c>
    </row>
    <row r="954" customFormat="false" ht="15" hidden="false" customHeight="false" outlineLevel="0" collapsed="false">
      <c r="A954" s="2" t="s">
        <v>52</v>
      </c>
      <c r="B954" s="2" t="s">
        <v>53</v>
      </c>
      <c r="C954" s="2" t="s">
        <v>14</v>
      </c>
      <c r="D954" s="2" t="s">
        <v>17</v>
      </c>
      <c r="E954" s="3" t="n">
        <v>45992</v>
      </c>
      <c r="F954" s="2" t="n">
        <v>15</v>
      </c>
      <c r="G954" s="4" t="n">
        <v>79.99</v>
      </c>
      <c r="H954" s="4" t="n">
        <v>38.83</v>
      </c>
      <c r="I954" s="4" t="n">
        <f aca="false">F954*G954</f>
        <v>1199.85</v>
      </c>
      <c r="J954" s="4" t="n">
        <f aca="false">F954*H954</f>
        <v>582.45</v>
      </c>
      <c r="K954" s="4" t="n">
        <f aca="false">I954-J954</f>
        <v>617.4</v>
      </c>
      <c r="L954" s="5" t="n">
        <f aca="false">IFERROR(K954/I954,0)</f>
        <v>0.514564320540068</v>
      </c>
    </row>
    <row r="955" customFormat="false" ht="15" hidden="false" customHeight="false" outlineLevel="0" collapsed="false">
      <c r="A955" s="2" t="s">
        <v>52</v>
      </c>
      <c r="B955" s="2" t="s">
        <v>53</v>
      </c>
      <c r="C955" s="2" t="s">
        <v>14</v>
      </c>
      <c r="D955" s="2" t="s">
        <v>18</v>
      </c>
      <c r="E955" s="3" t="n">
        <v>45992</v>
      </c>
      <c r="F955" s="2" t="n">
        <v>14</v>
      </c>
      <c r="G955" s="4" t="n">
        <v>34.99</v>
      </c>
      <c r="H955" s="4" t="n">
        <v>14.96</v>
      </c>
      <c r="I955" s="4" t="n">
        <f aca="false">F955*G955</f>
        <v>489.86</v>
      </c>
      <c r="J955" s="4" t="n">
        <f aca="false">F955*H955</f>
        <v>209.44</v>
      </c>
      <c r="K955" s="4" t="n">
        <f aca="false">I955-J955</f>
        <v>280.42</v>
      </c>
      <c r="L955" s="5" t="n">
        <f aca="false">IFERROR(K955/I955,0)</f>
        <v>0.572449271220349</v>
      </c>
    </row>
    <row r="956" customFormat="false" ht="15" hidden="false" customHeight="false" outlineLevel="0" collapsed="false">
      <c r="A956" s="2" t="s">
        <v>52</v>
      </c>
      <c r="B956" s="2" t="s">
        <v>53</v>
      </c>
      <c r="C956" s="2" t="s">
        <v>14</v>
      </c>
      <c r="D956" s="2" t="s">
        <v>19</v>
      </c>
      <c r="E956" s="3" t="n">
        <v>45992</v>
      </c>
      <c r="F956" s="2" t="n">
        <v>15</v>
      </c>
      <c r="G956" s="4" t="n">
        <v>54.99</v>
      </c>
      <c r="H956" s="4" t="n">
        <v>24.24</v>
      </c>
      <c r="I956" s="4" t="n">
        <f aca="false">F956*G956</f>
        <v>824.85</v>
      </c>
      <c r="J956" s="4" t="n">
        <f aca="false">F956*H956</f>
        <v>363.6</v>
      </c>
      <c r="K956" s="4" t="n">
        <f aca="false">I956-J956</f>
        <v>461.25</v>
      </c>
      <c r="L956" s="5" t="n">
        <f aca="false">IFERROR(K956/I956,0)</f>
        <v>0.559192580469176</v>
      </c>
    </row>
    <row r="957" customFormat="false" ht="15" hidden="false" customHeight="false" outlineLevel="0" collapsed="false">
      <c r="A957" s="2" t="s">
        <v>52</v>
      </c>
      <c r="B957" s="2" t="s">
        <v>53</v>
      </c>
      <c r="C957" s="2" t="s">
        <v>20</v>
      </c>
      <c r="D957" s="2" t="s">
        <v>21</v>
      </c>
      <c r="E957" s="3" t="n">
        <v>45992</v>
      </c>
      <c r="F957" s="2" t="n">
        <v>13</v>
      </c>
      <c r="G957" s="4" t="n">
        <v>44.99</v>
      </c>
      <c r="H957" s="4" t="n">
        <v>20.68</v>
      </c>
      <c r="I957" s="4" t="n">
        <f aca="false">F957*G957</f>
        <v>584.87</v>
      </c>
      <c r="J957" s="4" t="n">
        <f aca="false">F957*H957</f>
        <v>268.84</v>
      </c>
      <c r="K957" s="4" t="n">
        <f aca="false">I957-J957</f>
        <v>316.03</v>
      </c>
      <c r="L957" s="5" t="n">
        <f aca="false">IFERROR(K957/I957,0)</f>
        <v>0.540342298288509</v>
      </c>
    </row>
    <row r="958" customFormat="false" ht="15" hidden="false" customHeight="false" outlineLevel="0" collapsed="false">
      <c r="A958" s="2" t="s">
        <v>52</v>
      </c>
      <c r="B958" s="2" t="s">
        <v>53</v>
      </c>
      <c r="C958" s="2" t="s">
        <v>20</v>
      </c>
      <c r="D958" s="2" t="s">
        <v>22</v>
      </c>
      <c r="E958" s="3" t="n">
        <v>45992</v>
      </c>
      <c r="F958" s="2" t="n">
        <v>21</v>
      </c>
      <c r="G958" s="4" t="n">
        <v>14.99</v>
      </c>
      <c r="H958" s="4" t="n">
        <v>5.55</v>
      </c>
      <c r="I958" s="4" t="n">
        <f aca="false">F958*G958</f>
        <v>314.79</v>
      </c>
      <c r="J958" s="4" t="n">
        <f aca="false">F958*H958</f>
        <v>116.55</v>
      </c>
      <c r="K958" s="4" t="n">
        <f aca="false">I958-J958</f>
        <v>198.24</v>
      </c>
      <c r="L958" s="5" t="n">
        <f aca="false">IFERROR(K958/I958,0)</f>
        <v>0.629753168779186</v>
      </c>
    </row>
    <row r="959" customFormat="false" ht="15" hidden="false" customHeight="false" outlineLevel="0" collapsed="false">
      <c r="A959" s="2" t="s">
        <v>52</v>
      </c>
      <c r="B959" s="2" t="s">
        <v>53</v>
      </c>
      <c r="C959" s="2" t="s">
        <v>20</v>
      </c>
      <c r="D959" s="2" t="s">
        <v>23</v>
      </c>
      <c r="E959" s="3" t="n">
        <v>45992</v>
      </c>
      <c r="F959" s="2" t="n">
        <v>16</v>
      </c>
      <c r="G959" s="4" t="n">
        <v>39.99</v>
      </c>
      <c r="H959" s="4" t="n">
        <v>17.14</v>
      </c>
      <c r="I959" s="4" t="n">
        <f aca="false">F959*G959</f>
        <v>639.84</v>
      </c>
      <c r="J959" s="4" t="n">
        <f aca="false">F959*H959</f>
        <v>274.24</v>
      </c>
      <c r="K959" s="4" t="n">
        <f aca="false">I959-J959</f>
        <v>365.6</v>
      </c>
      <c r="L959" s="5" t="n">
        <f aca="false">IFERROR(K959/I959,0)</f>
        <v>0.571392848212053</v>
      </c>
    </row>
    <row r="960" customFormat="false" ht="15" hidden="false" customHeight="false" outlineLevel="0" collapsed="false">
      <c r="A960" s="2" t="s">
        <v>52</v>
      </c>
      <c r="B960" s="2" t="s">
        <v>53</v>
      </c>
      <c r="C960" s="2" t="s">
        <v>20</v>
      </c>
      <c r="D960" s="2" t="s">
        <v>24</v>
      </c>
      <c r="E960" s="3" t="n">
        <v>45992</v>
      </c>
      <c r="F960" s="2" t="n">
        <v>21</v>
      </c>
      <c r="G960" s="4" t="n">
        <v>18.99</v>
      </c>
      <c r="H960" s="4" t="n">
        <v>7.64</v>
      </c>
      <c r="I960" s="4" t="n">
        <f aca="false">F960*G960</f>
        <v>398.79</v>
      </c>
      <c r="J960" s="4" t="n">
        <f aca="false">F960*H960</f>
        <v>160.44</v>
      </c>
      <c r="K960" s="4" t="n">
        <f aca="false">I960-J960</f>
        <v>238.35</v>
      </c>
      <c r="L960" s="5" t="n">
        <f aca="false">IFERROR(K960/I960,0)</f>
        <v>0.59768299104792</v>
      </c>
    </row>
    <row r="961" customFormat="false" ht="15" hidden="false" customHeight="false" outlineLevel="0" collapsed="false">
      <c r="A961" s="2" t="s">
        <v>52</v>
      </c>
      <c r="B961" s="2" t="s">
        <v>53</v>
      </c>
      <c r="C961" s="2" t="s">
        <v>20</v>
      </c>
      <c r="D961" s="2" t="s">
        <v>25</v>
      </c>
      <c r="E961" s="3" t="n">
        <v>45992</v>
      </c>
      <c r="F961" s="2" t="n">
        <v>21</v>
      </c>
      <c r="G961" s="4" t="n">
        <v>42.99</v>
      </c>
      <c r="H961" s="4" t="n">
        <v>16.19</v>
      </c>
      <c r="I961" s="4" t="n">
        <f aca="false">F961*G961</f>
        <v>902.79</v>
      </c>
      <c r="J961" s="4" t="n">
        <f aca="false">F961*H961</f>
        <v>339.99</v>
      </c>
      <c r="K961" s="4" t="n">
        <f aca="false">I961-J961</f>
        <v>562.8</v>
      </c>
      <c r="L961" s="5" t="n">
        <f aca="false">IFERROR(K961/I961,0)</f>
        <v>0.6234007908816</v>
      </c>
    </row>
    <row r="962" customFormat="false" ht="15" hidden="false" customHeight="false" outlineLevel="0" collapsed="false">
      <c r="A962" s="2" t="s">
        <v>52</v>
      </c>
      <c r="B962" s="2" t="s">
        <v>53</v>
      </c>
      <c r="C962" s="2" t="s">
        <v>26</v>
      </c>
      <c r="D962" s="2" t="s">
        <v>27</v>
      </c>
      <c r="E962" s="3" t="n">
        <v>45992</v>
      </c>
      <c r="F962" s="2" t="n">
        <v>37</v>
      </c>
      <c r="G962" s="4" t="n">
        <v>44.99</v>
      </c>
      <c r="H962" s="4" t="n">
        <v>27.9</v>
      </c>
      <c r="I962" s="4" t="n">
        <f aca="false">F962*G962</f>
        <v>1664.63</v>
      </c>
      <c r="J962" s="4" t="n">
        <f aca="false">F962*H962</f>
        <v>1032.3</v>
      </c>
      <c r="K962" s="4" t="n">
        <f aca="false">I962-J962</f>
        <v>632.33</v>
      </c>
      <c r="L962" s="5" t="n">
        <f aca="false">IFERROR(K962/I962,0)</f>
        <v>0.379862191598133</v>
      </c>
    </row>
    <row r="963" customFormat="false" ht="15" hidden="false" customHeight="false" outlineLevel="0" collapsed="false">
      <c r="A963" s="2" t="s">
        <v>52</v>
      </c>
      <c r="B963" s="2" t="s">
        <v>53</v>
      </c>
      <c r="C963" s="2" t="s">
        <v>26</v>
      </c>
      <c r="D963" s="2" t="s">
        <v>28</v>
      </c>
      <c r="E963" s="3" t="n">
        <v>45992</v>
      </c>
      <c r="F963" s="2" t="n">
        <v>34</v>
      </c>
      <c r="G963" s="4" t="n">
        <v>34.99</v>
      </c>
      <c r="H963" s="4" t="n">
        <v>22.24</v>
      </c>
      <c r="I963" s="4" t="n">
        <f aca="false">F963*G963</f>
        <v>1189.66</v>
      </c>
      <c r="J963" s="4" t="n">
        <f aca="false">F963*H963</f>
        <v>756.16</v>
      </c>
      <c r="K963" s="4" t="n">
        <f aca="false">I963-J963</f>
        <v>433.5</v>
      </c>
      <c r="L963" s="5" t="n">
        <f aca="false">IFERROR(K963/I963,0)</f>
        <v>0.364389825664476</v>
      </c>
    </row>
    <row r="964" customFormat="false" ht="15" hidden="false" customHeight="false" outlineLevel="0" collapsed="false">
      <c r="A964" s="2" t="s">
        <v>52</v>
      </c>
      <c r="B964" s="2" t="s">
        <v>53</v>
      </c>
      <c r="C964" s="2" t="s">
        <v>26</v>
      </c>
      <c r="D964" s="2" t="s">
        <v>29</v>
      </c>
      <c r="E964" s="3" t="n">
        <v>45992</v>
      </c>
      <c r="F964" s="2" t="n">
        <v>40</v>
      </c>
      <c r="G964" s="4" t="n">
        <v>119.99</v>
      </c>
      <c r="H964" s="4" t="n">
        <v>81.05</v>
      </c>
      <c r="I964" s="4" t="n">
        <f aca="false">F964*G964</f>
        <v>4799.6</v>
      </c>
      <c r="J964" s="4" t="n">
        <f aca="false">F964*H964</f>
        <v>3242</v>
      </c>
      <c r="K964" s="4" t="n">
        <f aca="false">I964-J964</f>
        <v>1557.6</v>
      </c>
      <c r="L964" s="5" t="n">
        <f aca="false">IFERROR(K964/I964,0)</f>
        <v>0.324527043920327</v>
      </c>
    </row>
    <row r="965" customFormat="false" ht="15" hidden="false" customHeight="false" outlineLevel="0" collapsed="false">
      <c r="A965" s="2" t="s">
        <v>52</v>
      </c>
      <c r="B965" s="2" t="s">
        <v>53</v>
      </c>
      <c r="C965" s="2" t="s">
        <v>26</v>
      </c>
      <c r="D965" s="2" t="s">
        <v>30</v>
      </c>
      <c r="E965" s="3" t="n">
        <v>45992</v>
      </c>
      <c r="F965" s="2" t="n">
        <v>50</v>
      </c>
      <c r="G965" s="4" t="n">
        <v>24.99</v>
      </c>
      <c r="H965" s="4" t="n">
        <v>14.88</v>
      </c>
      <c r="I965" s="4" t="n">
        <f aca="false">F965*G965</f>
        <v>1249.5</v>
      </c>
      <c r="J965" s="4" t="n">
        <f aca="false">F965*H965</f>
        <v>744</v>
      </c>
      <c r="K965" s="4" t="n">
        <f aca="false">I965-J965</f>
        <v>505.5</v>
      </c>
      <c r="L965" s="5" t="n">
        <f aca="false">IFERROR(K965/I965,0)</f>
        <v>0.404561824729892</v>
      </c>
    </row>
    <row r="966" customFormat="false" ht="15" hidden="false" customHeight="false" outlineLevel="0" collapsed="false">
      <c r="A966" s="2" t="s">
        <v>52</v>
      </c>
      <c r="B966" s="2" t="s">
        <v>53</v>
      </c>
      <c r="C966" s="2" t="s">
        <v>26</v>
      </c>
      <c r="D966" s="2" t="s">
        <v>31</v>
      </c>
      <c r="E966" s="3" t="n">
        <v>45992</v>
      </c>
      <c r="F966" s="2" t="n">
        <v>48</v>
      </c>
      <c r="G966" s="4" t="n">
        <v>59.99</v>
      </c>
      <c r="H966" s="4" t="n">
        <v>39.9</v>
      </c>
      <c r="I966" s="4" t="n">
        <f aca="false">F966*G966</f>
        <v>2879.52</v>
      </c>
      <c r="J966" s="4" t="n">
        <f aca="false">F966*H966</f>
        <v>1915.2</v>
      </c>
      <c r="K966" s="4" t="n">
        <f aca="false">I966-J966</f>
        <v>964.32</v>
      </c>
      <c r="L966" s="5" t="n">
        <f aca="false">IFERROR(K966/I966,0)</f>
        <v>0.334889148191365</v>
      </c>
    </row>
    <row r="967" customFormat="false" ht="15" hidden="false" customHeight="false" outlineLevel="0" collapsed="false">
      <c r="A967" s="2" t="s">
        <v>52</v>
      </c>
      <c r="B967" s="2" t="s">
        <v>53</v>
      </c>
      <c r="C967" s="2" t="s">
        <v>32</v>
      </c>
      <c r="D967" s="2" t="s">
        <v>33</v>
      </c>
      <c r="E967" s="3" t="n">
        <v>45992</v>
      </c>
      <c r="F967" s="2" t="n">
        <v>14</v>
      </c>
      <c r="G967" s="4" t="n">
        <v>49.99</v>
      </c>
      <c r="H967" s="4" t="n">
        <v>35.51</v>
      </c>
      <c r="I967" s="4" t="n">
        <f aca="false">F967*G967</f>
        <v>699.86</v>
      </c>
      <c r="J967" s="4" t="n">
        <f aca="false">F967*H967</f>
        <v>497.14</v>
      </c>
      <c r="K967" s="4" t="n">
        <f aca="false">I967-J967</f>
        <v>202.72</v>
      </c>
      <c r="L967" s="5" t="n">
        <f aca="false">IFERROR(K967/I967,0)</f>
        <v>0.289657931586317</v>
      </c>
    </row>
    <row r="968" customFormat="false" ht="15" hidden="false" customHeight="false" outlineLevel="0" collapsed="false">
      <c r="A968" s="2" t="s">
        <v>52</v>
      </c>
      <c r="B968" s="2" t="s">
        <v>53</v>
      </c>
      <c r="C968" s="2" t="s">
        <v>32</v>
      </c>
      <c r="D968" s="2" t="s">
        <v>34</v>
      </c>
      <c r="E968" s="3" t="n">
        <v>45992</v>
      </c>
      <c r="F968" s="2" t="n">
        <v>18</v>
      </c>
      <c r="G968" s="4" t="n">
        <v>27.99</v>
      </c>
      <c r="H968" s="4" t="n">
        <v>19.68</v>
      </c>
      <c r="I968" s="4" t="n">
        <f aca="false">F968*G968</f>
        <v>503.82</v>
      </c>
      <c r="J968" s="4" t="n">
        <f aca="false">F968*H968</f>
        <v>354.24</v>
      </c>
      <c r="K968" s="4" t="n">
        <f aca="false">I968-J968</f>
        <v>149.58</v>
      </c>
      <c r="L968" s="5" t="n">
        <f aca="false">IFERROR(K968/I968,0)</f>
        <v>0.296891747052519</v>
      </c>
    </row>
    <row r="969" customFormat="false" ht="15" hidden="false" customHeight="false" outlineLevel="0" collapsed="false">
      <c r="A969" s="2" t="s">
        <v>52</v>
      </c>
      <c r="B969" s="2" t="s">
        <v>53</v>
      </c>
      <c r="C969" s="2" t="s">
        <v>32</v>
      </c>
      <c r="D969" s="2" t="s">
        <v>35</v>
      </c>
      <c r="E969" s="3" t="n">
        <v>45992</v>
      </c>
      <c r="F969" s="2" t="n">
        <v>13</v>
      </c>
      <c r="G969" s="4" t="n">
        <v>64.99</v>
      </c>
      <c r="H969" s="4" t="n">
        <v>46.13</v>
      </c>
      <c r="I969" s="4" t="n">
        <f aca="false">F969*G969</f>
        <v>844.87</v>
      </c>
      <c r="J969" s="4" t="n">
        <f aca="false">F969*H969</f>
        <v>599.69</v>
      </c>
      <c r="K969" s="4" t="n">
        <f aca="false">I969-J969</f>
        <v>245.18</v>
      </c>
      <c r="L969" s="5" t="n">
        <f aca="false">IFERROR(K969/I969,0)</f>
        <v>0.290198492075704</v>
      </c>
    </row>
    <row r="970" customFormat="false" ht="15" hidden="false" customHeight="false" outlineLevel="0" collapsed="false">
      <c r="A970" s="2" t="s">
        <v>52</v>
      </c>
      <c r="B970" s="2" t="s">
        <v>53</v>
      </c>
      <c r="C970" s="2" t="s">
        <v>32</v>
      </c>
      <c r="D970" s="2" t="s">
        <v>36</v>
      </c>
      <c r="E970" s="3" t="n">
        <v>45992</v>
      </c>
      <c r="F970" s="2" t="n">
        <v>19</v>
      </c>
      <c r="G970" s="4" t="n">
        <v>22.99</v>
      </c>
      <c r="H970" s="4" t="n">
        <v>17.22</v>
      </c>
      <c r="I970" s="4" t="n">
        <f aca="false">F970*G970</f>
        <v>436.81</v>
      </c>
      <c r="J970" s="4" t="n">
        <f aca="false">F970*H970</f>
        <v>327.18</v>
      </c>
      <c r="K970" s="4" t="n">
        <f aca="false">I970-J970</f>
        <v>109.63</v>
      </c>
      <c r="L970" s="5" t="n">
        <f aca="false">IFERROR(K970/I970,0)</f>
        <v>0.250978686385385</v>
      </c>
    </row>
    <row r="971" customFormat="false" ht="15" hidden="false" customHeight="false" outlineLevel="0" collapsed="false">
      <c r="A971" s="2" t="s">
        <v>52</v>
      </c>
      <c r="B971" s="2" t="s">
        <v>53</v>
      </c>
      <c r="C971" s="2" t="s">
        <v>32</v>
      </c>
      <c r="D971" s="2" t="s">
        <v>37</v>
      </c>
      <c r="E971" s="3" t="n">
        <v>45992</v>
      </c>
      <c r="F971" s="2" t="n">
        <v>17</v>
      </c>
      <c r="G971" s="4" t="n">
        <v>29.99</v>
      </c>
      <c r="H971" s="4" t="n">
        <v>20.73</v>
      </c>
      <c r="I971" s="4" t="n">
        <f aca="false">F971*G971</f>
        <v>509.83</v>
      </c>
      <c r="J971" s="4" t="n">
        <f aca="false">F971*H971</f>
        <v>352.41</v>
      </c>
      <c r="K971" s="4" t="n">
        <f aca="false">I971-J971</f>
        <v>157.42</v>
      </c>
      <c r="L971" s="5" t="n">
        <f aca="false">IFERROR(K971/I971,0)</f>
        <v>0.308769589863288</v>
      </c>
    </row>
    <row r="972" customFormat="false" ht="15" hidden="false" customHeight="false" outlineLevel="0" collapsed="false">
      <c r="A972" s="2" t="s">
        <v>52</v>
      </c>
      <c r="B972" s="2" t="s">
        <v>53</v>
      </c>
      <c r="C972" s="2" t="s">
        <v>38</v>
      </c>
      <c r="D972" s="2" t="s">
        <v>39</v>
      </c>
      <c r="E972" s="3" t="n">
        <v>45992</v>
      </c>
      <c r="F972" s="2" t="n">
        <v>16</v>
      </c>
      <c r="G972" s="4" t="n">
        <v>129.99</v>
      </c>
      <c r="H972" s="4" t="n">
        <v>77.17</v>
      </c>
      <c r="I972" s="4" t="n">
        <f aca="false">F972*G972</f>
        <v>2079.84</v>
      </c>
      <c r="J972" s="4" t="n">
        <f aca="false">F972*H972</f>
        <v>1234.72</v>
      </c>
      <c r="K972" s="4" t="n">
        <f aca="false">I972-J972</f>
        <v>845.12</v>
      </c>
      <c r="L972" s="5" t="n">
        <f aca="false">IFERROR(K972/I972,0)</f>
        <v>0.406338949149935</v>
      </c>
    </row>
    <row r="973" customFormat="false" ht="15" hidden="false" customHeight="false" outlineLevel="0" collapsed="false">
      <c r="A973" s="2" t="s">
        <v>52</v>
      </c>
      <c r="B973" s="2" t="s">
        <v>53</v>
      </c>
      <c r="C973" s="2" t="s">
        <v>38</v>
      </c>
      <c r="D973" s="2" t="s">
        <v>40</v>
      </c>
      <c r="E973" s="3" t="n">
        <v>45992</v>
      </c>
      <c r="F973" s="2" t="n">
        <v>10</v>
      </c>
      <c r="G973" s="4" t="n">
        <v>74.99</v>
      </c>
      <c r="H973" s="4" t="n">
        <v>40.08</v>
      </c>
      <c r="I973" s="4" t="n">
        <f aca="false">F973*G973</f>
        <v>749.9</v>
      </c>
      <c r="J973" s="4" t="n">
        <f aca="false">F973*H973</f>
        <v>400.8</v>
      </c>
      <c r="K973" s="4" t="n">
        <f aca="false">I973-J973</f>
        <v>349.1</v>
      </c>
      <c r="L973" s="5" t="n">
        <f aca="false">IFERROR(K973/I973,0)</f>
        <v>0.465528737164955</v>
      </c>
    </row>
    <row r="974" customFormat="false" ht="15" hidden="false" customHeight="false" outlineLevel="0" collapsed="false">
      <c r="A974" s="2" t="s">
        <v>52</v>
      </c>
      <c r="B974" s="2" t="s">
        <v>53</v>
      </c>
      <c r="C974" s="2" t="s">
        <v>38</v>
      </c>
      <c r="D974" s="2" t="s">
        <v>41</v>
      </c>
      <c r="E974" s="3" t="n">
        <v>45992</v>
      </c>
      <c r="F974" s="2" t="n">
        <v>13</v>
      </c>
      <c r="G974" s="4" t="n">
        <v>19.99</v>
      </c>
      <c r="H974" s="4" t="n">
        <v>9.82</v>
      </c>
      <c r="I974" s="4" t="n">
        <f aca="false">F974*G974</f>
        <v>259.87</v>
      </c>
      <c r="J974" s="4" t="n">
        <f aca="false">F974*H974</f>
        <v>127.66</v>
      </c>
      <c r="K974" s="4" t="n">
        <f aca="false">I974-J974</f>
        <v>132.21</v>
      </c>
      <c r="L974" s="5" t="n">
        <f aca="false">IFERROR(K974/I974,0)</f>
        <v>0.508754377188594</v>
      </c>
    </row>
    <row r="975" customFormat="false" ht="15" hidden="false" customHeight="false" outlineLevel="0" collapsed="false">
      <c r="A975" s="2" t="s">
        <v>52</v>
      </c>
      <c r="B975" s="2" t="s">
        <v>53</v>
      </c>
      <c r="C975" s="2" t="s">
        <v>38</v>
      </c>
      <c r="D975" s="2" t="s">
        <v>42</v>
      </c>
      <c r="E975" s="3" t="n">
        <v>45992</v>
      </c>
      <c r="F975" s="2" t="n">
        <v>14</v>
      </c>
      <c r="G975" s="4" t="n">
        <v>16.99</v>
      </c>
      <c r="H975" s="4" t="n">
        <v>8.44</v>
      </c>
      <c r="I975" s="4" t="n">
        <f aca="false">F975*G975</f>
        <v>237.86</v>
      </c>
      <c r="J975" s="4" t="n">
        <f aca="false">F975*H975</f>
        <v>118.16</v>
      </c>
      <c r="K975" s="4" t="n">
        <f aca="false">I975-J975</f>
        <v>119.7</v>
      </c>
      <c r="L975" s="5" t="n">
        <f aca="false">IFERROR(K975/I975,0)</f>
        <v>0.503237198351972</v>
      </c>
    </row>
    <row r="976" customFormat="false" ht="15" hidden="false" customHeight="false" outlineLevel="0" collapsed="false">
      <c r="A976" s="2" t="s">
        <v>52</v>
      </c>
      <c r="B976" s="2" t="s">
        <v>53</v>
      </c>
      <c r="C976" s="2" t="s">
        <v>38</v>
      </c>
      <c r="D976" s="2" t="s">
        <v>43</v>
      </c>
      <c r="E976" s="3" t="n">
        <v>45992</v>
      </c>
      <c r="F976" s="2" t="n">
        <v>25</v>
      </c>
      <c r="G976" s="4" t="n">
        <v>24.99</v>
      </c>
      <c r="H976" s="4" t="n">
        <v>13.38</v>
      </c>
      <c r="I976" s="4" t="n">
        <f aca="false">F976*G976</f>
        <v>624.75</v>
      </c>
      <c r="J976" s="4" t="n">
        <f aca="false">F976*H976</f>
        <v>334.5</v>
      </c>
      <c r="K976" s="4" t="n">
        <f aca="false">I976-J976</f>
        <v>290.25</v>
      </c>
      <c r="L976" s="5" t="n">
        <f aca="false">IFERROR(K976/I976,0)</f>
        <v>0.464585834333734</v>
      </c>
    </row>
    <row r="977" customFormat="false" ht="15" hidden="false" customHeight="false" outlineLevel="0" collapsed="false">
      <c r="A977" s="2" t="s">
        <v>52</v>
      </c>
      <c r="B977" s="2" t="s">
        <v>54</v>
      </c>
      <c r="C977" s="2" t="s">
        <v>14</v>
      </c>
      <c r="D977" s="2" t="s">
        <v>15</v>
      </c>
      <c r="E977" s="3" t="n">
        <v>45992</v>
      </c>
      <c r="F977" s="2" t="n">
        <v>20</v>
      </c>
      <c r="G977" s="4" t="n">
        <v>69.99</v>
      </c>
      <c r="H977" s="4" t="n">
        <v>34.44</v>
      </c>
      <c r="I977" s="4" t="n">
        <f aca="false">F977*G977</f>
        <v>1399.8</v>
      </c>
      <c r="J977" s="4" t="n">
        <f aca="false">F977*H977</f>
        <v>688.8</v>
      </c>
      <c r="K977" s="4" t="n">
        <f aca="false">I977-J977</f>
        <v>711</v>
      </c>
      <c r="L977" s="5" t="n">
        <f aca="false">IFERROR(K977/I977,0)</f>
        <v>0.507929704243463</v>
      </c>
    </row>
    <row r="978" customFormat="false" ht="15" hidden="false" customHeight="false" outlineLevel="0" collapsed="false">
      <c r="A978" s="2" t="s">
        <v>52</v>
      </c>
      <c r="B978" s="2" t="s">
        <v>54</v>
      </c>
      <c r="C978" s="2" t="s">
        <v>14</v>
      </c>
      <c r="D978" s="2" t="s">
        <v>16</v>
      </c>
      <c r="E978" s="3" t="n">
        <v>45992</v>
      </c>
      <c r="F978" s="2" t="n">
        <v>22</v>
      </c>
      <c r="G978" s="4" t="n">
        <v>19.99</v>
      </c>
      <c r="H978" s="4" t="n">
        <v>8.74</v>
      </c>
      <c r="I978" s="4" t="n">
        <f aca="false">F978*G978</f>
        <v>439.78</v>
      </c>
      <c r="J978" s="4" t="n">
        <f aca="false">F978*H978</f>
        <v>192.28</v>
      </c>
      <c r="K978" s="4" t="n">
        <f aca="false">I978-J978</f>
        <v>247.5</v>
      </c>
      <c r="L978" s="5" t="n">
        <f aca="false">IFERROR(K978/I978,0)</f>
        <v>0.562781390695348</v>
      </c>
    </row>
    <row r="979" customFormat="false" ht="15" hidden="false" customHeight="false" outlineLevel="0" collapsed="false">
      <c r="A979" s="2" t="s">
        <v>52</v>
      </c>
      <c r="B979" s="2" t="s">
        <v>54</v>
      </c>
      <c r="C979" s="2" t="s">
        <v>14</v>
      </c>
      <c r="D979" s="2" t="s">
        <v>17</v>
      </c>
      <c r="E979" s="3" t="n">
        <v>45992</v>
      </c>
      <c r="F979" s="2" t="n">
        <v>10</v>
      </c>
      <c r="G979" s="4" t="n">
        <v>79.99</v>
      </c>
      <c r="H979" s="4" t="n">
        <v>38.86</v>
      </c>
      <c r="I979" s="4" t="n">
        <f aca="false">F979*G979</f>
        <v>799.9</v>
      </c>
      <c r="J979" s="4" t="n">
        <f aca="false">F979*H979</f>
        <v>388.6</v>
      </c>
      <c r="K979" s="4" t="n">
        <f aca="false">I979-J979</f>
        <v>411.3</v>
      </c>
      <c r="L979" s="5" t="n">
        <f aca="false">IFERROR(K979/I979,0)</f>
        <v>0.514189273659207</v>
      </c>
    </row>
    <row r="980" customFormat="false" ht="15" hidden="false" customHeight="false" outlineLevel="0" collapsed="false">
      <c r="A980" s="2" t="s">
        <v>52</v>
      </c>
      <c r="B980" s="2" t="s">
        <v>54</v>
      </c>
      <c r="C980" s="2" t="s">
        <v>14</v>
      </c>
      <c r="D980" s="2" t="s">
        <v>18</v>
      </c>
      <c r="E980" s="3" t="n">
        <v>45992</v>
      </c>
      <c r="F980" s="2" t="n">
        <v>14</v>
      </c>
      <c r="G980" s="4" t="n">
        <v>34.99</v>
      </c>
      <c r="H980" s="4" t="n">
        <v>14.63</v>
      </c>
      <c r="I980" s="4" t="n">
        <f aca="false">F980*G980</f>
        <v>489.86</v>
      </c>
      <c r="J980" s="4" t="n">
        <f aca="false">F980*H980</f>
        <v>204.82</v>
      </c>
      <c r="K980" s="4" t="n">
        <f aca="false">I980-J980</f>
        <v>285.04</v>
      </c>
      <c r="L980" s="5" t="n">
        <f aca="false">IFERROR(K980/I980,0)</f>
        <v>0.58188053729637</v>
      </c>
    </row>
    <row r="981" customFormat="false" ht="15" hidden="false" customHeight="false" outlineLevel="0" collapsed="false">
      <c r="A981" s="2" t="s">
        <v>52</v>
      </c>
      <c r="B981" s="2" t="s">
        <v>54</v>
      </c>
      <c r="C981" s="2" t="s">
        <v>14</v>
      </c>
      <c r="D981" s="2" t="s">
        <v>19</v>
      </c>
      <c r="E981" s="3" t="n">
        <v>45992</v>
      </c>
      <c r="F981" s="2" t="n">
        <v>20</v>
      </c>
      <c r="G981" s="4" t="n">
        <v>54.99</v>
      </c>
      <c r="H981" s="4" t="n">
        <v>23.88</v>
      </c>
      <c r="I981" s="4" t="n">
        <f aca="false">F981*G981</f>
        <v>1099.8</v>
      </c>
      <c r="J981" s="4" t="n">
        <f aca="false">F981*H981</f>
        <v>477.6</v>
      </c>
      <c r="K981" s="4" t="n">
        <f aca="false">I981-J981</f>
        <v>622.2</v>
      </c>
      <c r="L981" s="5" t="n">
        <f aca="false">IFERROR(K981/I981,0)</f>
        <v>0.565739225313694</v>
      </c>
    </row>
    <row r="982" customFormat="false" ht="15" hidden="false" customHeight="false" outlineLevel="0" collapsed="false">
      <c r="A982" s="2" t="s">
        <v>52</v>
      </c>
      <c r="B982" s="2" t="s">
        <v>54</v>
      </c>
      <c r="C982" s="2" t="s">
        <v>20</v>
      </c>
      <c r="D982" s="2" t="s">
        <v>21</v>
      </c>
      <c r="E982" s="3" t="n">
        <v>45992</v>
      </c>
      <c r="F982" s="2" t="n">
        <v>20</v>
      </c>
      <c r="G982" s="4" t="n">
        <v>44.99</v>
      </c>
      <c r="H982" s="4" t="n">
        <v>20.05</v>
      </c>
      <c r="I982" s="4" t="n">
        <f aca="false">F982*G982</f>
        <v>899.8</v>
      </c>
      <c r="J982" s="4" t="n">
        <f aca="false">F982*H982</f>
        <v>401</v>
      </c>
      <c r="K982" s="4" t="n">
        <f aca="false">I982-J982</f>
        <v>498.8</v>
      </c>
      <c r="L982" s="5" t="n">
        <f aca="false">IFERROR(K982/I982,0)</f>
        <v>0.554345410091131</v>
      </c>
    </row>
    <row r="983" customFormat="false" ht="15" hidden="false" customHeight="false" outlineLevel="0" collapsed="false">
      <c r="A983" s="2" t="s">
        <v>52</v>
      </c>
      <c r="B983" s="2" t="s">
        <v>54</v>
      </c>
      <c r="C983" s="2" t="s">
        <v>20</v>
      </c>
      <c r="D983" s="2" t="s">
        <v>22</v>
      </c>
      <c r="E983" s="3" t="n">
        <v>45992</v>
      </c>
      <c r="F983" s="2" t="n">
        <v>20</v>
      </c>
      <c r="G983" s="4" t="n">
        <v>14.99</v>
      </c>
      <c r="H983" s="4" t="n">
        <v>5.69</v>
      </c>
      <c r="I983" s="4" t="n">
        <f aca="false">F983*G983</f>
        <v>299.8</v>
      </c>
      <c r="J983" s="4" t="n">
        <f aca="false">F983*H983</f>
        <v>113.8</v>
      </c>
      <c r="K983" s="4" t="n">
        <f aca="false">I983-J983</f>
        <v>186</v>
      </c>
      <c r="L983" s="5" t="n">
        <f aca="false">IFERROR(K983/I983,0)</f>
        <v>0.620413609072715</v>
      </c>
    </row>
    <row r="984" customFormat="false" ht="15" hidden="false" customHeight="false" outlineLevel="0" collapsed="false">
      <c r="A984" s="2" t="s">
        <v>52</v>
      </c>
      <c r="B984" s="2" t="s">
        <v>54</v>
      </c>
      <c r="C984" s="2" t="s">
        <v>20</v>
      </c>
      <c r="D984" s="2" t="s">
        <v>23</v>
      </c>
      <c r="E984" s="3" t="n">
        <v>45992</v>
      </c>
      <c r="F984" s="2" t="n">
        <v>17</v>
      </c>
      <c r="G984" s="4" t="n">
        <v>39.99</v>
      </c>
      <c r="H984" s="4" t="n">
        <v>16.92</v>
      </c>
      <c r="I984" s="4" t="n">
        <f aca="false">F984*G984</f>
        <v>679.83</v>
      </c>
      <c r="J984" s="4" t="n">
        <f aca="false">F984*H984</f>
        <v>287.64</v>
      </c>
      <c r="K984" s="4" t="n">
        <f aca="false">I984-J984</f>
        <v>392.19</v>
      </c>
      <c r="L984" s="5" t="n">
        <f aca="false">IFERROR(K984/I984,0)</f>
        <v>0.576894223555889</v>
      </c>
    </row>
    <row r="985" customFormat="false" ht="15" hidden="false" customHeight="false" outlineLevel="0" collapsed="false">
      <c r="A985" s="2" t="s">
        <v>52</v>
      </c>
      <c r="B985" s="2" t="s">
        <v>54</v>
      </c>
      <c r="C985" s="2" t="s">
        <v>20</v>
      </c>
      <c r="D985" s="2" t="s">
        <v>24</v>
      </c>
      <c r="E985" s="3" t="n">
        <v>45992</v>
      </c>
      <c r="F985" s="2" t="n">
        <v>14</v>
      </c>
      <c r="G985" s="4" t="n">
        <v>18.99</v>
      </c>
      <c r="H985" s="4" t="n">
        <v>7.78</v>
      </c>
      <c r="I985" s="4" t="n">
        <f aca="false">F985*G985</f>
        <v>265.86</v>
      </c>
      <c r="J985" s="4" t="n">
        <f aca="false">F985*H985</f>
        <v>108.92</v>
      </c>
      <c r="K985" s="4" t="n">
        <f aca="false">I985-J985</f>
        <v>156.94</v>
      </c>
      <c r="L985" s="5" t="n">
        <f aca="false">IFERROR(K985/I985,0)</f>
        <v>0.590310689836756</v>
      </c>
    </row>
    <row r="986" customFormat="false" ht="15" hidden="false" customHeight="false" outlineLevel="0" collapsed="false">
      <c r="A986" s="2" t="s">
        <v>52</v>
      </c>
      <c r="B986" s="2" t="s">
        <v>54</v>
      </c>
      <c r="C986" s="2" t="s">
        <v>20</v>
      </c>
      <c r="D986" s="2" t="s">
        <v>25</v>
      </c>
      <c r="E986" s="3" t="n">
        <v>45992</v>
      </c>
      <c r="F986" s="2" t="n">
        <v>14</v>
      </c>
      <c r="G986" s="4" t="n">
        <v>42.99</v>
      </c>
      <c r="H986" s="4" t="n">
        <v>15.77</v>
      </c>
      <c r="I986" s="4" t="n">
        <f aca="false">F986*G986</f>
        <v>601.86</v>
      </c>
      <c r="J986" s="4" t="n">
        <f aca="false">F986*H986</f>
        <v>220.78</v>
      </c>
      <c r="K986" s="4" t="n">
        <f aca="false">I986-J986</f>
        <v>381.08</v>
      </c>
      <c r="L986" s="5" t="n">
        <f aca="false">IFERROR(K986/I986,0)</f>
        <v>0.633170504768551</v>
      </c>
    </row>
    <row r="987" customFormat="false" ht="15" hidden="false" customHeight="false" outlineLevel="0" collapsed="false">
      <c r="A987" s="2" t="s">
        <v>52</v>
      </c>
      <c r="B987" s="2" t="s">
        <v>54</v>
      </c>
      <c r="C987" s="2" t="s">
        <v>26</v>
      </c>
      <c r="D987" s="2" t="s">
        <v>27</v>
      </c>
      <c r="E987" s="3" t="n">
        <v>45992</v>
      </c>
      <c r="F987" s="2" t="n">
        <v>41</v>
      </c>
      <c r="G987" s="4" t="n">
        <v>44.99</v>
      </c>
      <c r="H987" s="4" t="n">
        <v>28.68</v>
      </c>
      <c r="I987" s="4" t="n">
        <f aca="false">F987*G987</f>
        <v>1844.59</v>
      </c>
      <c r="J987" s="4" t="n">
        <f aca="false">F987*H987</f>
        <v>1175.88</v>
      </c>
      <c r="K987" s="4" t="n">
        <f aca="false">I987-J987</f>
        <v>668.71</v>
      </c>
      <c r="L987" s="5" t="n">
        <f aca="false">IFERROR(K987/I987,0)</f>
        <v>0.362525005556791</v>
      </c>
    </row>
    <row r="988" customFormat="false" ht="15" hidden="false" customHeight="false" outlineLevel="0" collapsed="false">
      <c r="A988" s="2" t="s">
        <v>52</v>
      </c>
      <c r="B988" s="2" t="s">
        <v>54</v>
      </c>
      <c r="C988" s="2" t="s">
        <v>26</v>
      </c>
      <c r="D988" s="2" t="s">
        <v>28</v>
      </c>
      <c r="E988" s="3" t="n">
        <v>45992</v>
      </c>
      <c r="F988" s="2" t="n">
        <v>68</v>
      </c>
      <c r="G988" s="4" t="n">
        <v>34.99</v>
      </c>
      <c r="H988" s="4" t="n">
        <v>22.04</v>
      </c>
      <c r="I988" s="4" t="n">
        <f aca="false">F988*G988</f>
        <v>2379.32</v>
      </c>
      <c r="J988" s="4" t="n">
        <f aca="false">F988*H988</f>
        <v>1498.72</v>
      </c>
      <c r="K988" s="4" t="n">
        <f aca="false">I988-J988</f>
        <v>880.6</v>
      </c>
      <c r="L988" s="5" t="n">
        <f aca="false">IFERROR(K988/I988,0)</f>
        <v>0.370105744498428</v>
      </c>
    </row>
    <row r="989" customFormat="false" ht="15" hidden="false" customHeight="false" outlineLevel="0" collapsed="false">
      <c r="A989" s="2" t="s">
        <v>52</v>
      </c>
      <c r="B989" s="2" t="s">
        <v>54</v>
      </c>
      <c r="C989" s="2" t="s">
        <v>26</v>
      </c>
      <c r="D989" s="2" t="s">
        <v>29</v>
      </c>
      <c r="E989" s="3" t="n">
        <v>45992</v>
      </c>
      <c r="F989" s="2" t="n">
        <v>35</v>
      </c>
      <c r="G989" s="4" t="n">
        <v>119.99</v>
      </c>
      <c r="H989" s="4" t="n">
        <v>81.46</v>
      </c>
      <c r="I989" s="4" t="n">
        <f aca="false">F989*G989</f>
        <v>4199.65</v>
      </c>
      <c r="J989" s="4" t="n">
        <f aca="false">F989*H989</f>
        <v>2851.1</v>
      </c>
      <c r="K989" s="4" t="n">
        <f aca="false">I989-J989</f>
        <v>1348.55</v>
      </c>
      <c r="L989" s="5" t="n">
        <f aca="false">IFERROR(K989/I989,0)</f>
        <v>0.321110092507709</v>
      </c>
    </row>
    <row r="990" customFormat="false" ht="15" hidden="false" customHeight="false" outlineLevel="0" collapsed="false">
      <c r="A990" s="2" t="s">
        <v>52</v>
      </c>
      <c r="B990" s="2" t="s">
        <v>54</v>
      </c>
      <c r="C990" s="2" t="s">
        <v>26</v>
      </c>
      <c r="D990" s="2" t="s">
        <v>30</v>
      </c>
      <c r="E990" s="3" t="n">
        <v>45992</v>
      </c>
      <c r="F990" s="2" t="n">
        <v>66</v>
      </c>
      <c r="G990" s="4" t="n">
        <v>24.99</v>
      </c>
      <c r="H990" s="4" t="n">
        <v>14.8</v>
      </c>
      <c r="I990" s="4" t="n">
        <f aca="false">F990*G990</f>
        <v>1649.34</v>
      </c>
      <c r="J990" s="4" t="n">
        <f aca="false">F990*H990</f>
        <v>976.8</v>
      </c>
      <c r="K990" s="4" t="n">
        <f aca="false">I990-J990</f>
        <v>672.54</v>
      </c>
      <c r="L990" s="5" t="n">
        <f aca="false">IFERROR(K990/I990,0)</f>
        <v>0.407763105242097</v>
      </c>
    </row>
    <row r="991" customFormat="false" ht="15" hidden="false" customHeight="false" outlineLevel="0" collapsed="false">
      <c r="A991" s="2" t="s">
        <v>52</v>
      </c>
      <c r="B991" s="2" t="s">
        <v>54</v>
      </c>
      <c r="C991" s="2" t="s">
        <v>26</v>
      </c>
      <c r="D991" s="2" t="s">
        <v>31</v>
      </c>
      <c r="E991" s="3" t="n">
        <v>45992</v>
      </c>
      <c r="F991" s="2" t="n">
        <v>54</v>
      </c>
      <c r="G991" s="4" t="n">
        <v>59.99</v>
      </c>
      <c r="H991" s="4" t="n">
        <v>39.81</v>
      </c>
      <c r="I991" s="4" t="n">
        <f aca="false">F991*G991</f>
        <v>3239.46</v>
      </c>
      <c r="J991" s="4" t="n">
        <f aca="false">F991*H991</f>
        <v>2149.74</v>
      </c>
      <c r="K991" s="4" t="n">
        <f aca="false">I991-J991</f>
        <v>1089.72</v>
      </c>
      <c r="L991" s="5" t="n">
        <f aca="false">IFERROR(K991/I991,0)</f>
        <v>0.336389398233039</v>
      </c>
    </row>
    <row r="992" customFormat="false" ht="15" hidden="false" customHeight="false" outlineLevel="0" collapsed="false">
      <c r="A992" s="2" t="s">
        <v>52</v>
      </c>
      <c r="B992" s="2" t="s">
        <v>54</v>
      </c>
      <c r="C992" s="2" t="s">
        <v>32</v>
      </c>
      <c r="D992" s="2" t="s">
        <v>33</v>
      </c>
      <c r="E992" s="3" t="n">
        <v>45992</v>
      </c>
      <c r="F992" s="2" t="n">
        <v>17</v>
      </c>
      <c r="G992" s="4" t="n">
        <v>49.99</v>
      </c>
      <c r="H992" s="4" t="n">
        <v>35.26</v>
      </c>
      <c r="I992" s="4" t="n">
        <f aca="false">F992*G992</f>
        <v>849.83</v>
      </c>
      <c r="J992" s="4" t="n">
        <f aca="false">F992*H992</f>
        <v>599.42</v>
      </c>
      <c r="K992" s="4" t="n">
        <f aca="false">I992-J992</f>
        <v>250.41</v>
      </c>
      <c r="L992" s="5" t="n">
        <f aca="false">IFERROR(K992/I992,0)</f>
        <v>0.294658931786357</v>
      </c>
    </row>
    <row r="993" customFormat="false" ht="15" hidden="false" customHeight="false" outlineLevel="0" collapsed="false">
      <c r="A993" s="2" t="s">
        <v>52</v>
      </c>
      <c r="B993" s="2" t="s">
        <v>54</v>
      </c>
      <c r="C993" s="2" t="s">
        <v>32</v>
      </c>
      <c r="D993" s="2" t="s">
        <v>34</v>
      </c>
      <c r="E993" s="3" t="n">
        <v>45992</v>
      </c>
      <c r="F993" s="2" t="n">
        <v>22</v>
      </c>
      <c r="G993" s="4" t="n">
        <v>27.99</v>
      </c>
      <c r="H993" s="4" t="n">
        <v>20.14</v>
      </c>
      <c r="I993" s="4" t="n">
        <f aca="false">F993*G993</f>
        <v>615.78</v>
      </c>
      <c r="J993" s="4" t="n">
        <f aca="false">F993*H993</f>
        <v>443.08</v>
      </c>
      <c r="K993" s="4" t="n">
        <f aca="false">I993-J993</f>
        <v>172.7</v>
      </c>
      <c r="L993" s="5" t="n">
        <f aca="false">IFERROR(K993/I993,0)</f>
        <v>0.280457306180779</v>
      </c>
    </row>
    <row r="994" customFormat="false" ht="15" hidden="false" customHeight="false" outlineLevel="0" collapsed="false">
      <c r="A994" s="2" t="s">
        <v>52</v>
      </c>
      <c r="B994" s="2" t="s">
        <v>54</v>
      </c>
      <c r="C994" s="2" t="s">
        <v>32</v>
      </c>
      <c r="D994" s="2" t="s">
        <v>35</v>
      </c>
      <c r="E994" s="3" t="n">
        <v>45992</v>
      </c>
      <c r="F994" s="2" t="n">
        <v>15</v>
      </c>
      <c r="G994" s="4" t="n">
        <v>64.99</v>
      </c>
      <c r="H994" s="4" t="n">
        <v>44.27</v>
      </c>
      <c r="I994" s="4" t="n">
        <f aca="false">F994*G994</f>
        <v>974.85</v>
      </c>
      <c r="J994" s="4" t="n">
        <f aca="false">F994*H994</f>
        <v>664.05</v>
      </c>
      <c r="K994" s="4" t="n">
        <f aca="false">I994-J994</f>
        <v>310.8</v>
      </c>
      <c r="L994" s="5" t="n">
        <f aca="false">IFERROR(K994/I994,0)</f>
        <v>0.318818279735344</v>
      </c>
    </row>
    <row r="995" customFormat="false" ht="15" hidden="false" customHeight="false" outlineLevel="0" collapsed="false">
      <c r="A995" s="2" t="s">
        <v>52</v>
      </c>
      <c r="B995" s="2" t="s">
        <v>54</v>
      </c>
      <c r="C995" s="2" t="s">
        <v>32</v>
      </c>
      <c r="D995" s="2" t="s">
        <v>36</v>
      </c>
      <c r="E995" s="3" t="n">
        <v>45992</v>
      </c>
      <c r="F995" s="2" t="n">
        <v>21</v>
      </c>
      <c r="G995" s="4" t="n">
        <v>22.99</v>
      </c>
      <c r="H995" s="4" t="n">
        <v>17.05</v>
      </c>
      <c r="I995" s="4" t="n">
        <f aca="false">F995*G995</f>
        <v>482.79</v>
      </c>
      <c r="J995" s="4" t="n">
        <f aca="false">F995*H995</f>
        <v>358.05</v>
      </c>
      <c r="K995" s="4" t="n">
        <f aca="false">I995-J995</f>
        <v>124.74</v>
      </c>
      <c r="L995" s="5" t="n">
        <f aca="false">IFERROR(K995/I995,0)</f>
        <v>0.258373205741627</v>
      </c>
    </row>
    <row r="996" customFormat="false" ht="15" hidden="false" customHeight="false" outlineLevel="0" collapsed="false">
      <c r="A996" s="2" t="s">
        <v>52</v>
      </c>
      <c r="B996" s="2" t="s">
        <v>54</v>
      </c>
      <c r="C996" s="2" t="s">
        <v>32</v>
      </c>
      <c r="D996" s="2" t="s">
        <v>37</v>
      </c>
      <c r="E996" s="3" t="n">
        <v>45992</v>
      </c>
      <c r="F996" s="2" t="n">
        <v>17</v>
      </c>
      <c r="G996" s="4" t="n">
        <v>29.99</v>
      </c>
      <c r="H996" s="4" t="n">
        <v>20.79</v>
      </c>
      <c r="I996" s="4" t="n">
        <f aca="false">F996*G996</f>
        <v>509.83</v>
      </c>
      <c r="J996" s="4" t="n">
        <f aca="false">F996*H996</f>
        <v>353.43</v>
      </c>
      <c r="K996" s="4" t="n">
        <f aca="false">I996-J996</f>
        <v>156.4</v>
      </c>
      <c r="L996" s="5" t="n">
        <f aca="false">IFERROR(K996/I996,0)</f>
        <v>0.306768922974325</v>
      </c>
    </row>
    <row r="997" customFormat="false" ht="15" hidden="false" customHeight="false" outlineLevel="0" collapsed="false">
      <c r="A997" s="2" t="s">
        <v>52</v>
      </c>
      <c r="B997" s="2" t="s">
        <v>54</v>
      </c>
      <c r="C997" s="2" t="s">
        <v>38</v>
      </c>
      <c r="D997" s="2" t="s">
        <v>39</v>
      </c>
      <c r="E997" s="3" t="n">
        <v>45992</v>
      </c>
      <c r="F997" s="2" t="n">
        <v>11</v>
      </c>
      <c r="G997" s="4" t="n">
        <v>129.99</v>
      </c>
      <c r="H997" s="4" t="n">
        <v>76.99</v>
      </c>
      <c r="I997" s="4" t="n">
        <f aca="false">F997*G997</f>
        <v>1429.89</v>
      </c>
      <c r="J997" s="4" t="n">
        <f aca="false">F997*H997</f>
        <v>846.89</v>
      </c>
      <c r="K997" s="4" t="n">
        <f aca="false">I997-J997</f>
        <v>583</v>
      </c>
      <c r="L997" s="5" t="n">
        <f aca="false">IFERROR(K997/I997,0)</f>
        <v>0.407723671051619</v>
      </c>
    </row>
    <row r="998" customFormat="false" ht="15" hidden="false" customHeight="false" outlineLevel="0" collapsed="false">
      <c r="A998" s="2" t="s">
        <v>52</v>
      </c>
      <c r="B998" s="2" t="s">
        <v>54</v>
      </c>
      <c r="C998" s="2" t="s">
        <v>38</v>
      </c>
      <c r="D998" s="2" t="s">
        <v>40</v>
      </c>
      <c r="E998" s="3" t="n">
        <v>45992</v>
      </c>
      <c r="F998" s="2" t="n">
        <v>12</v>
      </c>
      <c r="G998" s="4" t="n">
        <v>74.99</v>
      </c>
      <c r="H998" s="4" t="n">
        <v>42.45</v>
      </c>
      <c r="I998" s="4" t="n">
        <f aca="false">F998*G998</f>
        <v>899.88</v>
      </c>
      <c r="J998" s="4" t="n">
        <f aca="false">F998*H998</f>
        <v>509.4</v>
      </c>
      <c r="K998" s="4" t="n">
        <f aca="false">I998-J998</f>
        <v>390.48</v>
      </c>
      <c r="L998" s="5" t="n">
        <f aca="false">IFERROR(K998/I998,0)</f>
        <v>0.433924523269769</v>
      </c>
    </row>
    <row r="999" customFormat="false" ht="15" hidden="false" customHeight="false" outlineLevel="0" collapsed="false">
      <c r="A999" s="2" t="s">
        <v>52</v>
      </c>
      <c r="B999" s="2" t="s">
        <v>54</v>
      </c>
      <c r="C999" s="2" t="s">
        <v>38</v>
      </c>
      <c r="D999" s="2" t="s">
        <v>41</v>
      </c>
      <c r="E999" s="3" t="n">
        <v>45992</v>
      </c>
      <c r="F999" s="2" t="n">
        <v>19</v>
      </c>
      <c r="G999" s="4" t="n">
        <v>19.99</v>
      </c>
      <c r="H999" s="4" t="n">
        <v>9.79</v>
      </c>
      <c r="I999" s="4" t="n">
        <f aca="false">F999*G999</f>
        <v>379.81</v>
      </c>
      <c r="J999" s="4" t="n">
        <f aca="false">F999*H999</f>
        <v>186.01</v>
      </c>
      <c r="K999" s="4" t="n">
        <f aca="false">I999-J999</f>
        <v>193.8</v>
      </c>
      <c r="L999" s="5" t="n">
        <f aca="false">IFERROR(K999/I999,0)</f>
        <v>0.510255127563782</v>
      </c>
    </row>
    <row r="1000" customFormat="false" ht="15" hidden="false" customHeight="false" outlineLevel="0" collapsed="false">
      <c r="A1000" s="2" t="s">
        <v>52</v>
      </c>
      <c r="B1000" s="2" t="s">
        <v>54</v>
      </c>
      <c r="C1000" s="2" t="s">
        <v>38</v>
      </c>
      <c r="D1000" s="2" t="s">
        <v>42</v>
      </c>
      <c r="E1000" s="3" t="n">
        <v>45992</v>
      </c>
      <c r="F1000" s="2" t="n">
        <v>12</v>
      </c>
      <c r="G1000" s="4" t="n">
        <v>16.99</v>
      </c>
      <c r="H1000" s="4" t="n">
        <v>8.67</v>
      </c>
      <c r="I1000" s="4" t="n">
        <f aca="false">F1000*G1000</f>
        <v>203.88</v>
      </c>
      <c r="J1000" s="4" t="n">
        <f aca="false">F1000*H1000</f>
        <v>104.04</v>
      </c>
      <c r="K1000" s="4" t="n">
        <f aca="false">I1000-J1000</f>
        <v>99.84</v>
      </c>
      <c r="L1000" s="5" t="n">
        <f aca="false">IFERROR(K1000/I1000,0)</f>
        <v>0.489699823425544</v>
      </c>
    </row>
    <row r="1001" customFormat="false" ht="15" hidden="false" customHeight="false" outlineLevel="0" collapsed="false">
      <c r="A1001" s="2" t="s">
        <v>52</v>
      </c>
      <c r="B1001" s="2" t="s">
        <v>54</v>
      </c>
      <c r="C1001" s="2" t="s">
        <v>38</v>
      </c>
      <c r="D1001" s="2" t="s">
        <v>43</v>
      </c>
      <c r="E1001" s="3" t="n">
        <v>45992</v>
      </c>
      <c r="F1001" s="2" t="n">
        <v>17</v>
      </c>
      <c r="G1001" s="4" t="n">
        <v>24.99</v>
      </c>
      <c r="H1001" s="4" t="n">
        <v>13.3</v>
      </c>
      <c r="I1001" s="4" t="n">
        <f aca="false">F1001*G1001</f>
        <v>424.83</v>
      </c>
      <c r="J1001" s="4" t="n">
        <f aca="false">F1001*H1001</f>
        <v>226.1</v>
      </c>
      <c r="K1001" s="4" t="n">
        <f aca="false">I1001-J1001</f>
        <v>198.73</v>
      </c>
      <c r="L1001" s="5" t="n">
        <f aca="false">IFERROR(K1001/I1001,0)</f>
        <v>0.467787114845938</v>
      </c>
    </row>
    <row r="1002" customFormat="false" ht="15" hidden="false" customHeight="false" outlineLevel="0" collapsed="false">
      <c r="A1002" s="2" t="s">
        <v>12</v>
      </c>
      <c r="B1002" s="2" t="s">
        <v>13</v>
      </c>
      <c r="C1002" s="2" t="s">
        <v>14</v>
      </c>
      <c r="D1002" s="2" t="s">
        <v>15</v>
      </c>
      <c r="E1002" s="3" t="n">
        <v>46023</v>
      </c>
      <c r="F1002" s="2" t="n">
        <v>17</v>
      </c>
      <c r="G1002" s="4" t="n">
        <v>69.99</v>
      </c>
      <c r="H1002" s="4" t="n">
        <v>33.43</v>
      </c>
      <c r="I1002" s="4" t="n">
        <f aca="false">F1002*G1002</f>
        <v>1189.83</v>
      </c>
      <c r="J1002" s="4" t="n">
        <f aca="false">F1002*H1002</f>
        <v>568.31</v>
      </c>
      <c r="K1002" s="4" t="n">
        <f aca="false">I1002-J1002</f>
        <v>621.52</v>
      </c>
      <c r="L1002" s="5" t="n">
        <f aca="false">IFERROR(K1002/I1002,0)</f>
        <v>0.522360337191027</v>
      </c>
    </row>
    <row r="1003" customFormat="false" ht="15" hidden="false" customHeight="false" outlineLevel="0" collapsed="false">
      <c r="A1003" s="2" t="s">
        <v>12</v>
      </c>
      <c r="B1003" s="2" t="s">
        <v>13</v>
      </c>
      <c r="C1003" s="2" t="s">
        <v>14</v>
      </c>
      <c r="D1003" s="2" t="s">
        <v>16</v>
      </c>
      <c r="E1003" s="3" t="n">
        <v>46023</v>
      </c>
      <c r="F1003" s="2" t="n">
        <v>16</v>
      </c>
      <c r="G1003" s="4" t="n">
        <v>19.99</v>
      </c>
      <c r="H1003" s="4" t="n">
        <v>8.82</v>
      </c>
      <c r="I1003" s="4" t="n">
        <f aca="false">F1003*G1003</f>
        <v>319.84</v>
      </c>
      <c r="J1003" s="4" t="n">
        <f aca="false">F1003*H1003</f>
        <v>141.12</v>
      </c>
      <c r="K1003" s="4" t="n">
        <f aca="false">I1003-J1003</f>
        <v>178.72</v>
      </c>
      <c r="L1003" s="5" t="n">
        <f aca="false">IFERROR(K1003/I1003,0)</f>
        <v>0.558779389694847</v>
      </c>
    </row>
    <row r="1004" customFormat="false" ht="15" hidden="false" customHeight="false" outlineLevel="0" collapsed="false">
      <c r="A1004" s="2" t="s">
        <v>12</v>
      </c>
      <c r="B1004" s="2" t="s">
        <v>13</v>
      </c>
      <c r="C1004" s="2" t="s">
        <v>14</v>
      </c>
      <c r="D1004" s="2" t="s">
        <v>17</v>
      </c>
      <c r="E1004" s="3" t="n">
        <v>46023</v>
      </c>
      <c r="F1004" s="2" t="n">
        <v>16</v>
      </c>
      <c r="G1004" s="4" t="n">
        <v>79.99</v>
      </c>
      <c r="H1004" s="4" t="n">
        <v>39.13</v>
      </c>
      <c r="I1004" s="4" t="n">
        <f aca="false">F1004*G1004</f>
        <v>1279.84</v>
      </c>
      <c r="J1004" s="4" t="n">
        <f aca="false">F1004*H1004</f>
        <v>626.08</v>
      </c>
      <c r="K1004" s="4" t="n">
        <f aca="false">I1004-J1004</f>
        <v>653.76</v>
      </c>
      <c r="L1004" s="5" t="n">
        <f aca="false">IFERROR(K1004/I1004,0)</f>
        <v>0.510813851731466</v>
      </c>
    </row>
    <row r="1005" customFormat="false" ht="15" hidden="false" customHeight="false" outlineLevel="0" collapsed="false">
      <c r="A1005" s="2" t="s">
        <v>12</v>
      </c>
      <c r="B1005" s="2" t="s">
        <v>13</v>
      </c>
      <c r="C1005" s="2" t="s">
        <v>14</v>
      </c>
      <c r="D1005" s="2" t="s">
        <v>18</v>
      </c>
      <c r="E1005" s="3" t="n">
        <v>46023</v>
      </c>
      <c r="F1005" s="2" t="n">
        <v>16</v>
      </c>
      <c r="G1005" s="4" t="n">
        <v>34.99</v>
      </c>
      <c r="H1005" s="4" t="n">
        <v>14.26</v>
      </c>
      <c r="I1005" s="4" t="n">
        <f aca="false">F1005*G1005</f>
        <v>559.84</v>
      </c>
      <c r="J1005" s="4" t="n">
        <f aca="false">F1005*H1005</f>
        <v>228.16</v>
      </c>
      <c r="K1005" s="4" t="n">
        <f aca="false">I1005-J1005</f>
        <v>331.68</v>
      </c>
      <c r="L1005" s="5" t="n">
        <f aca="false">IFERROR(K1005/I1005,0)</f>
        <v>0.592454987139183</v>
      </c>
    </row>
    <row r="1006" customFormat="false" ht="15" hidden="false" customHeight="false" outlineLevel="0" collapsed="false">
      <c r="A1006" s="2" t="s">
        <v>12</v>
      </c>
      <c r="B1006" s="2" t="s">
        <v>13</v>
      </c>
      <c r="C1006" s="2" t="s">
        <v>14</v>
      </c>
      <c r="D1006" s="2" t="s">
        <v>19</v>
      </c>
      <c r="E1006" s="3" t="n">
        <v>46023</v>
      </c>
      <c r="F1006" s="2" t="n">
        <v>15</v>
      </c>
      <c r="G1006" s="4" t="n">
        <v>54.99</v>
      </c>
      <c r="H1006" s="4" t="n">
        <v>24.67</v>
      </c>
      <c r="I1006" s="4" t="n">
        <f aca="false">F1006*G1006</f>
        <v>824.85</v>
      </c>
      <c r="J1006" s="4" t="n">
        <f aca="false">F1006*H1006</f>
        <v>370.05</v>
      </c>
      <c r="K1006" s="4" t="n">
        <f aca="false">I1006-J1006</f>
        <v>454.8</v>
      </c>
      <c r="L1006" s="5" t="n">
        <f aca="false">IFERROR(K1006/I1006,0)</f>
        <v>0.551372976904892</v>
      </c>
    </row>
    <row r="1007" customFormat="false" ht="15" hidden="false" customHeight="false" outlineLevel="0" collapsed="false">
      <c r="A1007" s="2" t="s">
        <v>12</v>
      </c>
      <c r="B1007" s="2" t="s">
        <v>13</v>
      </c>
      <c r="C1007" s="2" t="s">
        <v>20</v>
      </c>
      <c r="D1007" s="2" t="s">
        <v>21</v>
      </c>
      <c r="E1007" s="3" t="n">
        <v>46023</v>
      </c>
      <c r="F1007" s="2" t="n">
        <v>13</v>
      </c>
      <c r="G1007" s="4" t="n">
        <v>44.99</v>
      </c>
      <c r="H1007" s="4" t="n">
        <v>20.15</v>
      </c>
      <c r="I1007" s="4" t="n">
        <f aca="false">F1007*G1007</f>
        <v>584.87</v>
      </c>
      <c r="J1007" s="4" t="n">
        <f aca="false">F1007*H1007</f>
        <v>261.95</v>
      </c>
      <c r="K1007" s="4" t="n">
        <f aca="false">I1007-J1007</f>
        <v>322.92</v>
      </c>
      <c r="L1007" s="5" t="n">
        <f aca="false">IFERROR(K1007/I1007,0)</f>
        <v>0.552122693931985</v>
      </c>
    </row>
    <row r="1008" customFormat="false" ht="15" hidden="false" customHeight="false" outlineLevel="0" collapsed="false">
      <c r="A1008" s="2" t="s">
        <v>12</v>
      </c>
      <c r="B1008" s="2" t="s">
        <v>13</v>
      </c>
      <c r="C1008" s="2" t="s">
        <v>20</v>
      </c>
      <c r="D1008" s="2" t="s">
        <v>22</v>
      </c>
      <c r="E1008" s="3" t="n">
        <v>46023</v>
      </c>
      <c r="F1008" s="2" t="n">
        <v>9</v>
      </c>
      <c r="G1008" s="4" t="n">
        <v>14.99</v>
      </c>
      <c r="H1008" s="4" t="n">
        <v>5.6</v>
      </c>
      <c r="I1008" s="4" t="n">
        <f aca="false">F1008*G1008</f>
        <v>134.91</v>
      </c>
      <c r="J1008" s="4" t="n">
        <f aca="false">F1008*H1008</f>
        <v>50.4</v>
      </c>
      <c r="K1008" s="4" t="n">
        <f aca="false">I1008-J1008</f>
        <v>84.51</v>
      </c>
      <c r="L1008" s="5" t="n">
        <f aca="false">IFERROR(K1008/I1008,0)</f>
        <v>0.626417611741161</v>
      </c>
    </row>
    <row r="1009" customFormat="false" ht="15" hidden="false" customHeight="false" outlineLevel="0" collapsed="false">
      <c r="A1009" s="2" t="s">
        <v>12</v>
      </c>
      <c r="B1009" s="2" t="s">
        <v>13</v>
      </c>
      <c r="C1009" s="2" t="s">
        <v>20</v>
      </c>
      <c r="D1009" s="2" t="s">
        <v>23</v>
      </c>
      <c r="E1009" s="3" t="n">
        <v>46023</v>
      </c>
      <c r="F1009" s="2" t="n">
        <v>15</v>
      </c>
      <c r="G1009" s="4" t="n">
        <v>39.99</v>
      </c>
      <c r="H1009" s="4" t="n">
        <v>16.45</v>
      </c>
      <c r="I1009" s="4" t="n">
        <f aca="false">F1009*G1009</f>
        <v>599.85</v>
      </c>
      <c r="J1009" s="4" t="n">
        <f aca="false">F1009*H1009</f>
        <v>246.75</v>
      </c>
      <c r="K1009" s="4" t="n">
        <f aca="false">I1009-J1009</f>
        <v>353.1</v>
      </c>
      <c r="L1009" s="5" t="n">
        <f aca="false">IFERROR(K1009/I1009,0)</f>
        <v>0.588647161790448</v>
      </c>
    </row>
    <row r="1010" customFormat="false" ht="15" hidden="false" customHeight="false" outlineLevel="0" collapsed="false">
      <c r="A1010" s="2" t="s">
        <v>12</v>
      </c>
      <c r="B1010" s="2" t="s">
        <v>13</v>
      </c>
      <c r="C1010" s="2" t="s">
        <v>20</v>
      </c>
      <c r="D1010" s="2" t="s">
        <v>24</v>
      </c>
      <c r="E1010" s="3" t="n">
        <v>46023</v>
      </c>
      <c r="F1010" s="2" t="n">
        <v>14</v>
      </c>
      <c r="G1010" s="4" t="n">
        <v>18.99</v>
      </c>
      <c r="H1010" s="4" t="n">
        <v>7.45</v>
      </c>
      <c r="I1010" s="4" t="n">
        <f aca="false">F1010*G1010</f>
        <v>265.86</v>
      </c>
      <c r="J1010" s="4" t="n">
        <f aca="false">F1010*H1010</f>
        <v>104.3</v>
      </c>
      <c r="K1010" s="4" t="n">
        <f aca="false">I1010-J1010</f>
        <v>161.56</v>
      </c>
      <c r="L1010" s="5" t="n">
        <f aca="false">IFERROR(K1010/I1010,0)</f>
        <v>0.607688256977356</v>
      </c>
    </row>
    <row r="1011" customFormat="false" ht="15" hidden="false" customHeight="false" outlineLevel="0" collapsed="false">
      <c r="A1011" s="2" t="s">
        <v>12</v>
      </c>
      <c r="B1011" s="2" t="s">
        <v>13</v>
      </c>
      <c r="C1011" s="2" t="s">
        <v>20</v>
      </c>
      <c r="D1011" s="2" t="s">
        <v>25</v>
      </c>
      <c r="E1011" s="3" t="n">
        <v>46023</v>
      </c>
      <c r="F1011" s="2" t="n">
        <v>16</v>
      </c>
      <c r="G1011" s="4" t="n">
        <v>42.99</v>
      </c>
      <c r="H1011" s="4" t="n">
        <v>15.44</v>
      </c>
      <c r="I1011" s="4" t="n">
        <f aca="false">F1011*G1011</f>
        <v>687.84</v>
      </c>
      <c r="J1011" s="4" t="n">
        <f aca="false">F1011*H1011</f>
        <v>247.04</v>
      </c>
      <c r="K1011" s="4" t="n">
        <f aca="false">I1011-J1011</f>
        <v>440.8</v>
      </c>
      <c r="L1011" s="5" t="n">
        <f aca="false">IFERROR(K1011/I1011,0)</f>
        <v>0.640846708536869</v>
      </c>
    </row>
    <row r="1012" customFormat="false" ht="15" hidden="false" customHeight="false" outlineLevel="0" collapsed="false">
      <c r="A1012" s="2" t="s">
        <v>12</v>
      </c>
      <c r="B1012" s="2" t="s">
        <v>13</v>
      </c>
      <c r="C1012" s="2" t="s">
        <v>26</v>
      </c>
      <c r="D1012" s="2" t="s">
        <v>27</v>
      </c>
      <c r="E1012" s="3" t="n">
        <v>46023</v>
      </c>
      <c r="F1012" s="2" t="n">
        <v>14</v>
      </c>
      <c r="G1012" s="4" t="n">
        <v>44.99</v>
      </c>
      <c r="H1012" s="4" t="n">
        <v>27.81</v>
      </c>
      <c r="I1012" s="4" t="n">
        <f aca="false">F1012*G1012</f>
        <v>629.86</v>
      </c>
      <c r="J1012" s="4" t="n">
        <f aca="false">F1012*H1012</f>
        <v>389.34</v>
      </c>
      <c r="K1012" s="4" t="n">
        <f aca="false">I1012-J1012</f>
        <v>240.52</v>
      </c>
      <c r="L1012" s="5" t="n">
        <f aca="false">IFERROR(K1012/I1012,0)</f>
        <v>0.381862636141365</v>
      </c>
    </row>
    <row r="1013" customFormat="false" ht="15" hidden="false" customHeight="false" outlineLevel="0" collapsed="false">
      <c r="A1013" s="2" t="s">
        <v>12</v>
      </c>
      <c r="B1013" s="2" t="s">
        <v>13</v>
      </c>
      <c r="C1013" s="2" t="s">
        <v>26</v>
      </c>
      <c r="D1013" s="2" t="s">
        <v>28</v>
      </c>
      <c r="E1013" s="3" t="n">
        <v>46023</v>
      </c>
      <c r="F1013" s="2" t="n">
        <v>16</v>
      </c>
      <c r="G1013" s="4" t="n">
        <v>34.99</v>
      </c>
      <c r="H1013" s="4" t="n">
        <v>21.87</v>
      </c>
      <c r="I1013" s="4" t="n">
        <f aca="false">F1013*G1013</f>
        <v>559.84</v>
      </c>
      <c r="J1013" s="4" t="n">
        <f aca="false">F1013*H1013</f>
        <v>349.92</v>
      </c>
      <c r="K1013" s="4" t="n">
        <f aca="false">I1013-J1013</f>
        <v>209.92</v>
      </c>
      <c r="L1013" s="5" t="n">
        <f aca="false">IFERROR(K1013/I1013,0)</f>
        <v>0.374964275507288</v>
      </c>
    </row>
    <row r="1014" customFormat="false" ht="15" hidden="false" customHeight="false" outlineLevel="0" collapsed="false">
      <c r="A1014" s="2" t="s">
        <v>12</v>
      </c>
      <c r="B1014" s="2" t="s">
        <v>13</v>
      </c>
      <c r="C1014" s="2" t="s">
        <v>26</v>
      </c>
      <c r="D1014" s="2" t="s">
        <v>29</v>
      </c>
      <c r="E1014" s="3" t="n">
        <v>46023</v>
      </c>
      <c r="F1014" s="2" t="n">
        <v>16</v>
      </c>
      <c r="G1014" s="4" t="n">
        <v>119.99</v>
      </c>
      <c r="H1014" s="4" t="n">
        <v>81.14</v>
      </c>
      <c r="I1014" s="4" t="n">
        <f aca="false">F1014*G1014</f>
        <v>1919.84</v>
      </c>
      <c r="J1014" s="4" t="n">
        <f aca="false">F1014*H1014</f>
        <v>1298.24</v>
      </c>
      <c r="K1014" s="4" t="n">
        <f aca="false">I1014-J1014</f>
        <v>621.6</v>
      </c>
      <c r="L1014" s="5" t="n">
        <f aca="false">IFERROR(K1014/I1014,0)</f>
        <v>0.323776981415118</v>
      </c>
    </row>
    <row r="1015" customFormat="false" ht="15" hidden="false" customHeight="false" outlineLevel="0" collapsed="false">
      <c r="A1015" s="2" t="s">
        <v>12</v>
      </c>
      <c r="B1015" s="2" t="s">
        <v>13</v>
      </c>
      <c r="C1015" s="2" t="s">
        <v>26</v>
      </c>
      <c r="D1015" s="2" t="s">
        <v>30</v>
      </c>
      <c r="E1015" s="3" t="n">
        <v>46023</v>
      </c>
      <c r="F1015" s="2" t="n">
        <v>13</v>
      </c>
      <c r="G1015" s="4" t="n">
        <v>24.99</v>
      </c>
      <c r="H1015" s="4" t="n">
        <v>14.8</v>
      </c>
      <c r="I1015" s="4" t="n">
        <f aca="false">F1015*G1015</f>
        <v>324.87</v>
      </c>
      <c r="J1015" s="4" t="n">
        <f aca="false">F1015*H1015</f>
        <v>192.4</v>
      </c>
      <c r="K1015" s="4" t="n">
        <f aca="false">I1015-J1015</f>
        <v>132.47</v>
      </c>
      <c r="L1015" s="5" t="n">
        <f aca="false">IFERROR(K1015/I1015,0)</f>
        <v>0.407763105242097</v>
      </c>
    </row>
    <row r="1016" customFormat="false" ht="15" hidden="false" customHeight="false" outlineLevel="0" collapsed="false">
      <c r="A1016" s="2" t="s">
        <v>12</v>
      </c>
      <c r="B1016" s="2" t="s">
        <v>13</v>
      </c>
      <c r="C1016" s="2" t="s">
        <v>26</v>
      </c>
      <c r="D1016" s="2" t="s">
        <v>31</v>
      </c>
      <c r="E1016" s="3" t="n">
        <v>46023</v>
      </c>
      <c r="F1016" s="2" t="n">
        <v>17</v>
      </c>
      <c r="G1016" s="4" t="n">
        <v>59.99</v>
      </c>
      <c r="H1016" s="4" t="n">
        <v>39.89</v>
      </c>
      <c r="I1016" s="4" t="n">
        <f aca="false">F1016*G1016</f>
        <v>1019.83</v>
      </c>
      <c r="J1016" s="4" t="n">
        <f aca="false">F1016*H1016</f>
        <v>678.13</v>
      </c>
      <c r="K1016" s="4" t="n">
        <f aca="false">I1016-J1016</f>
        <v>341.7</v>
      </c>
      <c r="L1016" s="5" t="n">
        <f aca="false">IFERROR(K1016/I1016,0)</f>
        <v>0.33505584264044</v>
      </c>
    </row>
    <row r="1017" customFormat="false" ht="15" hidden="false" customHeight="false" outlineLevel="0" collapsed="false">
      <c r="A1017" s="2" t="s">
        <v>12</v>
      </c>
      <c r="B1017" s="2" t="s">
        <v>13</v>
      </c>
      <c r="C1017" s="2" t="s">
        <v>32</v>
      </c>
      <c r="D1017" s="2" t="s">
        <v>33</v>
      </c>
      <c r="E1017" s="3" t="n">
        <v>46023</v>
      </c>
      <c r="F1017" s="2" t="n">
        <v>15</v>
      </c>
      <c r="G1017" s="4" t="n">
        <v>49.99</v>
      </c>
      <c r="H1017" s="4" t="n">
        <v>36.55</v>
      </c>
      <c r="I1017" s="4" t="n">
        <f aca="false">F1017*G1017</f>
        <v>749.85</v>
      </c>
      <c r="J1017" s="4" t="n">
        <f aca="false">F1017*H1017</f>
        <v>548.25</v>
      </c>
      <c r="K1017" s="4" t="n">
        <f aca="false">I1017-J1017</f>
        <v>201.6</v>
      </c>
      <c r="L1017" s="5" t="n">
        <f aca="false">IFERROR(K1017/I1017,0)</f>
        <v>0.268853770754151</v>
      </c>
    </row>
    <row r="1018" customFormat="false" ht="15" hidden="false" customHeight="false" outlineLevel="0" collapsed="false">
      <c r="A1018" s="2" t="s">
        <v>12</v>
      </c>
      <c r="B1018" s="2" t="s">
        <v>13</v>
      </c>
      <c r="C1018" s="2" t="s">
        <v>32</v>
      </c>
      <c r="D1018" s="2" t="s">
        <v>34</v>
      </c>
      <c r="E1018" s="3" t="n">
        <v>46023</v>
      </c>
      <c r="F1018" s="2" t="n">
        <v>26</v>
      </c>
      <c r="G1018" s="4" t="n">
        <v>27.99</v>
      </c>
      <c r="H1018" s="4" t="n">
        <v>19.85</v>
      </c>
      <c r="I1018" s="4" t="n">
        <f aca="false">F1018*G1018</f>
        <v>727.74</v>
      </c>
      <c r="J1018" s="4" t="n">
        <f aca="false">F1018*H1018</f>
        <v>516.1</v>
      </c>
      <c r="K1018" s="4" t="n">
        <f aca="false">I1018-J1018</f>
        <v>211.64</v>
      </c>
      <c r="L1018" s="5" t="n">
        <f aca="false">IFERROR(K1018/I1018,0)</f>
        <v>0.29081814933905</v>
      </c>
    </row>
    <row r="1019" customFormat="false" ht="15" hidden="false" customHeight="false" outlineLevel="0" collapsed="false">
      <c r="A1019" s="2" t="s">
        <v>12</v>
      </c>
      <c r="B1019" s="2" t="s">
        <v>13</v>
      </c>
      <c r="C1019" s="2" t="s">
        <v>32</v>
      </c>
      <c r="D1019" s="2" t="s">
        <v>35</v>
      </c>
      <c r="E1019" s="3" t="n">
        <v>46023</v>
      </c>
      <c r="F1019" s="2" t="n">
        <v>19</v>
      </c>
      <c r="G1019" s="4" t="n">
        <v>64.99</v>
      </c>
      <c r="H1019" s="4" t="n">
        <v>45.57</v>
      </c>
      <c r="I1019" s="4" t="n">
        <f aca="false">F1019*G1019</f>
        <v>1234.81</v>
      </c>
      <c r="J1019" s="4" t="n">
        <f aca="false">F1019*H1019</f>
        <v>865.83</v>
      </c>
      <c r="K1019" s="4" t="n">
        <f aca="false">I1019-J1019</f>
        <v>368.98</v>
      </c>
      <c r="L1019" s="5" t="n">
        <f aca="false">IFERROR(K1019/I1019,0)</f>
        <v>0.298815202338821</v>
      </c>
    </row>
    <row r="1020" customFormat="false" ht="15" hidden="false" customHeight="false" outlineLevel="0" collapsed="false">
      <c r="A1020" s="2" t="s">
        <v>12</v>
      </c>
      <c r="B1020" s="2" t="s">
        <v>13</v>
      </c>
      <c r="C1020" s="2" t="s">
        <v>32</v>
      </c>
      <c r="D1020" s="2" t="s">
        <v>36</v>
      </c>
      <c r="E1020" s="3" t="n">
        <v>46023</v>
      </c>
      <c r="F1020" s="2" t="n">
        <v>14</v>
      </c>
      <c r="G1020" s="4" t="n">
        <v>22.99</v>
      </c>
      <c r="H1020" s="4" t="n">
        <v>16.98</v>
      </c>
      <c r="I1020" s="4" t="n">
        <f aca="false">F1020*G1020</f>
        <v>321.86</v>
      </c>
      <c r="J1020" s="4" t="n">
        <f aca="false">F1020*H1020</f>
        <v>237.72</v>
      </c>
      <c r="K1020" s="4" t="n">
        <f aca="false">I1020-J1020</f>
        <v>84.14</v>
      </c>
      <c r="L1020" s="5" t="n">
        <f aca="false">IFERROR(K1020/I1020,0)</f>
        <v>0.261418007829491</v>
      </c>
    </row>
    <row r="1021" customFormat="false" ht="15" hidden="false" customHeight="false" outlineLevel="0" collapsed="false">
      <c r="A1021" s="2" t="s">
        <v>12</v>
      </c>
      <c r="B1021" s="2" t="s">
        <v>13</v>
      </c>
      <c r="C1021" s="2" t="s">
        <v>32</v>
      </c>
      <c r="D1021" s="2" t="s">
        <v>37</v>
      </c>
      <c r="E1021" s="3" t="n">
        <v>46023</v>
      </c>
      <c r="F1021" s="2" t="n">
        <v>20</v>
      </c>
      <c r="G1021" s="4" t="n">
        <v>29.99</v>
      </c>
      <c r="H1021" s="4" t="n">
        <v>20.1</v>
      </c>
      <c r="I1021" s="4" t="n">
        <f aca="false">F1021*G1021</f>
        <v>599.8</v>
      </c>
      <c r="J1021" s="4" t="n">
        <f aca="false">F1021*H1021</f>
        <v>402</v>
      </c>
      <c r="K1021" s="4" t="n">
        <f aca="false">I1021-J1021</f>
        <v>197.8</v>
      </c>
      <c r="L1021" s="5" t="n">
        <f aca="false">IFERROR(K1021/I1021,0)</f>
        <v>0.329776592197399</v>
      </c>
    </row>
    <row r="1022" customFormat="false" ht="15" hidden="false" customHeight="false" outlineLevel="0" collapsed="false">
      <c r="A1022" s="2" t="s">
        <v>12</v>
      </c>
      <c r="B1022" s="2" t="s">
        <v>13</v>
      </c>
      <c r="C1022" s="2" t="s">
        <v>38</v>
      </c>
      <c r="D1022" s="2" t="s">
        <v>39</v>
      </c>
      <c r="E1022" s="3" t="n">
        <v>46023</v>
      </c>
      <c r="F1022" s="2" t="n">
        <v>14</v>
      </c>
      <c r="G1022" s="4" t="n">
        <v>129.99</v>
      </c>
      <c r="H1022" s="4" t="n">
        <v>76.9</v>
      </c>
      <c r="I1022" s="4" t="n">
        <f aca="false">F1022*G1022</f>
        <v>1819.86</v>
      </c>
      <c r="J1022" s="4" t="n">
        <f aca="false">F1022*H1022</f>
        <v>1076.6</v>
      </c>
      <c r="K1022" s="4" t="n">
        <f aca="false">I1022-J1022</f>
        <v>743.26</v>
      </c>
      <c r="L1022" s="5" t="n">
        <f aca="false">IFERROR(K1022/I1022,0)</f>
        <v>0.408416032002462</v>
      </c>
    </row>
    <row r="1023" customFormat="false" ht="15" hidden="false" customHeight="false" outlineLevel="0" collapsed="false">
      <c r="A1023" s="2" t="s">
        <v>12</v>
      </c>
      <c r="B1023" s="2" t="s">
        <v>13</v>
      </c>
      <c r="C1023" s="2" t="s">
        <v>38</v>
      </c>
      <c r="D1023" s="2" t="s">
        <v>40</v>
      </c>
      <c r="E1023" s="3" t="n">
        <v>46023</v>
      </c>
      <c r="F1023" s="2" t="n">
        <v>12</v>
      </c>
      <c r="G1023" s="4" t="n">
        <v>74.99</v>
      </c>
      <c r="H1023" s="4" t="n">
        <v>40.89</v>
      </c>
      <c r="I1023" s="4" t="n">
        <f aca="false">F1023*G1023</f>
        <v>899.88</v>
      </c>
      <c r="J1023" s="4" t="n">
        <f aca="false">F1023*H1023</f>
        <v>490.68</v>
      </c>
      <c r="K1023" s="4" t="n">
        <f aca="false">I1023-J1023</f>
        <v>409.2</v>
      </c>
      <c r="L1023" s="5" t="n">
        <f aca="false">IFERROR(K1023/I1023,0)</f>
        <v>0.45472729697293</v>
      </c>
    </row>
    <row r="1024" customFormat="false" ht="15" hidden="false" customHeight="false" outlineLevel="0" collapsed="false">
      <c r="A1024" s="2" t="s">
        <v>12</v>
      </c>
      <c r="B1024" s="2" t="s">
        <v>13</v>
      </c>
      <c r="C1024" s="2" t="s">
        <v>38</v>
      </c>
      <c r="D1024" s="2" t="s">
        <v>41</v>
      </c>
      <c r="E1024" s="3" t="n">
        <v>46023</v>
      </c>
      <c r="F1024" s="2" t="n">
        <v>12</v>
      </c>
      <c r="G1024" s="4" t="n">
        <v>19.99</v>
      </c>
      <c r="H1024" s="4" t="n">
        <v>9.54</v>
      </c>
      <c r="I1024" s="4" t="n">
        <f aca="false">F1024*G1024</f>
        <v>239.88</v>
      </c>
      <c r="J1024" s="4" t="n">
        <f aca="false">F1024*H1024</f>
        <v>114.48</v>
      </c>
      <c r="K1024" s="4" t="n">
        <f aca="false">I1024-J1024</f>
        <v>125.4</v>
      </c>
      <c r="L1024" s="5" t="n">
        <f aca="false">IFERROR(K1024/I1024,0)</f>
        <v>0.522761380690345</v>
      </c>
    </row>
    <row r="1025" customFormat="false" ht="15" hidden="false" customHeight="false" outlineLevel="0" collapsed="false">
      <c r="A1025" s="2" t="s">
        <v>12</v>
      </c>
      <c r="B1025" s="2" t="s">
        <v>13</v>
      </c>
      <c r="C1025" s="2" t="s">
        <v>38</v>
      </c>
      <c r="D1025" s="2" t="s">
        <v>42</v>
      </c>
      <c r="E1025" s="3" t="n">
        <v>46023</v>
      </c>
      <c r="F1025" s="2" t="n">
        <v>12</v>
      </c>
      <c r="G1025" s="4" t="n">
        <v>16.99</v>
      </c>
      <c r="H1025" s="4" t="n">
        <v>8.52</v>
      </c>
      <c r="I1025" s="4" t="n">
        <f aca="false">F1025*G1025</f>
        <v>203.88</v>
      </c>
      <c r="J1025" s="4" t="n">
        <f aca="false">F1025*H1025</f>
        <v>102.24</v>
      </c>
      <c r="K1025" s="4" t="n">
        <f aca="false">I1025-J1025</f>
        <v>101.64</v>
      </c>
      <c r="L1025" s="5" t="n">
        <f aca="false">IFERROR(K1025/I1025,0)</f>
        <v>0.498528546203649</v>
      </c>
    </row>
    <row r="1026" customFormat="false" ht="15" hidden="false" customHeight="false" outlineLevel="0" collapsed="false">
      <c r="A1026" s="2" t="s">
        <v>12</v>
      </c>
      <c r="B1026" s="2" t="s">
        <v>13</v>
      </c>
      <c r="C1026" s="2" t="s">
        <v>38</v>
      </c>
      <c r="D1026" s="2" t="s">
        <v>43</v>
      </c>
      <c r="E1026" s="3" t="n">
        <v>46023</v>
      </c>
      <c r="F1026" s="2" t="n">
        <v>15</v>
      </c>
      <c r="G1026" s="4" t="n">
        <v>24.99</v>
      </c>
      <c r="H1026" s="4" t="n">
        <v>13.28</v>
      </c>
      <c r="I1026" s="4" t="n">
        <f aca="false">F1026*G1026</f>
        <v>374.85</v>
      </c>
      <c r="J1026" s="4" t="n">
        <f aca="false">F1026*H1026</f>
        <v>199.2</v>
      </c>
      <c r="K1026" s="4" t="n">
        <f aca="false">I1026-J1026</f>
        <v>175.65</v>
      </c>
      <c r="L1026" s="5" t="n">
        <f aca="false">IFERROR(K1026/I1026,0)</f>
        <v>0.46858743497399</v>
      </c>
    </row>
    <row r="1027" customFormat="false" ht="15" hidden="false" customHeight="false" outlineLevel="0" collapsed="false">
      <c r="A1027" s="2" t="s">
        <v>44</v>
      </c>
      <c r="B1027" s="2" t="s">
        <v>45</v>
      </c>
      <c r="C1027" s="2" t="s">
        <v>14</v>
      </c>
      <c r="D1027" s="2" t="s">
        <v>15</v>
      </c>
      <c r="E1027" s="3" t="n">
        <v>46023</v>
      </c>
      <c r="F1027" s="2" t="n">
        <v>14</v>
      </c>
      <c r="G1027" s="4" t="n">
        <v>69.99</v>
      </c>
      <c r="H1027" s="4" t="n">
        <v>32.72</v>
      </c>
      <c r="I1027" s="4" t="n">
        <f aca="false">F1027*G1027</f>
        <v>979.86</v>
      </c>
      <c r="J1027" s="4" t="n">
        <f aca="false">F1027*H1027</f>
        <v>458.08</v>
      </c>
      <c r="K1027" s="4" t="n">
        <f aca="false">I1027-J1027</f>
        <v>521.78</v>
      </c>
      <c r="L1027" s="5" t="n">
        <f aca="false">IFERROR(K1027/I1027,0)</f>
        <v>0.532504643520503</v>
      </c>
    </row>
    <row r="1028" customFormat="false" ht="15" hidden="false" customHeight="false" outlineLevel="0" collapsed="false">
      <c r="A1028" s="2" t="s">
        <v>44</v>
      </c>
      <c r="B1028" s="2" t="s">
        <v>45</v>
      </c>
      <c r="C1028" s="2" t="s">
        <v>14</v>
      </c>
      <c r="D1028" s="2" t="s">
        <v>16</v>
      </c>
      <c r="E1028" s="3" t="n">
        <v>46023</v>
      </c>
      <c r="F1028" s="2" t="n">
        <v>17</v>
      </c>
      <c r="G1028" s="4" t="n">
        <v>19.99</v>
      </c>
      <c r="H1028" s="4" t="n">
        <v>9.11</v>
      </c>
      <c r="I1028" s="4" t="n">
        <f aca="false">F1028*G1028</f>
        <v>339.83</v>
      </c>
      <c r="J1028" s="4" t="n">
        <f aca="false">F1028*H1028</f>
        <v>154.87</v>
      </c>
      <c r="K1028" s="4" t="n">
        <f aca="false">I1028-J1028</f>
        <v>184.96</v>
      </c>
      <c r="L1028" s="5" t="n">
        <f aca="false">IFERROR(K1028/I1028,0)</f>
        <v>0.544272136068034</v>
      </c>
    </row>
    <row r="1029" customFormat="false" ht="15" hidden="false" customHeight="false" outlineLevel="0" collapsed="false">
      <c r="A1029" s="2" t="s">
        <v>44</v>
      </c>
      <c r="B1029" s="2" t="s">
        <v>45</v>
      </c>
      <c r="C1029" s="2" t="s">
        <v>14</v>
      </c>
      <c r="D1029" s="2" t="s">
        <v>17</v>
      </c>
      <c r="E1029" s="3" t="n">
        <v>46023</v>
      </c>
      <c r="F1029" s="2" t="n">
        <v>14</v>
      </c>
      <c r="G1029" s="4" t="n">
        <v>79.99</v>
      </c>
      <c r="H1029" s="4" t="n">
        <v>40.84</v>
      </c>
      <c r="I1029" s="4" t="n">
        <f aca="false">F1029*G1029</f>
        <v>1119.86</v>
      </c>
      <c r="J1029" s="4" t="n">
        <f aca="false">F1029*H1029</f>
        <v>571.76</v>
      </c>
      <c r="K1029" s="4" t="n">
        <f aca="false">I1029-J1029</f>
        <v>548.1</v>
      </c>
      <c r="L1029" s="5" t="n">
        <f aca="false">IFERROR(K1029/I1029,0)</f>
        <v>0.48943617952244</v>
      </c>
    </row>
    <row r="1030" customFormat="false" ht="15" hidden="false" customHeight="false" outlineLevel="0" collapsed="false">
      <c r="A1030" s="2" t="s">
        <v>44</v>
      </c>
      <c r="B1030" s="2" t="s">
        <v>45</v>
      </c>
      <c r="C1030" s="2" t="s">
        <v>14</v>
      </c>
      <c r="D1030" s="2" t="s">
        <v>18</v>
      </c>
      <c r="E1030" s="3" t="n">
        <v>46023</v>
      </c>
      <c r="F1030" s="2" t="n">
        <v>19</v>
      </c>
      <c r="G1030" s="4" t="n">
        <v>34.99</v>
      </c>
      <c r="H1030" s="4" t="n">
        <v>14.78</v>
      </c>
      <c r="I1030" s="4" t="n">
        <f aca="false">F1030*G1030</f>
        <v>664.81</v>
      </c>
      <c r="J1030" s="4" t="n">
        <f aca="false">F1030*H1030</f>
        <v>280.82</v>
      </c>
      <c r="K1030" s="4" t="n">
        <f aca="false">I1030-J1030</f>
        <v>383.99</v>
      </c>
      <c r="L1030" s="5" t="n">
        <f aca="false">IFERROR(K1030/I1030,0)</f>
        <v>0.577593598170906</v>
      </c>
    </row>
    <row r="1031" customFormat="false" ht="15" hidden="false" customHeight="false" outlineLevel="0" collapsed="false">
      <c r="A1031" s="2" t="s">
        <v>44</v>
      </c>
      <c r="B1031" s="2" t="s">
        <v>45</v>
      </c>
      <c r="C1031" s="2" t="s">
        <v>14</v>
      </c>
      <c r="D1031" s="2" t="s">
        <v>19</v>
      </c>
      <c r="E1031" s="3" t="n">
        <v>46023</v>
      </c>
      <c r="F1031" s="2" t="n">
        <v>10</v>
      </c>
      <c r="G1031" s="4" t="n">
        <v>54.99</v>
      </c>
      <c r="H1031" s="4" t="n">
        <v>24.89</v>
      </c>
      <c r="I1031" s="4" t="n">
        <f aca="false">F1031*G1031</f>
        <v>549.9</v>
      </c>
      <c r="J1031" s="4" t="n">
        <f aca="false">F1031*H1031</f>
        <v>248.9</v>
      </c>
      <c r="K1031" s="4" t="n">
        <f aca="false">I1031-J1031</f>
        <v>301</v>
      </c>
      <c r="L1031" s="5" t="n">
        <f aca="false">IFERROR(K1031/I1031,0)</f>
        <v>0.547372249499909</v>
      </c>
    </row>
    <row r="1032" customFormat="false" ht="15" hidden="false" customHeight="false" outlineLevel="0" collapsed="false">
      <c r="A1032" s="2" t="s">
        <v>44</v>
      </c>
      <c r="B1032" s="2" t="s">
        <v>45</v>
      </c>
      <c r="C1032" s="2" t="s">
        <v>20</v>
      </c>
      <c r="D1032" s="2" t="s">
        <v>21</v>
      </c>
      <c r="E1032" s="3" t="n">
        <v>46023</v>
      </c>
      <c r="F1032" s="2" t="n">
        <v>14</v>
      </c>
      <c r="G1032" s="4" t="n">
        <v>44.99</v>
      </c>
      <c r="H1032" s="4" t="n">
        <v>19.83</v>
      </c>
      <c r="I1032" s="4" t="n">
        <f aca="false">F1032*G1032</f>
        <v>629.86</v>
      </c>
      <c r="J1032" s="4" t="n">
        <f aca="false">F1032*H1032</f>
        <v>277.62</v>
      </c>
      <c r="K1032" s="4" t="n">
        <f aca="false">I1032-J1032</f>
        <v>352.24</v>
      </c>
      <c r="L1032" s="5" t="n">
        <f aca="false">IFERROR(K1032/I1032,0)</f>
        <v>0.559235385641254</v>
      </c>
    </row>
    <row r="1033" customFormat="false" ht="15" hidden="false" customHeight="false" outlineLevel="0" collapsed="false">
      <c r="A1033" s="2" t="s">
        <v>44</v>
      </c>
      <c r="B1033" s="2" t="s">
        <v>45</v>
      </c>
      <c r="C1033" s="2" t="s">
        <v>20</v>
      </c>
      <c r="D1033" s="2" t="s">
        <v>22</v>
      </c>
      <c r="E1033" s="3" t="n">
        <v>46023</v>
      </c>
      <c r="F1033" s="2" t="n">
        <v>12</v>
      </c>
      <c r="G1033" s="4" t="n">
        <v>14.99</v>
      </c>
      <c r="H1033" s="4" t="n">
        <v>5.53</v>
      </c>
      <c r="I1033" s="4" t="n">
        <f aca="false">F1033*G1033</f>
        <v>179.88</v>
      </c>
      <c r="J1033" s="4" t="n">
        <f aca="false">F1033*H1033</f>
        <v>66.36</v>
      </c>
      <c r="K1033" s="4" t="n">
        <f aca="false">I1033-J1033</f>
        <v>113.52</v>
      </c>
      <c r="L1033" s="5" t="n">
        <f aca="false">IFERROR(K1033/I1033,0)</f>
        <v>0.631087391594396</v>
      </c>
    </row>
    <row r="1034" customFormat="false" ht="15" hidden="false" customHeight="false" outlineLevel="0" collapsed="false">
      <c r="A1034" s="2" t="s">
        <v>44</v>
      </c>
      <c r="B1034" s="2" t="s">
        <v>45</v>
      </c>
      <c r="C1034" s="2" t="s">
        <v>20</v>
      </c>
      <c r="D1034" s="2" t="s">
        <v>23</v>
      </c>
      <c r="E1034" s="3" t="n">
        <v>46023</v>
      </c>
      <c r="F1034" s="2" t="n">
        <v>19</v>
      </c>
      <c r="G1034" s="4" t="n">
        <v>39.99</v>
      </c>
      <c r="H1034" s="4" t="n">
        <v>17.24</v>
      </c>
      <c r="I1034" s="4" t="n">
        <f aca="false">F1034*G1034</f>
        <v>759.81</v>
      </c>
      <c r="J1034" s="4" t="n">
        <f aca="false">F1034*H1034</f>
        <v>327.56</v>
      </c>
      <c r="K1034" s="4" t="n">
        <f aca="false">I1034-J1034</f>
        <v>432.25</v>
      </c>
      <c r="L1034" s="5" t="n">
        <f aca="false">IFERROR(K1034/I1034,0)</f>
        <v>0.568892223055764</v>
      </c>
    </row>
    <row r="1035" customFormat="false" ht="15" hidden="false" customHeight="false" outlineLevel="0" collapsed="false">
      <c r="A1035" s="2" t="s">
        <v>44</v>
      </c>
      <c r="B1035" s="2" t="s">
        <v>45</v>
      </c>
      <c r="C1035" s="2" t="s">
        <v>20</v>
      </c>
      <c r="D1035" s="2" t="s">
        <v>24</v>
      </c>
      <c r="E1035" s="3" t="n">
        <v>46023</v>
      </c>
      <c r="F1035" s="2" t="n">
        <v>20</v>
      </c>
      <c r="G1035" s="4" t="n">
        <v>18.99</v>
      </c>
      <c r="H1035" s="4" t="n">
        <v>7.78</v>
      </c>
      <c r="I1035" s="4" t="n">
        <f aca="false">F1035*G1035</f>
        <v>379.8</v>
      </c>
      <c r="J1035" s="4" t="n">
        <f aca="false">F1035*H1035</f>
        <v>155.6</v>
      </c>
      <c r="K1035" s="4" t="n">
        <f aca="false">I1035-J1035</f>
        <v>224.2</v>
      </c>
      <c r="L1035" s="5" t="n">
        <f aca="false">IFERROR(K1035/I1035,0)</f>
        <v>0.590310689836756</v>
      </c>
    </row>
    <row r="1036" customFormat="false" ht="15" hidden="false" customHeight="false" outlineLevel="0" collapsed="false">
      <c r="A1036" s="2" t="s">
        <v>44</v>
      </c>
      <c r="B1036" s="2" t="s">
        <v>45</v>
      </c>
      <c r="C1036" s="2" t="s">
        <v>20</v>
      </c>
      <c r="D1036" s="2" t="s">
        <v>25</v>
      </c>
      <c r="E1036" s="3" t="n">
        <v>46023</v>
      </c>
      <c r="F1036" s="2" t="n">
        <v>14</v>
      </c>
      <c r="G1036" s="4" t="n">
        <v>42.99</v>
      </c>
      <c r="H1036" s="4" t="n">
        <v>16.23</v>
      </c>
      <c r="I1036" s="4" t="n">
        <f aca="false">F1036*G1036</f>
        <v>601.86</v>
      </c>
      <c r="J1036" s="4" t="n">
        <f aca="false">F1036*H1036</f>
        <v>227.22</v>
      </c>
      <c r="K1036" s="4" t="n">
        <f aca="false">I1036-J1036</f>
        <v>374.64</v>
      </c>
      <c r="L1036" s="5" t="n">
        <f aca="false">IFERROR(K1036/I1036,0)</f>
        <v>0.622470341939986</v>
      </c>
    </row>
    <row r="1037" customFormat="false" ht="15" hidden="false" customHeight="false" outlineLevel="0" collapsed="false">
      <c r="A1037" s="2" t="s">
        <v>44</v>
      </c>
      <c r="B1037" s="2" t="s">
        <v>45</v>
      </c>
      <c r="C1037" s="2" t="s">
        <v>26</v>
      </c>
      <c r="D1037" s="2" t="s">
        <v>27</v>
      </c>
      <c r="E1037" s="3" t="n">
        <v>46023</v>
      </c>
      <c r="F1037" s="2" t="n">
        <v>20</v>
      </c>
      <c r="G1037" s="4" t="n">
        <v>44.99</v>
      </c>
      <c r="H1037" s="4" t="n">
        <v>27.9</v>
      </c>
      <c r="I1037" s="4" t="n">
        <f aca="false">F1037*G1037</f>
        <v>899.8</v>
      </c>
      <c r="J1037" s="4" t="n">
        <f aca="false">F1037*H1037</f>
        <v>558</v>
      </c>
      <c r="K1037" s="4" t="n">
        <f aca="false">I1037-J1037</f>
        <v>341.8</v>
      </c>
      <c r="L1037" s="5" t="n">
        <f aca="false">IFERROR(K1037/I1037,0)</f>
        <v>0.379862191598133</v>
      </c>
    </row>
    <row r="1038" customFormat="false" ht="15" hidden="false" customHeight="false" outlineLevel="0" collapsed="false">
      <c r="A1038" s="2" t="s">
        <v>44</v>
      </c>
      <c r="B1038" s="2" t="s">
        <v>45</v>
      </c>
      <c r="C1038" s="2" t="s">
        <v>26</v>
      </c>
      <c r="D1038" s="2" t="s">
        <v>28</v>
      </c>
      <c r="E1038" s="3" t="n">
        <v>46023</v>
      </c>
      <c r="F1038" s="2" t="n">
        <v>15</v>
      </c>
      <c r="G1038" s="4" t="n">
        <v>34.99</v>
      </c>
      <c r="H1038" s="4" t="n">
        <v>22.86</v>
      </c>
      <c r="I1038" s="4" t="n">
        <f aca="false">F1038*G1038</f>
        <v>524.85</v>
      </c>
      <c r="J1038" s="4" t="n">
        <f aca="false">F1038*H1038</f>
        <v>342.9</v>
      </c>
      <c r="K1038" s="4" t="n">
        <f aca="false">I1038-J1038</f>
        <v>181.95</v>
      </c>
      <c r="L1038" s="5" t="n">
        <f aca="false">IFERROR(K1038/I1038,0)</f>
        <v>0.346670477279223</v>
      </c>
    </row>
    <row r="1039" customFormat="false" ht="15" hidden="false" customHeight="false" outlineLevel="0" collapsed="false">
      <c r="A1039" s="2" t="s">
        <v>44</v>
      </c>
      <c r="B1039" s="2" t="s">
        <v>45</v>
      </c>
      <c r="C1039" s="2" t="s">
        <v>26</v>
      </c>
      <c r="D1039" s="2" t="s">
        <v>29</v>
      </c>
      <c r="E1039" s="3" t="n">
        <v>46023</v>
      </c>
      <c r="F1039" s="2" t="n">
        <v>15</v>
      </c>
      <c r="G1039" s="4" t="n">
        <v>119.99</v>
      </c>
      <c r="H1039" s="4" t="n">
        <v>81.25</v>
      </c>
      <c r="I1039" s="4" t="n">
        <f aca="false">F1039*G1039</f>
        <v>1799.85</v>
      </c>
      <c r="J1039" s="4" t="n">
        <f aca="false">F1039*H1039</f>
        <v>1218.75</v>
      </c>
      <c r="K1039" s="4" t="n">
        <f aca="false">I1039-J1039</f>
        <v>581.1</v>
      </c>
      <c r="L1039" s="5" t="n">
        <f aca="false">IFERROR(K1039/I1039,0)</f>
        <v>0.322860238353196</v>
      </c>
    </row>
    <row r="1040" customFormat="false" ht="15" hidden="false" customHeight="false" outlineLevel="0" collapsed="false">
      <c r="A1040" s="2" t="s">
        <v>44</v>
      </c>
      <c r="B1040" s="2" t="s">
        <v>45</v>
      </c>
      <c r="C1040" s="2" t="s">
        <v>26</v>
      </c>
      <c r="D1040" s="2" t="s">
        <v>30</v>
      </c>
      <c r="E1040" s="3" t="n">
        <v>46023</v>
      </c>
      <c r="F1040" s="2" t="n">
        <v>22</v>
      </c>
      <c r="G1040" s="4" t="n">
        <v>24.99</v>
      </c>
      <c r="H1040" s="4" t="n">
        <v>15.14</v>
      </c>
      <c r="I1040" s="4" t="n">
        <f aca="false">F1040*G1040</f>
        <v>549.78</v>
      </c>
      <c r="J1040" s="4" t="n">
        <f aca="false">F1040*H1040</f>
        <v>333.08</v>
      </c>
      <c r="K1040" s="4" t="n">
        <f aca="false">I1040-J1040</f>
        <v>216.7</v>
      </c>
      <c r="L1040" s="5" t="n">
        <f aca="false">IFERROR(K1040/I1040,0)</f>
        <v>0.394157663065226</v>
      </c>
    </row>
    <row r="1041" customFormat="false" ht="15" hidden="false" customHeight="false" outlineLevel="0" collapsed="false">
      <c r="A1041" s="2" t="s">
        <v>44</v>
      </c>
      <c r="B1041" s="2" t="s">
        <v>45</v>
      </c>
      <c r="C1041" s="2" t="s">
        <v>26</v>
      </c>
      <c r="D1041" s="2" t="s">
        <v>31</v>
      </c>
      <c r="E1041" s="3" t="n">
        <v>46023</v>
      </c>
      <c r="F1041" s="2" t="n">
        <v>12</v>
      </c>
      <c r="G1041" s="4" t="n">
        <v>59.99</v>
      </c>
      <c r="H1041" s="4" t="n">
        <v>39.63</v>
      </c>
      <c r="I1041" s="4" t="n">
        <f aca="false">F1041*G1041</f>
        <v>719.88</v>
      </c>
      <c r="J1041" s="4" t="n">
        <f aca="false">F1041*H1041</f>
        <v>475.56</v>
      </c>
      <c r="K1041" s="4" t="n">
        <f aca="false">I1041-J1041</f>
        <v>244.32</v>
      </c>
      <c r="L1041" s="5" t="n">
        <f aca="false">IFERROR(K1041/I1041,0)</f>
        <v>0.339389898316386</v>
      </c>
    </row>
    <row r="1042" customFormat="false" ht="15" hidden="false" customHeight="false" outlineLevel="0" collapsed="false">
      <c r="A1042" s="2" t="s">
        <v>44</v>
      </c>
      <c r="B1042" s="2" t="s">
        <v>45</v>
      </c>
      <c r="C1042" s="2" t="s">
        <v>32</v>
      </c>
      <c r="D1042" s="2" t="s">
        <v>33</v>
      </c>
      <c r="E1042" s="3" t="n">
        <v>46023</v>
      </c>
      <c r="F1042" s="2" t="n">
        <v>11</v>
      </c>
      <c r="G1042" s="4" t="n">
        <v>49.99</v>
      </c>
      <c r="H1042" s="4" t="n">
        <v>35.77</v>
      </c>
      <c r="I1042" s="4" t="n">
        <f aca="false">F1042*G1042</f>
        <v>549.89</v>
      </c>
      <c r="J1042" s="4" t="n">
        <f aca="false">F1042*H1042</f>
        <v>393.47</v>
      </c>
      <c r="K1042" s="4" t="n">
        <f aca="false">I1042-J1042</f>
        <v>156.42</v>
      </c>
      <c r="L1042" s="5" t="n">
        <f aca="false">IFERROR(K1042/I1042,0)</f>
        <v>0.284456891378276</v>
      </c>
    </row>
    <row r="1043" customFormat="false" ht="15" hidden="false" customHeight="false" outlineLevel="0" collapsed="false">
      <c r="A1043" s="2" t="s">
        <v>44</v>
      </c>
      <c r="B1043" s="2" t="s">
        <v>45</v>
      </c>
      <c r="C1043" s="2" t="s">
        <v>32</v>
      </c>
      <c r="D1043" s="2" t="s">
        <v>34</v>
      </c>
      <c r="E1043" s="3" t="n">
        <v>46023</v>
      </c>
      <c r="F1043" s="2" t="n">
        <v>19</v>
      </c>
      <c r="G1043" s="4" t="n">
        <v>27.99</v>
      </c>
      <c r="H1043" s="4" t="n">
        <v>19.65</v>
      </c>
      <c r="I1043" s="4" t="n">
        <f aca="false">F1043*G1043</f>
        <v>531.81</v>
      </c>
      <c r="J1043" s="4" t="n">
        <f aca="false">F1043*H1043</f>
        <v>373.35</v>
      </c>
      <c r="K1043" s="4" t="n">
        <f aca="false">I1043-J1043</f>
        <v>158.46</v>
      </c>
      <c r="L1043" s="5" t="n">
        <f aca="false">IFERROR(K1043/I1043,0)</f>
        <v>0.297963558413719</v>
      </c>
    </row>
    <row r="1044" customFormat="false" ht="15" hidden="false" customHeight="false" outlineLevel="0" collapsed="false">
      <c r="A1044" s="2" t="s">
        <v>44</v>
      </c>
      <c r="B1044" s="2" t="s">
        <v>45</v>
      </c>
      <c r="C1044" s="2" t="s">
        <v>32</v>
      </c>
      <c r="D1044" s="2" t="s">
        <v>35</v>
      </c>
      <c r="E1044" s="3" t="n">
        <v>46023</v>
      </c>
      <c r="F1044" s="2" t="n">
        <v>16</v>
      </c>
      <c r="G1044" s="4" t="n">
        <v>64.99</v>
      </c>
      <c r="H1044" s="4" t="n">
        <v>45.11</v>
      </c>
      <c r="I1044" s="4" t="n">
        <f aca="false">F1044*G1044</f>
        <v>1039.84</v>
      </c>
      <c r="J1044" s="4" t="n">
        <f aca="false">F1044*H1044</f>
        <v>721.76</v>
      </c>
      <c r="K1044" s="4" t="n">
        <f aca="false">I1044-J1044</f>
        <v>318.08</v>
      </c>
      <c r="L1044" s="5" t="n">
        <f aca="false">IFERROR(K1044/I1044,0)</f>
        <v>0.305893214340668</v>
      </c>
    </row>
    <row r="1045" customFormat="false" ht="15" hidden="false" customHeight="false" outlineLevel="0" collapsed="false">
      <c r="A1045" s="2" t="s">
        <v>44</v>
      </c>
      <c r="B1045" s="2" t="s">
        <v>45</v>
      </c>
      <c r="C1045" s="2" t="s">
        <v>32</v>
      </c>
      <c r="D1045" s="2" t="s">
        <v>36</v>
      </c>
      <c r="E1045" s="3" t="n">
        <v>46023</v>
      </c>
      <c r="F1045" s="2" t="n">
        <v>14</v>
      </c>
      <c r="G1045" s="4" t="n">
        <v>22.99</v>
      </c>
      <c r="H1045" s="4" t="n">
        <v>17.18</v>
      </c>
      <c r="I1045" s="4" t="n">
        <f aca="false">F1045*G1045</f>
        <v>321.86</v>
      </c>
      <c r="J1045" s="4" t="n">
        <f aca="false">F1045*H1045</f>
        <v>240.52</v>
      </c>
      <c r="K1045" s="4" t="n">
        <f aca="false">I1045-J1045</f>
        <v>81.34</v>
      </c>
      <c r="L1045" s="5" t="n">
        <f aca="false">IFERROR(K1045/I1045,0)</f>
        <v>0.252718573292736</v>
      </c>
    </row>
    <row r="1046" customFormat="false" ht="15" hidden="false" customHeight="false" outlineLevel="0" collapsed="false">
      <c r="A1046" s="2" t="s">
        <v>44</v>
      </c>
      <c r="B1046" s="2" t="s">
        <v>45</v>
      </c>
      <c r="C1046" s="2" t="s">
        <v>32</v>
      </c>
      <c r="D1046" s="2" t="s">
        <v>37</v>
      </c>
      <c r="E1046" s="3" t="n">
        <v>46023</v>
      </c>
      <c r="F1046" s="2" t="n">
        <v>30</v>
      </c>
      <c r="G1046" s="4" t="n">
        <v>29.99</v>
      </c>
      <c r="H1046" s="4" t="n">
        <v>20.84</v>
      </c>
      <c r="I1046" s="4" t="n">
        <f aca="false">F1046*G1046</f>
        <v>899.7</v>
      </c>
      <c r="J1046" s="4" t="n">
        <f aca="false">F1046*H1046</f>
        <v>625.2</v>
      </c>
      <c r="K1046" s="4" t="n">
        <f aca="false">I1046-J1046</f>
        <v>274.5</v>
      </c>
      <c r="L1046" s="5" t="n">
        <f aca="false">IFERROR(K1046/I1046,0)</f>
        <v>0.305101700566856</v>
      </c>
    </row>
    <row r="1047" customFormat="false" ht="15" hidden="false" customHeight="false" outlineLevel="0" collapsed="false">
      <c r="A1047" s="2" t="s">
        <v>44</v>
      </c>
      <c r="B1047" s="2" t="s">
        <v>45</v>
      </c>
      <c r="C1047" s="2" t="s">
        <v>38</v>
      </c>
      <c r="D1047" s="2" t="s">
        <v>39</v>
      </c>
      <c r="E1047" s="3" t="n">
        <v>46023</v>
      </c>
      <c r="F1047" s="2" t="n">
        <v>24</v>
      </c>
      <c r="G1047" s="4" t="n">
        <v>129.99</v>
      </c>
      <c r="H1047" s="4" t="n">
        <v>77.29</v>
      </c>
      <c r="I1047" s="4" t="n">
        <f aca="false">F1047*G1047</f>
        <v>3119.76</v>
      </c>
      <c r="J1047" s="4" t="n">
        <f aca="false">F1047*H1047</f>
        <v>1854.96</v>
      </c>
      <c r="K1047" s="4" t="n">
        <f aca="false">I1047-J1047</f>
        <v>1264.8</v>
      </c>
      <c r="L1047" s="5" t="n">
        <f aca="false">IFERROR(K1047/I1047,0)</f>
        <v>0.405415801215478</v>
      </c>
    </row>
    <row r="1048" customFormat="false" ht="15" hidden="false" customHeight="false" outlineLevel="0" collapsed="false">
      <c r="A1048" s="2" t="s">
        <v>44</v>
      </c>
      <c r="B1048" s="2" t="s">
        <v>45</v>
      </c>
      <c r="C1048" s="2" t="s">
        <v>38</v>
      </c>
      <c r="D1048" s="2" t="s">
        <v>40</v>
      </c>
      <c r="E1048" s="3" t="n">
        <v>46023</v>
      </c>
      <c r="F1048" s="2" t="n">
        <v>31</v>
      </c>
      <c r="G1048" s="4" t="n">
        <v>74.99</v>
      </c>
      <c r="H1048" s="4" t="n">
        <v>40.95</v>
      </c>
      <c r="I1048" s="4" t="n">
        <f aca="false">F1048*G1048</f>
        <v>2324.69</v>
      </c>
      <c r="J1048" s="4" t="n">
        <f aca="false">F1048*H1048</f>
        <v>1269.45</v>
      </c>
      <c r="K1048" s="4" t="n">
        <f aca="false">I1048-J1048</f>
        <v>1055.24</v>
      </c>
      <c r="L1048" s="5" t="n">
        <f aca="false">IFERROR(K1048/I1048,0)</f>
        <v>0.453927190292039</v>
      </c>
    </row>
    <row r="1049" customFormat="false" ht="15" hidden="false" customHeight="false" outlineLevel="0" collapsed="false">
      <c r="A1049" s="2" t="s">
        <v>44</v>
      </c>
      <c r="B1049" s="2" t="s">
        <v>45</v>
      </c>
      <c r="C1049" s="2" t="s">
        <v>38</v>
      </c>
      <c r="D1049" s="2" t="s">
        <v>41</v>
      </c>
      <c r="E1049" s="3" t="n">
        <v>46023</v>
      </c>
      <c r="F1049" s="2" t="n">
        <v>21</v>
      </c>
      <c r="G1049" s="4" t="n">
        <v>19.99</v>
      </c>
      <c r="H1049" s="4" t="n">
        <v>9.7</v>
      </c>
      <c r="I1049" s="4" t="n">
        <f aca="false">F1049*G1049</f>
        <v>419.79</v>
      </c>
      <c r="J1049" s="4" t="n">
        <f aca="false">F1049*H1049</f>
        <v>203.7</v>
      </c>
      <c r="K1049" s="4" t="n">
        <f aca="false">I1049-J1049</f>
        <v>216.09</v>
      </c>
      <c r="L1049" s="5" t="n">
        <f aca="false">IFERROR(K1049/I1049,0)</f>
        <v>0.514757378689345</v>
      </c>
    </row>
    <row r="1050" customFormat="false" ht="15" hidden="false" customHeight="false" outlineLevel="0" collapsed="false">
      <c r="A1050" s="2" t="s">
        <v>44</v>
      </c>
      <c r="B1050" s="2" t="s">
        <v>45</v>
      </c>
      <c r="C1050" s="2" t="s">
        <v>38</v>
      </c>
      <c r="D1050" s="2" t="s">
        <v>42</v>
      </c>
      <c r="E1050" s="3" t="n">
        <v>46023</v>
      </c>
      <c r="F1050" s="2" t="n">
        <v>19</v>
      </c>
      <c r="G1050" s="4" t="n">
        <v>16.99</v>
      </c>
      <c r="H1050" s="4" t="n">
        <v>8.7</v>
      </c>
      <c r="I1050" s="4" t="n">
        <f aca="false">F1050*G1050</f>
        <v>322.81</v>
      </c>
      <c r="J1050" s="4" t="n">
        <f aca="false">F1050*H1050</f>
        <v>165.3</v>
      </c>
      <c r="K1050" s="4" t="n">
        <f aca="false">I1050-J1050</f>
        <v>157.51</v>
      </c>
      <c r="L1050" s="5" t="n">
        <f aca="false">IFERROR(K1050/I1050,0)</f>
        <v>0.487934078869923</v>
      </c>
    </row>
    <row r="1051" customFormat="false" ht="15" hidden="false" customHeight="false" outlineLevel="0" collapsed="false">
      <c r="A1051" s="2" t="s">
        <v>44</v>
      </c>
      <c r="B1051" s="2" t="s">
        <v>45</v>
      </c>
      <c r="C1051" s="2" t="s">
        <v>38</v>
      </c>
      <c r="D1051" s="2" t="s">
        <v>43</v>
      </c>
      <c r="E1051" s="3" t="n">
        <v>46023</v>
      </c>
      <c r="F1051" s="2" t="n">
        <v>14</v>
      </c>
      <c r="G1051" s="4" t="n">
        <v>24.99</v>
      </c>
      <c r="H1051" s="4" t="n">
        <v>12.82</v>
      </c>
      <c r="I1051" s="4" t="n">
        <f aca="false">F1051*G1051</f>
        <v>349.86</v>
      </c>
      <c r="J1051" s="4" t="n">
        <f aca="false">F1051*H1051</f>
        <v>179.48</v>
      </c>
      <c r="K1051" s="4" t="n">
        <f aca="false">I1051-J1051</f>
        <v>170.38</v>
      </c>
      <c r="L1051" s="5" t="n">
        <f aca="false">IFERROR(K1051/I1051,0)</f>
        <v>0.486994797919168</v>
      </c>
    </row>
    <row r="1052" customFormat="false" ht="15" hidden="false" customHeight="false" outlineLevel="0" collapsed="false">
      <c r="A1052" s="2" t="s">
        <v>44</v>
      </c>
      <c r="B1052" s="2" t="s">
        <v>46</v>
      </c>
      <c r="C1052" s="2" t="s">
        <v>14</v>
      </c>
      <c r="D1052" s="2" t="s">
        <v>15</v>
      </c>
      <c r="E1052" s="3" t="n">
        <v>46023</v>
      </c>
      <c r="F1052" s="2" t="n">
        <v>7</v>
      </c>
      <c r="G1052" s="4" t="n">
        <v>69.99</v>
      </c>
      <c r="H1052" s="4" t="n">
        <v>34.41</v>
      </c>
      <c r="I1052" s="4" t="n">
        <f aca="false">F1052*G1052</f>
        <v>489.93</v>
      </c>
      <c r="J1052" s="4" t="n">
        <f aca="false">F1052*H1052</f>
        <v>240.87</v>
      </c>
      <c r="K1052" s="4" t="n">
        <f aca="false">I1052-J1052</f>
        <v>249.06</v>
      </c>
      <c r="L1052" s="5" t="n">
        <f aca="false">IFERROR(K1052/I1052,0)</f>
        <v>0.508358336905272</v>
      </c>
    </row>
    <row r="1053" customFormat="false" ht="15" hidden="false" customHeight="false" outlineLevel="0" collapsed="false">
      <c r="A1053" s="2" t="s">
        <v>44</v>
      </c>
      <c r="B1053" s="2" t="s">
        <v>46</v>
      </c>
      <c r="C1053" s="2" t="s">
        <v>14</v>
      </c>
      <c r="D1053" s="2" t="s">
        <v>16</v>
      </c>
      <c r="E1053" s="3" t="n">
        <v>46023</v>
      </c>
      <c r="F1053" s="2" t="n">
        <v>7</v>
      </c>
      <c r="G1053" s="4" t="n">
        <v>19.99</v>
      </c>
      <c r="H1053" s="4" t="n">
        <v>9.26</v>
      </c>
      <c r="I1053" s="4" t="n">
        <f aca="false">F1053*G1053</f>
        <v>139.93</v>
      </c>
      <c r="J1053" s="4" t="n">
        <f aca="false">F1053*H1053</f>
        <v>64.82</v>
      </c>
      <c r="K1053" s="4" t="n">
        <f aca="false">I1053-J1053</f>
        <v>75.11</v>
      </c>
      <c r="L1053" s="5" t="n">
        <f aca="false">IFERROR(K1053/I1053,0)</f>
        <v>0.536768384192096</v>
      </c>
    </row>
    <row r="1054" customFormat="false" ht="15" hidden="false" customHeight="false" outlineLevel="0" collapsed="false">
      <c r="A1054" s="2" t="s">
        <v>44</v>
      </c>
      <c r="B1054" s="2" t="s">
        <v>46</v>
      </c>
      <c r="C1054" s="2" t="s">
        <v>14</v>
      </c>
      <c r="D1054" s="2" t="s">
        <v>17</v>
      </c>
      <c r="E1054" s="3" t="n">
        <v>46023</v>
      </c>
      <c r="F1054" s="2" t="n">
        <v>11</v>
      </c>
      <c r="G1054" s="4" t="n">
        <v>79.99</v>
      </c>
      <c r="H1054" s="4" t="n">
        <v>39.97</v>
      </c>
      <c r="I1054" s="4" t="n">
        <f aca="false">F1054*G1054</f>
        <v>879.89</v>
      </c>
      <c r="J1054" s="4" t="n">
        <f aca="false">F1054*H1054</f>
        <v>439.67</v>
      </c>
      <c r="K1054" s="4" t="n">
        <f aca="false">I1054-J1054</f>
        <v>440.22</v>
      </c>
      <c r="L1054" s="5" t="n">
        <f aca="false">IFERROR(K1054/I1054,0)</f>
        <v>0.500312539067384</v>
      </c>
    </row>
    <row r="1055" customFormat="false" ht="15" hidden="false" customHeight="false" outlineLevel="0" collapsed="false">
      <c r="A1055" s="2" t="s">
        <v>44</v>
      </c>
      <c r="B1055" s="2" t="s">
        <v>46</v>
      </c>
      <c r="C1055" s="2" t="s">
        <v>14</v>
      </c>
      <c r="D1055" s="2" t="s">
        <v>18</v>
      </c>
      <c r="E1055" s="3" t="n">
        <v>46023</v>
      </c>
      <c r="F1055" s="2" t="n">
        <v>11</v>
      </c>
      <c r="G1055" s="4" t="n">
        <v>34.99</v>
      </c>
      <c r="H1055" s="4" t="n">
        <v>14.81</v>
      </c>
      <c r="I1055" s="4" t="n">
        <f aca="false">F1055*G1055</f>
        <v>384.89</v>
      </c>
      <c r="J1055" s="4" t="n">
        <f aca="false">F1055*H1055</f>
        <v>162.91</v>
      </c>
      <c r="K1055" s="4" t="n">
        <f aca="false">I1055-J1055</f>
        <v>221.98</v>
      </c>
      <c r="L1055" s="5" t="n">
        <f aca="false">IFERROR(K1055/I1055,0)</f>
        <v>0.576736210345813</v>
      </c>
    </row>
    <row r="1056" customFormat="false" ht="15" hidden="false" customHeight="false" outlineLevel="0" collapsed="false">
      <c r="A1056" s="2" t="s">
        <v>44</v>
      </c>
      <c r="B1056" s="2" t="s">
        <v>46</v>
      </c>
      <c r="C1056" s="2" t="s">
        <v>14</v>
      </c>
      <c r="D1056" s="2" t="s">
        <v>19</v>
      </c>
      <c r="E1056" s="3" t="n">
        <v>46023</v>
      </c>
      <c r="F1056" s="2" t="n">
        <v>16</v>
      </c>
      <c r="G1056" s="4" t="n">
        <v>54.99</v>
      </c>
      <c r="H1056" s="4" t="n">
        <v>23.93</v>
      </c>
      <c r="I1056" s="4" t="n">
        <f aca="false">F1056*G1056</f>
        <v>879.84</v>
      </c>
      <c r="J1056" s="4" t="n">
        <f aca="false">F1056*H1056</f>
        <v>382.88</v>
      </c>
      <c r="K1056" s="4" t="n">
        <f aca="false">I1056-J1056</f>
        <v>496.96</v>
      </c>
      <c r="L1056" s="5" t="n">
        <f aca="false">IFERROR(K1056/I1056,0)</f>
        <v>0.564829969085288</v>
      </c>
    </row>
    <row r="1057" customFormat="false" ht="15" hidden="false" customHeight="false" outlineLevel="0" collapsed="false">
      <c r="A1057" s="2" t="s">
        <v>44</v>
      </c>
      <c r="B1057" s="2" t="s">
        <v>46</v>
      </c>
      <c r="C1057" s="2" t="s">
        <v>20</v>
      </c>
      <c r="D1057" s="2" t="s">
        <v>21</v>
      </c>
      <c r="E1057" s="3" t="n">
        <v>46023</v>
      </c>
      <c r="F1057" s="2" t="n">
        <v>5</v>
      </c>
      <c r="G1057" s="4" t="n">
        <v>44.99</v>
      </c>
      <c r="H1057" s="4" t="n">
        <v>20.72</v>
      </c>
      <c r="I1057" s="4" t="n">
        <f aca="false">F1057*G1057</f>
        <v>224.95</v>
      </c>
      <c r="J1057" s="4" t="n">
        <f aca="false">F1057*H1057</f>
        <v>103.6</v>
      </c>
      <c r="K1057" s="4" t="n">
        <f aca="false">I1057-J1057</f>
        <v>121.35</v>
      </c>
      <c r="L1057" s="5" t="n">
        <f aca="false">IFERROR(K1057/I1057,0)</f>
        <v>0.53945321182485</v>
      </c>
    </row>
    <row r="1058" customFormat="false" ht="15" hidden="false" customHeight="false" outlineLevel="0" collapsed="false">
      <c r="A1058" s="2" t="s">
        <v>44</v>
      </c>
      <c r="B1058" s="2" t="s">
        <v>46</v>
      </c>
      <c r="C1058" s="2" t="s">
        <v>20</v>
      </c>
      <c r="D1058" s="2" t="s">
        <v>22</v>
      </c>
      <c r="E1058" s="3" t="n">
        <v>46023</v>
      </c>
      <c r="F1058" s="2" t="n">
        <v>9</v>
      </c>
      <c r="G1058" s="4" t="n">
        <v>14.99</v>
      </c>
      <c r="H1058" s="4" t="n">
        <v>5.7</v>
      </c>
      <c r="I1058" s="4" t="n">
        <f aca="false">F1058*G1058</f>
        <v>134.91</v>
      </c>
      <c r="J1058" s="4" t="n">
        <f aca="false">F1058*H1058</f>
        <v>51.3</v>
      </c>
      <c r="K1058" s="4" t="n">
        <f aca="false">I1058-J1058</f>
        <v>83.61</v>
      </c>
      <c r="L1058" s="5" t="n">
        <f aca="false">IFERROR(K1058/I1058,0)</f>
        <v>0.61974649766511</v>
      </c>
    </row>
    <row r="1059" customFormat="false" ht="15" hidden="false" customHeight="false" outlineLevel="0" collapsed="false">
      <c r="A1059" s="2" t="s">
        <v>44</v>
      </c>
      <c r="B1059" s="2" t="s">
        <v>46</v>
      </c>
      <c r="C1059" s="2" t="s">
        <v>20</v>
      </c>
      <c r="D1059" s="2" t="s">
        <v>23</v>
      </c>
      <c r="E1059" s="3" t="n">
        <v>46023</v>
      </c>
      <c r="F1059" s="2" t="n">
        <v>13</v>
      </c>
      <c r="G1059" s="4" t="n">
        <v>39.99</v>
      </c>
      <c r="H1059" s="4" t="n">
        <v>17.16</v>
      </c>
      <c r="I1059" s="4" t="n">
        <f aca="false">F1059*G1059</f>
        <v>519.87</v>
      </c>
      <c r="J1059" s="4" t="n">
        <f aca="false">F1059*H1059</f>
        <v>223.08</v>
      </c>
      <c r="K1059" s="4" t="n">
        <f aca="false">I1059-J1059</f>
        <v>296.79</v>
      </c>
      <c r="L1059" s="5" t="n">
        <f aca="false">IFERROR(K1059/I1059,0)</f>
        <v>0.570892723180795</v>
      </c>
    </row>
    <row r="1060" customFormat="false" ht="15" hidden="false" customHeight="false" outlineLevel="0" collapsed="false">
      <c r="A1060" s="2" t="s">
        <v>44</v>
      </c>
      <c r="B1060" s="2" t="s">
        <v>46</v>
      </c>
      <c r="C1060" s="2" t="s">
        <v>20</v>
      </c>
      <c r="D1060" s="2" t="s">
        <v>24</v>
      </c>
      <c r="E1060" s="3" t="n">
        <v>46023</v>
      </c>
      <c r="F1060" s="2" t="n">
        <v>13</v>
      </c>
      <c r="G1060" s="4" t="n">
        <v>18.99</v>
      </c>
      <c r="H1060" s="4" t="n">
        <v>7.54</v>
      </c>
      <c r="I1060" s="4" t="n">
        <f aca="false">F1060*G1060</f>
        <v>246.87</v>
      </c>
      <c r="J1060" s="4" t="n">
        <f aca="false">F1060*H1060</f>
        <v>98.02</v>
      </c>
      <c r="K1060" s="4" t="n">
        <f aca="false">I1060-J1060</f>
        <v>148.85</v>
      </c>
      <c r="L1060" s="5" t="n">
        <f aca="false">IFERROR(K1060/I1060,0)</f>
        <v>0.602948920484466</v>
      </c>
    </row>
    <row r="1061" customFormat="false" ht="15" hidden="false" customHeight="false" outlineLevel="0" collapsed="false">
      <c r="A1061" s="2" t="s">
        <v>44</v>
      </c>
      <c r="B1061" s="2" t="s">
        <v>46</v>
      </c>
      <c r="C1061" s="2" t="s">
        <v>20</v>
      </c>
      <c r="D1061" s="2" t="s">
        <v>25</v>
      </c>
      <c r="E1061" s="3" t="n">
        <v>46023</v>
      </c>
      <c r="F1061" s="2" t="n">
        <v>16</v>
      </c>
      <c r="G1061" s="4" t="n">
        <v>42.99</v>
      </c>
      <c r="H1061" s="4" t="n">
        <v>16.3</v>
      </c>
      <c r="I1061" s="4" t="n">
        <f aca="false">F1061*G1061</f>
        <v>687.84</v>
      </c>
      <c r="J1061" s="4" t="n">
        <f aca="false">F1061*H1061</f>
        <v>260.8</v>
      </c>
      <c r="K1061" s="4" t="n">
        <f aca="false">I1061-J1061</f>
        <v>427.04</v>
      </c>
      <c r="L1061" s="5" t="n">
        <f aca="false">IFERROR(K1061/I1061,0)</f>
        <v>0.620842056292161</v>
      </c>
    </row>
    <row r="1062" customFormat="false" ht="15" hidden="false" customHeight="false" outlineLevel="0" collapsed="false">
      <c r="A1062" s="2" t="s">
        <v>44</v>
      </c>
      <c r="B1062" s="2" t="s">
        <v>46</v>
      </c>
      <c r="C1062" s="2" t="s">
        <v>26</v>
      </c>
      <c r="D1062" s="2" t="s">
        <v>27</v>
      </c>
      <c r="E1062" s="3" t="n">
        <v>46023</v>
      </c>
      <c r="F1062" s="2" t="n">
        <v>18</v>
      </c>
      <c r="G1062" s="4" t="n">
        <v>44.99</v>
      </c>
      <c r="H1062" s="4" t="n">
        <v>27.48</v>
      </c>
      <c r="I1062" s="4" t="n">
        <f aca="false">F1062*G1062</f>
        <v>809.82</v>
      </c>
      <c r="J1062" s="4" t="n">
        <f aca="false">F1062*H1062</f>
        <v>494.64</v>
      </c>
      <c r="K1062" s="4" t="n">
        <f aca="false">I1062-J1062</f>
        <v>315.18</v>
      </c>
      <c r="L1062" s="5" t="n">
        <f aca="false">IFERROR(K1062/I1062,0)</f>
        <v>0.389197599466548</v>
      </c>
    </row>
    <row r="1063" customFormat="false" ht="15" hidden="false" customHeight="false" outlineLevel="0" collapsed="false">
      <c r="A1063" s="2" t="s">
        <v>44</v>
      </c>
      <c r="B1063" s="2" t="s">
        <v>46</v>
      </c>
      <c r="C1063" s="2" t="s">
        <v>26</v>
      </c>
      <c r="D1063" s="2" t="s">
        <v>28</v>
      </c>
      <c r="E1063" s="3" t="n">
        <v>46023</v>
      </c>
      <c r="F1063" s="2" t="n">
        <v>7</v>
      </c>
      <c r="G1063" s="4" t="n">
        <v>34.99</v>
      </c>
      <c r="H1063" s="4" t="n">
        <v>22.82</v>
      </c>
      <c r="I1063" s="4" t="n">
        <f aca="false">F1063*G1063</f>
        <v>244.93</v>
      </c>
      <c r="J1063" s="4" t="n">
        <f aca="false">F1063*H1063</f>
        <v>159.74</v>
      </c>
      <c r="K1063" s="4" t="n">
        <f aca="false">I1063-J1063</f>
        <v>85.19</v>
      </c>
      <c r="L1063" s="5" t="n">
        <f aca="false">IFERROR(K1063/I1063,0)</f>
        <v>0.347813661046013</v>
      </c>
    </row>
    <row r="1064" customFormat="false" ht="15" hidden="false" customHeight="false" outlineLevel="0" collapsed="false">
      <c r="A1064" s="2" t="s">
        <v>44</v>
      </c>
      <c r="B1064" s="2" t="s">
        <v>46</v>
      </c>
      <c r="C1064" s="2" t="s">
        <v>26</v>
      </c>
      <c r="D1064" s="2" t="s">
        <v>29</v>
      </c>
      <c r="E1064" s="3" t="n">
        <v>46023</v>
      </c>
      <c r="F1064" s="2" t="n">
        <v>11</v>
      </c>
      <c r="G1064" s="4" t="n">
        <v>119.99</v>
      </c>
      <c r="H1064" s="4" t="n">
        <v>80.95</v>
      </c>
      <c r="I1064" s="4" t="n">
        <f aca="false">F1064*G1064</f>
        <v>1319.89</v>
      </c>
      <c r="J1064" s="4" t="n">
        <f aca="false">F1064*H1064</f>
        <v>890.45</v>
      </c>
      <c r="K1064" s="4" t="n">
        <f aca="false">I1064-J1064</f>
        <v>429.44</v>
      </c>
      <c r="L1064" s="5" t="n">
        <f aca="false">IFERROR(K1064/I1064,0)</f>
        <v>0.325360446703892</v>
      </c>
    </row>
    <row r="1065" customFormat="false" ht="15" hidden="false" customHeight="false" outlineLevel="0" collapsed="false">
      <c r="A1065" s="2" t="s">
        <v>44</v>
      </c>
      <c r="B1065" s="2" t="s">
        <v>46</v>
      </c>
      <c r="C1065" s="2" t="s">
        <v>26</v>
      </c>
      <c r="D1065" s="2" t="s">
        <v>30</v>
      </c>
      <c r="E1065" s="3" t="n">
        <v>46023</v>
      </c>
      <c r="F1065" s="2" t="n">
        <v>13</v>
      </c>
      <c r="G1065" s="4" t="n">
        <v>24.99</v>
      </c>
      <c r="H1065" s="4" t="n">
        <v>15.07</v>
      </c>
      <c r="I1065" s="4" t="n">
        <f aca="false">F1065*G1065</f>
        <v>324.87</v>
      </c>
      <c r="J1065" s="4" t="n">
        <f aca="false">F1065*H1065</f>
        <v>195.91</v>
      </c>
      <c r="K1065" s="4" t="n">
        <f aca="false">I1065-J1065</f>
        <v>128.96</v>
      </c>
      <c r="L1065" s="5" t="n">
        <f aca="false">IFERROR(K1065/I1065,0)</f>
        <v>0.396958783513405</v>
      </c>
    </row>
    <row r="1066" customFormat="false" ht="15" hidden="false" customHeight="false" outlineLevel="0" collapsed="false">
      <c r="A1066" s="2" t="s">
        <v>44</v>
      </c>
      <c r="B1066" s="2" t="s">
        <v>46</v>
      </c>
      <c r="C1066" s="2" t="s">
        <v>26</v>
      </c>
      <c r="D1066" s="2" t="s">
        <v>31</v>
      </c>
      <c r="E1066" s="3" t="n">
        <v>46023</v>
      </c>
      <c r="F1066" s="2" t="n">
        <v>16</v>
      </c>
      <c r="G1066" s="4" t="n">
        <v>59.99</v>
      </c>
      <c r="H1066" s="4" t="n">
        <v>38.21</v>
      </c>
      <c r="I1066" s="4" t="n">
        <f aca="false">F1066*G1066</f>
        <v>959.84</v>
      </c>
      <c r="J1066" s="4" t="n">
        <f aca="false">F1066*H1066</f>
        <v>611.36</v>
      </c>
      <c r="K1066" s="4" t="n">
        <f aca="false">I1066-J1066</f>
        <v>348.48</v>
      </c>
      <c r="L1066" s="5" t="n">
        <f aca="false">IFERROR(K1066/I1066,0)</f>
        <v>0.363060510085014</v>
      </c>
    </row>
    <row r="1067" customFormat="false" ht="15" hidden="false" customHeight="false" outlineLevel="0" collapsed="false">
      <c r="A1067" s="2" t="s">
        <v>44</v>
      </c>
      <c r="B1067" s="2" t="s">
        <v>46</v>
      </c>
      <c r="C1067" s="2" t="s">
        <v>32</v>
      </c>
      <c r="D1067" s="2" t="s">
        <v>33</v>
      </c>
      <c r="E1067" s="3" t="n">
        <v>46023</v>
      </c>
      <c r="F1067" s="2" t="n">
        <v>15</v>
      </c>
      <c r="G1067" s="4" t="n">
        <v>49.99</v>
      </c>
      <c r="H1067" s="4" t="n">
        <v>36.93</v>
      </c>
      <c r="I1067" s="4" t="n">
        <f aca="false">F1067*G1067</f>
        <v>749.85</v>
      </c>
      <c r="J1067" s="4" t="n">
        <f aca="false">F1067*H1067</f>
        <v>553.95</v>
      </c>
      <c r="K1067" s="4" t="n">
        <f aca="false">I1067-J1067</f>
        <v>195.9</v>
      </c>
      <c r="L1067" s="5" t="n">
        <f aca="false">IFERROR(K1067/I1067,0)</f>
        <v>0.26125225045009</v>
      </c>
    </row>
    <row r="1068" customFormat="false" ht="15" hidden="false" customHeight="false" outlineLevel="0" collapsed="false">
      <c r="A1068" s="2" t="s">
        <v>44</v>
      </c>
      <c r="B1068" s="2" t="s">
        <v>46</v>
      </c>
      <c r="C1068" s="2" t="s">
        <v>32</v>
      </c>
      <c r="D1068" s="2" t="s">
        <v>34</v>
      </c>
      <c r="E1068" s="3" t="n">
        <v>46023</v>
      </c>
      <c r="F1068" s="2" t="n">
        <v>16</v>
      </c>
      <c r="G1068" s="4" t="n">
        <v>27.99</v>
      </c>
      <c r="H1068" s="4" t="n">
        <v>20.07</v>
      </c>
      <c r="I1068" s="4" t="n">
        <f aca="false">F1068*G1068</f>
        <v>447.84</v>
      </c>
      <c r="J1068" s="4" t="n">
        <f aca="false">F1068*H1068</f>
        <v>321.12</v>
      </c>
      <c r="K1068" s="4" t="n">
        <f aca="false">I1068-J1068</f>
        <v>126.72</v>
      </c>
      <c r="L1068" s="5" t="n">
        <f aca="false">IFERROR(K1068/I1068,0)</f>
        <v>0.282958199356913</v>
      </c>
    </row>
    <row r="1069" customFormat="false" ht="15" hidden="false" customHeight="false" outlineLevel="0" collapsed="false">
      <c r="A1069" s="2" t="s">
        <v>44</v>
      </c>
      <c r="B1069" s="2" t="s">
        <v>46</v>
      </c>
      <c r="C1069" s="2" t="s">
        <v>32</v>
      </c>
      <c r="D1069" s="2" t="s">
        <v>35</v>
      </c>
      <c r="E1069" s="3" t="n">
        <v>46023</v>
      </c>
      <c r="F1069" s="2" t="n">
        <v>12</v>
      </c>
      <c r="G1069" s="4" t="n">
        <v>64.99</v>
      </c>
      <c r="H1069" s="4" t="n">
        <v>44.45</v>
      </c>
      <c r="I1069" s="4" t="n">
        <f aca="false">F1069*G1069</f>
        <v>779.88</v>
      </c>
      <c r="J1069" s="4" t="n">
        <f aca="false">F1069*H1069</f>
        <v>533.4</v>
      </c>
      <c r="K1069" s="4" t="n">
        <f aca="false">I1069-J1069</f>
        <v>246.48</v>
      </c>
      <c r="L1069" s="5" t="n">
        <f aca="false">IFERROR(K1069/I1069,0)</f>
        <v>0.316048622865056</v>
      </c>
    </row>
    <row r="1070" customFormat="false" ht="15" hidden="false" customHeight="false" outlineLevel="0" collapsed="false">
      <c r="A1070" s="2" t="s">
        <v>44</v>
      </c>
      <c r="B1070" s="2" t="s">
        <v>46</v>
      </c>
      <c r="C1070" s="2" t="s">
        <v>32</v>
      </c>
      <c r="D1070" s="2" t="s">
        <v>36</v>
      </c>
      <c r="E1070" s="3" t="n">
        <v>46023</v>
      </c>
      <c r="F1070" s="2" t="n">
        <v>9</v>
      </c>
      <c r="G1070" s="4" t="n">
        <v>22.99</v>
      </c>
      <c r="H1070" s="4" t="n">
        <v>16.87</v>
      </c>
      <c r="I1070" s="4" t="n">
        <f aca="false">F1070*G1070</f>
        <v>206.91</v>
      </c>
      <c r="J1070" s="4" t="n">
        <f aca="false">F1070*H1070</f>
        <v>151.83</v>
      </c>
      <c r="K1070" s="4" t="n">
        <f aca="false">I1070-J1070</f>
        <v>55.08</v>
      </c>
      <c r="L1070" s="5" t="n">
        <f aca="false">IFERROR(K1070/I1070,0)</f>
        <v>0.266202696824706</v>
      </c>
    </row>
    <row r="1071" customFormat="false" ht="15" hidden="false" customHeight="false" outlineLevel="0" collapsed="false">
      <c r="A1071" s="2" t="s">
        <v>44</v>
      </c>
      <c r="B1071" s="2" t="s">
        <v>46</v>
      </c>
      <c r="C1071" s="2" t="s">
        <v>32</v>
      </c>
      <c r="D1071" s="2" t="s">
        <v>37</v>
      </c>
      <c r="E1071" s="3" t="n">
        <v>46023</v>
      </c>
      <c r="F1071" s="2" t="n">
        <v>11</v>
      </c>
      <c r="G1071" s="4" t="n">
        <v>29.99</v>
      </c>
      <c r="H1071" s="4" t="n">
        <v>19.79</v>
      </c>
      <c r="I1071" s="4" t="n">
        <f aca="false">F1071*G1071</f>
        <v>329.89</v>
      </c>
      <c r="J1071" s="4" t="n">
        <f aca="false">F1071*H1071</f>
        <v>217.69</v>
      </c>
      <c r="K1071" s="4" t="n">
        <f aca="false">I1071-J1071</f>
        <v>112.2</v>
      </c>
      <c r="L1071" s="5" t="n">
        <f aca="false">IFERROR(K1071/I1071,0)</f>
        <v>0.340113371123708</v>
      </c>
    </row>
    <row r="1072" customFormat="false" ht="15" hidden="false" customHeight="false" outlineLevel="0" collapsed="false">
      <c r="A1072" s="2" t="s">
        <v>44</v>
      </c>
      <c r="B1072" s="2" t="s">
        <v>46</v>
      </c>
      <c r="C1072" s="2" t="s">
        <v>38</v>
      </c>
      <c r="D1072" s="2" t="s">
        <v>39</v>
      </c>
      <c r="E1072" s="3" t="n">
        <v>46023</v>
      </c>
      <c r="F1072" s="2" t="n">
        <v>16</v>
      </c>
      <c r="G1072" s="4" t="n">
        <v>129.99</v>
      </c>
      <c r="H1072" s="4" t="n">
        <v>74.89</v>
      </c>
      <c r="I1072" s="4" t="n">
        <f aca="false">F1072*G1072</f>
        <v>2079.84</v>
      </c>
      <c r="J1072" s="4" t="n">
        <f aca="false">F1072*H1072</f>
        <v>1198.24</v>
      </c>
      <c r="K1072" s="4" t="n">
        <f aca="false">I1072-J1072</f>
        <v>881.6</v>
      </c>
      <c r="L1072" s="5" t="n">
        <f aca="false">IFERROR(K1072/I1072,0)</f>
        <v>0.423878759904608</v>
      </c>
    </row>
    <row r="1073" customFormat="false" ht="15" hidden="false" customHeight="false" outlineLevel="0" collapsed="false">
      <c r="A1073" s="2" t="s">
        <v>44</v>
      </c>
      <c r="B1073" s="2" t="s">
        <v>46</v>
      </c>
      <c r="C1073" s="2" t="s">
        <v>38</v>
      </c>
      <c r="D1073" s="2" t="s">
        <v>40</v>
      </c>
      <c r="E1073" s="3" t="n">
        <v>46023</v>
      </c>
      <c r="F1073" s="2" t="n">
        <v>10</v>
      </c>
      <c r="G1073" s="4" t="n">
        <v>74.99</v>
      </c>
      <c r="H1073" s="4" t="n">
        <v>40.63</v>
      </c>
      <c r="I1073" s="4" t="n">
        <f aca="false">F1073*G1073</f>
        <v>749.9</v>
      </c>
      <c r="J1073" s="4" t="n">
        <f aca="false">F1073*H1073</f>
        <v>406.3</v>
      </c>
      <c r="K1073" s="4" t="n">
        <f aca="false">I1073-J1073</f>
        <v>343.6</v>
      </c>
      <c r="L1073" s="5" t="n">
        <f aca="false">IFERROR(K1073/I1073,0)</f>
        <v>0.458194425923456</v>
      </c>
    </row>
    <row r="1074" customFormat="false" ht="15" hidden="false" customHeight="false" outlineLevel="0" collapsed="false">
      <c r="A1074" s="2" t="s">
        <v>44</v>
      </c>
      <c r="B1074" s="2" t="s">
        <v>46</v>
      </c>
      <c r="C1074" s="2" t="s">
        <v>38</v>
      </c>
      <c r="D1074" s="2" t="s">
        <v>41</v>
      </c>
      <c r="E1074" s="3" t="n">
        <v>46023</v>
      </c>
      <c r="F1074" s="2" t="n">
        <v>10</v>
      </c>
      <c r="G1074" s="4" t="n">
        <v>19.99</v>
      </c>
      <c r="H1074" s="4" t="n">
        <v>9.32</v>
      </c>
      <c r="I1074" s="4" t="n">
        <f aca="false">F1074*G1074</f>
        <v>199.9</v>
      </c>
      <c r="J1074" s="4" t="n">
        <f aca="false">F1074*H1074</f>
        <v>93.2</v>
      </c>
      <c r="K1074" s="4" t="n">
        <f aca="false">I1074-J1074</f>
        <v>106.7</v>
      </c>
      <c r="L1074" s="5" t="n">
        <f aca="false">IFERROR(K1074/I1074,0)</f>
        <v>0.533766883441721</v>
      </c>
    </row>
    <row r="1075" customFormat="false" ht="15" hidden="false" customHeight="false" outlineLevel="0" collapsed="false">
      <c r="A1075" s="2" t="s">
        <v>44</v>
      </c>
      <c r="B1075" s="2" t="s">
        <v>46</v>
      </c>
      <c r="C1075" s="2" t="s">
        <v>38</v>
      </c>
      <c r="D1075" s="2" t="s">
        <v>42</v>
      </c>
      <c r="E1075" s="3" t="n">
        <v>46023</v>
      </c>
      <c r="F1075" s="2" t="n">
        <v>9</v>
      </c>
      <c r="G1075" s="4" t="n">
        <v>16.99</v>
      </c>
      <c r="H1075" s="4" t="n">
        <v>8.3</v>
      </c>
      <c r="I1075" s="4" t="n">
        <f aca="false">F1075*G1075</f>
        <v>152.91</v>
      </c>
      <c r="J1075" s="4" t="n">
        <f aca="false">F1075*H1075</f>
        <v>74.7</v>
      </c>
      <c r="K1075" s="4" t="n">
        <f aca="false">I1075-J1075</f>
        <v>78.21</v>
      </c>
      <c r="L1075" s="5" t="n">
        <f aca="false">IFERROR(K1075/I1075,0)</f>
        <v>0.511477339611536</v>
      </c>
    </row>
    <row r="1076" customFormat="false" ht="15" hidden="false" customHeight="false" outlineLevel="0" collapsed="false">
      <c r="A1076" s="2" t="s">
        <v>44</v>
      </c>
      <c r="B1076" s="2" t="s">
        <v>46</v>
      </c>
      <c r="C1076" s="2" t="s">
        <v>38</v>
      </c>
      <c r="D1076" s="2" t="s">
        <v>43</v>
      </c>
      <c r="E1076" s="3" t="n">
        <v>46023</v>
      </c>
      <c r="F1076" s="2" t="n">
        <v>6</v>
      </c>
      <c r="G1076" s="4" t="n">
        <v>24.99</v>
      </c>
      <c r="H1076" s="4" t="n">
        <v>13.21</v>
      </c>
      <c r="I1076" s="4" t="n">
        <f aca="false">F1076*G1076</f>
        <v>149.94</v>
      </c>
      <c r="J1076" s="4" t="n">
        <f aca="false">F1076*H1076</f>
        <v>79.26</v>
      </c>
      <c r="K1076" s="4" t="n">
        <f aca="false">I1076-J1076</f>
        <v>70.68</v>
      </c>
      <c r="L1076" s="5" t="n">
        <f aca="false">IFERROR(K1076/I1076,0)</f>
        <v>0.471388555422169</v>
      </c>
    </row>
    <row r="1077" customFormat="false" ht="15" hidden="false" customHeight="false" outlineLevel="0" collapsed="false">
      <c r="A1077" s="2" t="s">
        <v>47</v>
      </c>
      <c r="B1077" s="2" t="s">
        <v>48</v>
      </c>
      <c r="C1077" s="2" t="s">
        <v>14</v>
      </c>
      <c r="D1077" s="2" t="s">
        <v>15</v>
      </c>
      <c r="E1077" s="3" t="n">
        <v>46023</v>
      </c>
      <c r="F1077" s="2" t="n">
        <v>12</v>
      </c>
      <c r="G1077" s="4" t="n">
        <v>69.99</v>
      </c>
      <c r="H1077" s="4" t="n">
        <v>34.47</v>
      </c>
      <c r="I1077" s="4" t="n">
        <f aca="false">F1077*G1077</f>
        <v>839.88</v>
      </c>
      <c r="J1077" s="4" t="n">
        <f aca="false">F1077*H1077</f>
        <v>413.64</v>
      </c>
      <c r="K1077" s="4" t="n">
        <f aca="false">I1077-J1077</f>
        <v>426.24</v>
      </c>
      <c r="L1077" s="5" t="n">
        <f aca="false">IFERROR(K1077/I1077,0)</f>
        <v>0.507501071581655</v>
      </c>
    </row>
    <row r="1078" customFormat="false" ht="15" hidden="false" customHeight="false" outlineLevel="0" collapsed="false">
      <c r="A1078" s="2" t="s">
        <v>47</v>
      </c>
      <c r="B1078" s="2" t="s">
        <v>48</v>
      </c>
      <c r="C1078" s="2" t="s">
        <v>14</v>
      </c>
      <c r="D1078" s="2" t="s">
        <v>16</v>
      </c>
      <c r="E1078" s="3" t="n">
        <v>46023</v>
      </c>
      <c r="F1078" s="2" t="n">
        <v>14</v>
      </c>
      <c r="G1078" s="4" t="n">
        <v>19.99</v>
      </c>
      <c r="H1078" s="4" t="n">
        <v>9.05</v>
      </c>
      <c r="I1078" s="4" t="n">
        <f aca="false">F1078*G1078</f>
        <v>279.86</v>
      </c>
      <c r="J1078" s="4" t="n">
        <f aca="false">F1078*H1078</f>
        <v>126.7</v>
      </c>
      <c r="K1078" s="4" t="n">
        <f aca="false">I1078-J1078</f>
        <v>153.16</v>
      </c>
      <c r="L1078" s="5" t="n">
        <f aca="false">IFERROR(K1078/I1078,0)</f>
        <v>0.547273636818409</v>
      </c>
    </row>
    <row r="1079" customFormat="false" ht="15" hidden="false" customHeight="false" outlineLevel="0" collapsed="false">
      <c r="A1079" s="2" t="s">
        <v>47</v>
      </c>
      <c r="B1079" s="2" t="s">
        <v>48</v>
      </c>
      <c r="C1079" s="2" t="s">
        <v>14</v>
      </c>
      <c r="D1079" s="2" t="s">
        <v>17</v>
      </c>
      <c r="E1079" s="3" t="n">
        <v>46023</v>
      </c>
      <c r="F1079" s="2" t="n">
        <v>11</v>
      </c>
      <c r="G1079" s="4" t="n">
        <v>79.99</v>
      </c>
      <c r="H1079" s="4" t="n">
        <v>39.93</v>
      </c>
      <c r="I1079" s="4" t="n">
        <f aca="false">F1079*G1079</f>
        <v>879.89</v>
      </c>
      <c r="J1079" s="4" t="n">
        <f aca="false">F1079*H1079</f>
        <v>439.23</v>
      </c>
      <c r="K1079" s="4" t="n">
        <f aca="false">I1079-J1079</f>
        <v>440.66</v>
      </c>
      <c r="L1079" s="5" t="n">
        <f aca="false">IFERROR(K1079/I1079,0)</f>
        <v>0.500812601575197</v>
      </c>
    </row>
    <row r="1080" customFormat="false" ht="15" hidden="false" customHeight="false" outlineLevel="0" collapsed="false">
      <c r="A1080" s="2" t="s">
        <v>47</v>
      </c>
      <c r="B1080" s="2" t="s">
        <v>48</v>
      </c>
      <c r="C1080" s="2" t="s">
        <v>14</v>
      </c>
      <c r="D1080" s="2" t="s">
        <v>18</v>
      </c>
      <c r="E1080" s="3" t="n">
        <v>46023</v>
      </c>
      <c r="F1080" s="2" t="n">
        <v>15</v>
      </c>
      <c r="G1080" s="4" t="n">
        <v>34.99</v>
      </c>
      <c r="H1080" s="4" t="n">
        <v>15.01</v>
      </c>
      <c r="I1080" s="4" t="n">
        <f aca="false">F1080*G1080</f>
        <v>524.85</v>
      </c>
      <c r="J1080" s="4" t="n">
        <f aca="false">F1080*H1080</f>
        <v>225.15</v>
      </c>
      <c r="K1080" s="4" t="n">
        <f aca="false">I1080-J1080</f>
        <v>299.7</v>
      </c>
      <c r="L1080" s="5" t="n">
        <f aca="false">IFERROR(K1080/I1080,0)</f>
        <v>0.571020291511861</v>
      </c>
    </row>
    <row r="1081" customFormat="false" ht="15" hidden="false" customHeight="false" outlineLevel="0" collapsed="false">
      <c r="A1081" s="2" t="s">
        <v>47</v>
      </c>
      <c r="B1081" s="2" t="s">
        <v>48</v>
      </c>
      <c r="C1081" s="2" t="s">
        <v>14</v>
      </c>
      <c r="D1081" s="2" t="s">
        <v>19</v>
      </c>
      <c r="E1081" s="3" t="n">
        <v>46023</v>
      </c>
      <c r="F1081" s="2" t="n">
        <v>14</v>
      </c>
      <c r="G1081" s="4" t="n">
        <v>54.99</v>
      </c>
      <c r="H1081" s="4" t="n">
        <v>24.38</v>
      </c>
      <c r="I1081" s="4" t="n">
        <f aca="false">F1081*G1081</f>
        <v>769.86</v>
      </c>
      <c r="J1081" s="4" t="n">
        <f aca="false">F1081*H1081</f>
        <v>341.32</v>
      </c>
      <c r="K1081" s="4" t="n">
        <f aca="false">I1081-J1081</f>
        <v>428.54</v>
      </c>
      <c r="L1081" s="5" t="n">
        <f aca="false">IFERROR(K1081/I1081,0)</f>
        <v>0.556646663029642</v>
      </c>
    </row>
    <row r="1082" customFormat="false" ht="15" hidden="false" customHeight="false" outlineLevel="0" collapsed="false">
      <c r="A1082" s="2" t="s">
        <v>47</v>
      </c>
      <c r="B1082" s="2" t="s">
        <v>48</v>
      </c>
      <c r="C1082" s="2" t="s">
        <v>20</v>
      </c>
      <c r="D1082" s="2" t="s">
        <v>21</v>
      </c>
      <c r="E1082" s="3" t="n">
        <v>46023</v>
      </c>
      <c r="F1082" s="2" t="n">
        <v>6</v>
      </c>
      <c r="G1082" s="4" t="n">
        <v>44.99</v>
      </c>
      <c r="H1082" s="4" t="n">
        <v>20.31</v>
      </c>
      <c r="I1082" s="4" t="n">
        <f aca="false">F1082*G1082</f>
        <v>269.94</v>
      </c>
      <c r="J1082" s="4" t="n">
        <f aca="false">F1082*H1082</f>
        <v>121.86</v>
      </c>
      <c r="K1082" s="4" t="n">
        <f aca="false">I1082-J1082</f>
        <v>148.08</v>
      </c>
      <c r="L1082" s="5" t="n">
        <f aca="false">IFERROR(K1082/I1082,0)</f>
        <v>0.548566348077351</v>
      </c>
    </row>
    <row r="1083" customFormat="false" ht="15" hidden="false" customHeight="false" outlineLevel="0" collapsed="false">
      <c r="A1083" s="2" t="s">
        <v>47</v>
      </c>
      <c r="B1083" s="2" t="s">
        <v>48</v>
      </c>
      <c r="C1083" s="2" t="s">
        <v>20</v>
      </c>
      <c r="D1083" s="2" t="s">
        <v>22</v>
      </c>
      <c r="E1083" s="3" t="n">
        <v>46023</v>
      </c>
      <c r="F1083" s="2" t="n">
        <v>14</v>
      </c>
      <c r="G1083" s="4" t="n">
        <v>14.99</v>
      </c>
      <c r="H1083" s="4" t="n">
        <v>5.55</v>
      </c>
      <c r="I1083" s="4" t="n">
        <f aca="false">F1083*G1083</f>
        <v>209.86</v>
      </c>
      <c r="J1083" s="4" t="n">
        <f aca="false">F1083*H1083</f>
        <v>77.7</v>
      </c>
      <c r="K1083" s="4" t="n">
        <f aca="false">I1083-J1083</f>
        <v>132.16</v>
      </c>
      <c r="L1083" s="5" t="n">
        <f aca="false">IFERROR(K1083/I1083,0)</f>
        <v>0.629753168779186</v>
      </c>
    </row>
    <row r="1084" customFormat="false" ht="15" hidden="false" customHeight="false" outlineLevel="0" collapsed="false">
      <c r="A1084" s="2" t="s">
        <v>47</v>
      </c>
      <c r="B1084" s="2" t="s">
        <v>48</v>
      </c>
      <c r="C1084" s="2" t="s">
        <v>20</v>
      </c>
      <c r="D1084" s="2" t="s">
        <v>23</v>
      </c>
      <c r="E1084" s="3" t="n">
        <v>46023</v>
      </c>
      <c r="F1084" s="2" t="n">
        <v>11</v>
      </c>
      <c r="G1084" s="4" t="n">
        <v>39.99</v>
      </c>
      <c r="H1084" s="4" t="n">
        <v>16.34</v>
      </c>
      <c r="I1084" s="4" t="n">
        <f aca="false">F1084*G1084</f>
        <v>439.89</v>
      </c>
      <c r="J1084" s="4" t="n">
        <f aca="false">F1084*H1084</f>
        <v>179.74</v>
      </c>
      <c r="K1084" s="4" t="n">
        <f aca="false">I1084-J1084</f>
        <v>260.15</v>
      </c>
      <c r="L1084" s="5" t="n">
        <f aca="false">IFERROR(K1084/I1084,0)</f>
        <v>0.591397849462366</v>
      </c>
    </row>
    <row r="1085" customFormat="false" ht="15" hidden="false" customHeight="false" outlineLevel="0" collapsed="false">
      <c r="A1085" s="2" t="s">
        <v>47</v>
      </c>
      <c r="B1085" s="2" t="s">
        <v>48</v>
      </c>
      <c r="C1085" s="2" t="s">
        <v>20</v>
      </c>
      <c r="D1085" s="2" t="s">
        <v>24</v>
      </c>
      <c r="E1085" s="3" t="n">
        <v>46023</v>
      </c>
      <c r="F1085" s="2" t="n">
        <v>13</v>
      </c>
      <c r="G1085" s="4" t="n">
        <v>18.99</v>
      </c>
      <c r="H1085" s="4" t="n">
        <v>7.64</v>
      </c>
      <c r="I1085" s="4" t="n">
        <f aca="false">F1085*G1085</f>
        <v>246.87</v>
      </c>
      <c r="J1085" s="4" t="n">
        <f aca="false">F1085*H1085</f>
        <v>99.32</v>
      </c>
      <c r="K1085" s="4" t="n">
        <f aca="false">I1085-J1085</f>
        <v>147.55</v>
      </c>
      <c r="L1085" s="5" t="n">
        <f aca="false">IFERROR(K1085/I1085,0)</f>
        <v>0.59768299104792</v>
      </c>
    </row>
    <row r="1086" customFormat="false" ht="15" hidden="false" customHeight="false" outlineLevel="0" collapsed="false">
      <c r="A1086" s="2" t="s">
        <v>47</v>
      </c>
      <c r="B1086" s="2" t="s">
        <v>48</v>
      </c>
      <c r="C1086" s="2" t="s">
        <v>20</v>
      </c>
      <c r="D1086" s="2" t="s">
        <v>25</v>
      </c>
      <c r="E1086" s="3" t="n">
        <v>46023</v>
      </c>
      <c r="F1086" s="2" t="n">
        <v>15</v>
      </c>
      <c r="G1086" s="4" t="n">
        <v>42.99</v>
      </c>
      <c r="H1086" s="4" t="n">
        <v>16.34</v>
      </c>
      <c r="I1086" s="4" t="n">
        <f aca="false">F1086*G1086</f>
        <v>644.85</v>
      </c>
      <c r="J1086" s="4" t="n">
        <f aca="false">F1086*H1086</f>
        <v>245.1</v>
      </c>
      <c r="K1086" s="4" t="n">
        <f aca="false">I1086-J1086</f>
        <v>399.75</v>
      </c>
      <c r="L1086" s="5" t="n">
        <f aca="false">IFERROR(K1086/I1086,0)</f>
        <v>0.619911607350547</v>
      </c>
    </row>
    <row r="1087" customFormat="false" ht="15" hidden="false" customHeight="false" outlineLevel="0" collapsed="false">
      <c r="A1087" s="2" t="s">
        <v>47</v>
      </c>
      <c r="B1087" s="2" t="s">
        <v>48</v>
      </c>
      <c r="C1087" s="2" t="s">
        <v>26</v>
      </c>
      <c r="D1087" s="2" t="s">
        <v>27</v>
      </c>
      <c r="E1087" s="3" t="n">
        <v>46023</v>
      </c>
      <c r="F1087" s="2" t="n">
        <v>15</v>
      </c>
      <c r="G1087" s="4" t="n">
        <v>44.99</v>
      </c>
      <c r="H1087" s="4" t="n">
        <v>28.13</v>
      </c>
      <c r="I1087" s="4" t="n">
        <f aca="false">F1087*G1087</f>
        <v>674.85</v>
      </c>
      <c r="J1087" s="4" t="n">
        <f aca="false">F1087*H1087</f>
        <v>421.95</v>
      </c>
      <c r="K1087" s="4" t="n">
        <f aca="false">I1087-J1087</f>
        <v>252.9</v>
      </c>
      <c r="L1087" s="5" t="n">
        <f aca="false">IFERROR(K1087/I1087,0)</f>
        <v>0.374749944432096</v>
      </c>
    </row>
    <row r="1088" customFormat="false" ht="15" hidden="false" customHeight="false" outlineLevel="0" collapsed="false">
      <c r="A1088" s="2" t="s">
        <v>47</v>
      </c>
      <c r="B1088" s="2" t="s">
        <v>48</v>
      </c>
      <c r="C1088" s="2" t="s">
        <v>26</v>
      </c>
      <c r="D1088" s="2" t="s">
        <v>28</v>
      </c>
      <c r="E1088" s="3" t="n">
        <v>46023</v>
      </c>
      <c r="F1088" s="2" t="n">
        <v>13</v>
      </c>
      <c r="G1088" s="4" t="n">
        <v>34.99</v>
      </c>
      <c r="H1088" s="4" t="n">
        <v>22.69</v>
      </c>
      <c r="I1088" s="4" t="n">
        <f aca="false">F1088*G1088</f>
        <v>454.87</v>
      </c>
      <c r="J1088" s="4" t="n">
        <f aca="false">F1088*H1088</f>
        <v>294.97</v>
      </c>
      <c r="K1088" s="4" t="n">
        <f aca="false">I1088-J1088</f>
        <v>159.9</v>
      </c>
      <c r="L1088" s="5" t="n">
        <f aca="false">IFERROR(K1088/I1088,0)</f>
        <v>0.351529008288082</v>
      </c>
    </row>
    <row r="1089" customFormat="false" ht="15" hidden="false" customHeight="false" outlineLevel="0" collapsed="false">
      <c r="A1089" s="2" t="s">
        <v>47</v>
      </c>
      <c r="B1089" s="2" t="s">
        <v>48</v>
      </c>
      <c r="C1089" s="2" t="s">
        <v>26</v>
      </c>
      <c r="D1089" s="2" t="s">
        <v>29</v>
      </c>
      <c r="E1089" s="3" t="n">
        <v>46023</v>
      </c>
      <c r="F1089" s="2" t="n">
        <v>16</v>
      </c>
      <c r="G1089" s="4" t="n">
        <v>119.99</v>
      </c>
      <c r="H1089" s="4" t="n">
        <v>82.85</v>
      </c>
      <c r="I1089" s="4" t="n">
        <f aca="false">F1089*G1089</f>
        <v>1919.84</v>
      </c>
      <c r="J1089" s="4" t="n">
        <f aca="false">F1089*H1089</f>
        <v>1325.6</v>
      </c>
      <c r="K1089" s="4" t="n">
        <f aca="false">I1089-J1089</f>
        <v>594.24</v>
      </c>
      <c r="L1089" s="5" t="n">
        <f aca="false">IFERROR(K1089/I1089,0)</f>
        <v>0.309525793816151</v>
      </c>
    </row>
    <row r="1090" customFormat="false" ht="15" hidden="false" customHeight="false" outlineLevel="0" collapsed="false">
      <c r="A1090" s="2" t="s">
        <v>47</v>
      </c>
      <c r="B1090" s="2" t="s">
        <v>48</v>
      </c>
      <c r="C1090" s="2" t="s">
        <v>26</v>
      </c>
      <c r="D1090" s="2" t="s">
        <v>30</v>
      </c>
      <c r="E1090" s="3" t="n">
        <v>46023</v>
      </c>
      <c r="F1090" s="2" t="n">
        <v>8</v>
      </c>
      <c r="G1090" s="4" t="n">
        <v>24.99</v>
      </c>
      <c r="H1090" s="4" t="n">
        <v>14.62</v>
      </c>
      <c r="I1090" s="4" t="n">
        <f aca="false">F1090*G1090</f>
        <v>199.92</v>
      </c>
      <c r="J1090" s="4" t="n">
        <f aca="false">F1090*H1090</f>
        <v>116.96</v>
      </c>
      <c r="K1090" s="4" t="n">
        <f aca="false">I1090-J1090</f>
        <v>82.96</v>
      </c>
      <c r="L1090" s="5" t="n">
        <f aca="false">IFERROR(K1090/I1090,0)</f>
        <v>0.414965986394558</v>
      </c>
    </row>
    <row r="1091" customFormat="false" ht="15" hidden="false" customHeight="false" outlineLevel="0" collapsed="false">
      <c r="A1091" s="2" t="s">
        <v>47</v>
      </c>
      <c r="B1091" s="2" t="s">
        <v>48</v>
      </c>
      <c r="C1091" s="2" t="s">
        <v>26</v>
      </c>
      <c r="D1091" s="2" t="s">
        <v>31</v>
      </c>
      <c r="E1091" s="3" t="n">
        <v>46023</v>
      </c>
      <c r="F1091" s="2" t="n">
        <v>9</v>
      </c>
      <c r="G1091" s="4" t="n">
        <v>59.99</v>
      </c>
      <c r="H1091" s="4" t="n">
        <v>40.1</v>
      </c>
      <c r="I1091" s="4" t="n">
        <f aca="false">F1091*G1091</f>
        <v>539.91</v>
      </c>
      <c r="J1091" s="4" t="n">
        <f aca="false">F1091*H1091</f>
        <v>360.9</v>
      </c>
      <c r="K1091" s="4" t="n">
        <f aca="false">I1091-J1091</f>
        <v>179.01</v>
      </c>
      <c r="L1091" s="5" t="n">
        <f aca="false">IFERROR(K1091/I1091,0)</f>
        <v>0.331555259209868</v>
      </c>
    </row>
    <row r="1092" customFormat="false" ht="15" hidden="false" customHeight="false" outlineLevel="0" collapsed="false">
      <c r="A1092" s="2" t="s">
        <v>47</v>
      </c>
      <c r="B1092" s="2" t="s">
        <v>48</v>
      </c>
      <c r="C1092" s="2" t="s">
        <v>32</v>
      </c>
      <c r="D1092" s="2" t="s">
        <v>33</v>
      </c>
      <c r="E1092" s="3" t="n">
        <v>46023</v>
      </c>
      <c r="F1092" s="2" t="n">
        <v>6</v>
      </c>
      <c r="G1092" s="4" t="n">
        <v>49.99</v>
      </c>
      <c r="H1092" s="4" t="n">
        <v>36.48</v>
      </c>
      <c r="I1092" s="4" t="n">
        <f aca="false">F1092*G1092</f>
        <v>299.94</v>
      </c>
      <c r="J1092" s="4" t="n">
        <f aca="false">F1092*H1092</f>
        <v>218.88</v>
      </c>
      <c r="K1092" s="4" t="n">
        <f aca="false">I1092-J1092</f>
        <v>81.06</v>
      </c>
      <c r="L1092" s="5" t="n">
        <f aca="false">IFERROR(K1092/I1092,0)</f>
        <v>0.270254050810162</v>
      </c>
    </row>
    <row r="1093" customFormat="false" ht="15" hidden="false" customHeight="false" outlineLevel="0" collapsed="false">
      <c r="A1093" s="2" t="s">
        <v>47</v>
      </c>
      <c r="B1093" s="2" t="s">
        <v>48</v>
      </c>
      <c r="C1093" s="2" t="s">
        <v>32</v>
      </c>
      <c r="D1093" s="2" t="s">
        <v>34</v>
      </c>
      <c r="E1093" s="3" t="n">
        <v>46023</v>
      </c>
      <c r="F1093" s="2" t="n">
        <v>13</v>
      </c>
      <c r="G1093" s="4" t="n">
        <v>27.99</v>
      </c>
      <c r="H1093" s="4" t="n">
        <v>19.63</v>
      </c>
      <c r="I1093" s="4" t="n">
        <f aca="false">F1093*G1093</f>
        <v>363.87</v>
      </c>
      <c r="J1093" s="4" t="n">
        <f aca="false">F1093*H1093</f>
        <v>255.19</v>
      </c>
      <c r="K1093" s="4" t="n">
        <f aca="false">I1093-J1093</f>
        <v>108.68</v>
      </c>
      <c r="L1093" s="5" t="n">
        <f aca="false">IFERROR(K1093/I1093,0)</f>
        <v>0.298678099321186</v>
      </c>
    </row>
    <row r="1094" customFormat="false" ht="15" hidden="false" customHeight="false" outlineLevel="0" collapsed="false">
      <c r="A1094" s="2" t="s">
        <v>47</v>
      </c>
      <c r="B1094" s="2" t="s">
        <v>48</v>
      </c>
      <c r="C1094" s="2" t="s">
        <v>32</v>
      </c>
      <c r="D1094" s="2" t="s">
        <v>35</v>
      </c>
      <c r="E1094" s="3" t="n">
        <v>46023</v>
      </c>
      <c r="F1094" s="2" t="n">
        <v>16</v>
      </c>
      <c r="G1094" s="4" t="n">
        <v>64.99</v>
      </c>
      <c r="H1094" s="4" t="n">
        <v>45.21</v>
      </c>
      <c r="I1094" s="4" t="n">
        <f aca="false">F1094*G1094</f>
        <v>1039.84</v>
      </c>
      <c r="J1094" s="4" t="n">
        <f aca="false">F1094*H1094</f>
        <v>723.36</v>
      </c>
      <c r="K1094" s="4" t="n">
        <f aca="false">I1094-J1094</f>
        <v>316.48</v>
      </c>
      <c r="L1094" s="5" t="n">
        <f aca="false">IFERROR(K1094/I1094,0)</f>
        <v>0.304354516079397</v>
      </c>
    </row>
    <row r="1095" customFormat="false" ht="15" hidden="false" customHeight="false" outlineLevel="0" collapsed="false">
      <c r="A1095" s="2" t="s">
        <v>47</v>
      </c>
      <c r="B1095" s="2" t="s">
        <v>48</v>
      </c>
      <c r="C1095" s="2" t="s">
        <v>32</v>
      </c>
      <c r="D1095" s="2" t="s">
        <v>36</v>
      </c>
      <c r="E1095" s="3" t="n">
        <v>46023</v>
      </c>
      <c r="F1095" s="2" t="n">
        <v>15</v>
      </c>
      <c r="G1095" s="4" t="n">
        <v>22.99</v>
      </c>
      <c r="H1095" s="4" t="n">
        <v>16.98</v>
      </c>
      <c r="I1095" s="4" t="n">
        <f aca="false">F1095*G1095</f>
        <v>344.85</v>
      </c>
      <c r="J1095" s="4" t="n">
        <f aca="false">F1095*H1095</f>
        <v>254.7</v>
      </c>
      <c r="K1095" s="4" t="n">
        <f aca="false">I1095-J1095</f>
        <v>90.15</v>
      </c>
      <c r="L1095" s="5" t="n">
        <f aca="false">IFERROR(K1095/I1095,0)</f>
        <v>0.261418007829491</v>
      </c>
    </row>
    <row r="1096" customFormat="false" ht="15" hidden="false" customHeight="false" outlineLevel="0" collapsed="false">
      <c r="A1096" s="2" t="s">
        <v>47</v>
      </c>
      <c r="B1096" s="2" t="s">
        <v>48</v>
      </c>
      <c r="C1096" s="2" t="s">
        <v>32</v>
      </c>
      <c r="D1096" s="2" t="s">
        <v>37</v>
      </c>
      <c r="E1096" s="3" t="n">
        <v>46023</v>
      </c>
      <c r="F1096" s="2" t="n">
        <v>14</v>
      </c>
      <c r="G1096" s="4" t="n">
        <v>29.99</v>
      </c>
      <c r="H1096" s="4" t="n">
        <v>20.79</v>
      </c>
      <c r="I1096" s="4" t="n">
        <f aca="false">F1096*G1096</f>
        <v>419.86</v>
      </c>
      <c r="J1096" s="4" t="n">
        <f aca="false">F1096*H1096</f>
        <v>291.06</v>
      </c>
      <c r="K1096" s="4" t="n">
        <f aca="false">I1096-J1096</f>
        <v>128.8</v>
      </c>
      <c r="L1096" s="5" t="n">
        <f aca="false">IFERROR(K1096/I1096,0)</f>
        <v>0.306768922974325</v>
      </c>
    </row>
    <row r="1097" customFormat="false" ht="15" hidden="false" customHeight="false" outlineLevel="0" collapsed="false">
      <c r="A1097" s="2" t="s">
        <v>47</v>
      </c>
      <c r="B1097" s="2" t="s">
        <v>48</v>
      </c>
      <c r="C1097" s="2" t="s">
        <v>38</v>
      </c>
      <c r="D1097" s="2" t="s">
        <v>39</v>
      </c>
      <c r="E1097" s="3" t="n">
        <v>46023</v>
      </c>
      <c r="F1097" s="2" t="n">
        <v>15</v>
      </c>
      <c r="G1097" s="4" t="n">
        <v>129.99</v>
      </c>
      <c r="H1097" s="4" t="n">
        <v>76.65</v>
      </c>
      <c r="I1097" s="4" t="n">
        <f aca="false">F1097*G1097</f>
        <v>1949.85</v>
      </c>
      <c r="J1097" s="4" t="n">
        <f aca="false">F1097*H1097</f>
        <v>1149.75</v>
      </c>
      <c r="K1097" s="4" t="n">
        <f aca="false">I1097-J1097</f>
        <v>800.1</v>
      </c>
      <c r="L1097" s="5" t="n">
        <f aca="false">IFERROR(K1097/I1097,0)</f>
        <v>0.410339256865913</v>
      </c>
    </row>
    <row r="1098" customFormat="false" ht="15" hidden="false" customHeight="false" outlineLevel="0" collapsed="false">
      <c r="A1098" s="2" t="s">
        <v>47</v>
      </c>
      <c r="B1098" s="2" t="s">
        <v>48</v>
      </c>
      <c r="C1098" s="2" t="s">
        <v>38</v>
      </c>
      <c r="D1098" s="2" t="s">
        <v>40</v>
      </c>
      <c r="E1098" s="3" t="n">
        <v>46023</v>
      </c>
      <c r="F1098" s="2" t="n">
        <v>17</v>
      </c>
      <c r="G1098" s="4" t="n">
        <v>74.99</v>
      </c>
      <c r="H1098" s="4" t="n">
        <v>40.86</v>
      </c>
      <c r="I1098" s="4" t="n">
        <f aca="false">F1098*G1098</f>
        <v>1274.83</v>
      </c>
      <c r="J1098" s="4" t="n">
        <f aca="false">F1098*H1098</f>
        <v>694.62</v>
      </c>
      <c r="K1098" s="4" t="n">
        <f aca="false">I1098-J1098</f>
        <v>580.21</v>
      </c>
      <c r="L1098" s="5" t="n">
        <f aca="false">IFERROR(K1098/I1098,0)</f>
        <v>0.455127350313375</v>
      </c>
    </row>
    <row r="1099" customFormat="false" ht="15" hidden="false" customHeight="false" outlineLevel="0" collapsed="false">
      <c r="A1099" s="2" t="s">
        <v>47</v>
      </c>
      <c r="B1099" s="2" t="s">
        <v>48</v>
      </c>
      <c r="C1099" s="2" t="s">
        <v>38</v>
      </c>
      <c r="D1099" s="2" t="s">
        <v>41</v>
      </c>
      <c r="E1099" s="3" t="n">
        <v>46023</v>
      </c>
      <c r="F1099" s="2" t="n">
        <v>11</v>
      </c>
      <c r="G1099" s="4" t="n">
        <v>19.99</v>
      </c>
      <c r="H1099" s="4" t="n">
        <v>9.5</v>
      </c>
      <c r="I1099" s="4" t="n">
        <f aca="false">F1099*G1099</f>
        <v>219.89</v>
      </c>
      <c r="J1099" s="4" t="n">
        <f aca="false">F1099*H1099</f>
        <v>104.5</v>
      </c>
      <c r="K1099" s="4" t="n">
        <f aca="false">I1099-J1099</f>
        <v>115.39</v>
      </c>
      <c r="L1099" s="5" t="n">
        <f aca="false">IFERROR(K1099/I1099,0)</f>
        <v>0.524762381190595</v>
      </c>
    </row>
    <row r="1100" customFormat="false" ht="15" hidden="false" customHeight="false" outlineLevel="0" collapsed="false">
      <c r="A1100" s="2" t="s">
        <v>47</v>
      </c>
      <c r="B1100" s="2" t="s">
        <v>48</v>
      </c>
      <c r="C1100" s="2" t="s">
        <v>38</v>
      </c>
      <c r="D1100" s="2" t="s">
        <v>42</v>
      </c>
      <c r="E1100" s="3" t="n">
        <v>46023</v>
      </c>
      <c r="F1100" s="2" t="n">
        <v>8</v>
      </c>
      <c r="G1100" s="4" t="n">
        <v>16.99</v>
      </c>
      <c r="H1100" s="4" t="n">
        <v>8.49</v>
      </c>
      <c r="I1100" s="4" t="n">
        <f aca="false">F1100*G1100</f>
        <v>135.92</v>
      </c>
      <c r="J1100" s="4" t="n">
        <f aca="false">F1100*H1100</f>
        <v>67.92</v>
      </c>
      <c r="K1100" s="4" t="n">
        <f aca="false">I1100-J1100</f>
        <v>68</v>
      </c>
      <c r="L1100" s="5" t="n">
        <f aca="false">IFERROR(K1100/I1100,0)</f>
        <v>0.50029429075927</v>
      </c>
    </row>
    <row r="1101" customFormat="false" ht="15" hidden="false" customHeight="false" outlineLevel="0" collapsed="false">
      <c r="A1101" s="2" t="s">
        <v>47</v>
      </c>
      <c r="B1101" s="2" t="s">
        <v>48</v>
      </c>
      <c r="C1101" s="2" t="s">
        <v>38</v>
      </c>
      <c r="D1101" s="2" t="s">
        <v>43</v>
      </c>
      <c r="E1101" s="3" t="n">
        <v>46023</v>
      </c>
      <c r="F1101" s="2" t="n">
        <v>17</v>
      </c>
      <c r="G1101" s="4" t="n">
        <v>24.99</v>
      </c>
      <c r="H1101" s="4" t="n">
        <v>13.01</v>
      </c>
      <c r="I1101" s="4" t="n">
        <f aca="false">F1101*G1101</f>
        <v>424.83</v>
      </c>
      <c r="J1101" s="4" t="n">
        <f aca="false">F1101*H1101</f>
        <v>221.17</v>
      </c>
      <c r="K1101" s="4" t="n">
        <f aca="false">I1101-J1101</f>
        <v>203.66</v>
      </c>
      <c r="L1101" s="5" t="n">
        <f aca="false">IFERROR(K1101/I1101,0)</f>
        <v>0.479391756702681</v>
      </c>
    </row>
    <row r="1102" customFormat="false" ht="15" hidden="false" customHeight="false" outlineLevel="0" collapsed="false">
      <c r="A1102" s="2" t="s">
        <v>47</v>
      </c>
      <c r="B1102" s="2" t="s">
        <v>49</v>
      </c>
      <c r="C1102" s="2" t="s">
        <v>14</v>
      </c>
      <c r="D1102" s="2" t="s">
        <v>15</v>
      </c>
      <c r="E1102" s="3" t="n">
        <v>46023</v>
      </c>
      <c r="F1102" s="2" t="n">
        <v>12</v>
      </c>
      <c r="G1102" s="4" t="n">
        <v>69.99</v>
      </c>
      <c r="H1102" s="4" t="n">
        <v>32.67</v>
      </c>
      <c r="I1102" s="4" t="n">
        <f aca="false">F1102*G1102</f>
        <v>839.88</v>
      </c>
      <c r="J1102" s="4" t="n">
        <f aca="false">F1102*H1102</f>
        <v>392.04</v>
      </c>
      <c r="K1102" s="4" t="n">
        <f aca="false">I1102-J1102</f>
        <v>447.84</v>
      </c>
      <c r="L1102" s="5" t="n">
        <f aca="false">IFERROR(K1102/I1102,0)</f>
        <v>0.533219031290184</v>
      </c>
    </row>
    <row r="1103" customFormat="false" ht="15" hidden="false" customHeight="false" outlineLevel="0" collapsed="false">
      <c r="A1103" s="2" t="s">
        <v>47</v>
      </c>
      <c r="B1103" s="2" t="s">
        <v>49</v>
      </c>
      <c r="C1103" s="2" t="s">
        <v>14</v>
      </c>
      <c r="D1103" s="2" t="s">
        <v>16</v>
      </c>
      <c r="E1103" s="3" t="n">
        <v>46023</v>
      </c>
      <c r="F1103" s="2" t="n">
        <v>19</v>
      </c>
      <c r="G1103" s="4" t="n">
        <v>19.99</v>
      </c>
      <c r="H1103" s="4" t="n">
        <v>8.77</v>
      </c>
      <c r="I1103" s="4" t="n">
        <f aca="false">F1103*G1103</f>
        <v>379.81</v>
      </c>
      <c r="J1103" s="4" t="n">
        <f aca="false">F1103*H1103</f>
        <v>166.63</v>
      </c>
      <c r="K1103" s="4" t="n">
        <f aca="false">I1103-J1103</f>
        <v>213.18</v>
      </c>
      <c r="L1103" s="5" t="n">
        <f aca="false">IFERROR(K1103/I1103,0)</f>
        <v>0.56128064032016</v>
      </c>
    </row>
    <row r="1104" customFormat="false" ht="15" hidden="false" customHeight="false" outlineLevel="0" collapsed="false">
      <c r="A1104" s="2" t="s">
        <v>47</v>
      </c>
      <c r="B1104" s="2" t="s">
        <v>49</v>
      </c>
      <c r="C1104" s="2" t="s">
        <v>14</v>
      </c>
      <c r="D1104" s="2" t="s">
        <v>17</v>
      </c>
      <c r="E1104" s="3" t="n">
        <v>46023</v>
      </c>
      <c r="F1104" s="2" t="n">
        <v>12</v>
      </c>
      <c r="G1104" s="4" t="n">
        <v>79.99</v>
      </c>
      <c r="H1104" s="4" t="n">
        <v>39.98</v>
      </c>
      <c r="I1104" s="4" t="n">
        <f aca="false">F1104*G1104</f>
        <v>959.88</v>
      </c>
      <c r="J1104" s="4" t="n">
        <f aca="false">F1104*H1104</f>
        <v>479.76</v>
      </c>
      <c r="K1104" s="4" t="n">
        <f aca="false">I1104-J1104</f>
        <v>480.12</v>
      </c>
      <c r="L1104" s="5" t="n">
        <f aca="false">IFERROR(K1104/I1104,0)</f>
        <v>0.50018752344043</v>
      </c>
    </row>
    <row r="1105" customFormat="false" ht="15" hidden="false" customHeight="false" outlineLevel="0" collapsed="false">
      <c r="A1105" s="2" t="s">
        <v>47</v>
      </c>
      <c r="B1105" s="2" t="s">
        <v>49</v>
      </c>
      <c r="C1105" s="2" t="s">
        <v>14</v>
      </c>
      <c r="D1105" s="2" t="s">
        <v>18</v>
      </c>
      <c r="E1105" s="3" t="n">
        <v>46023</v>
      </c>
      <c r="F1105" s="2" t="n">
        <v>11</v>
      </c>
      <c r="G1105" s="4" t="n">
        <v>34.99</v>
      </c>
      <c r="H1105" s="4" t="n">
        <v>14.49</v>
      </c>
      <c r="I1105" s="4" t="n">
        <f aca="false">F1105*G1105</f>
        <v>384.89</v>
      </c>
      <c r="J1105" s="4" t="n">
        <f aca="false">F1105*H1105</f>
        <v>159.39</v>
      </c>
      <c r="K1105" s="4" t="n">
        <f aca="false">I1105-J1105</f>
        <v>225.5</v>
      </c>
      <c r="L1105" s="5" t="n">
        <f aca="false">IFERROR(K1105/I1105,0)</f>
        <v>0.585881680480137</v>
      </c>
    </row>
    <row r="1106" customFormat="false" ht="15" hidden="false" customHeight="false" outlineLevel="0" collapsed="false">
      <c r="A1106" s="2" t="s">
        <v>47</v>
      </c>
      <c r="B1106" s="2" t="s">
        <v>49</v>
      </c>
      <c r="C1106" s="2" t="s">
        <v>14</v>
      </c>
      <c r="D1106" s="2" t="s">
        <v>19</v>
      </c>
      <c r="E1106" s="3" t="n">
        <v>46023</v>
      </c>
      <c r="F1106" s="2" t="n">
        <v>17</v>
      </c>
      <c r="G1106" s="4" t="n">
        <v>54.99</v>
      </c>
      <c r="H1106" s="4" t="n">
        <v>24.57</v>
      </c>
      <c r="I1106" s="4" t="n">
        <f aca="false">F1106*G1106</f>
        <v>934.83</v>
      </c>
      <c r="J1106" s="4" t="n">
        <f aca="false">F1106*H1106</f>
        <v>417.69</v>
      </c>
      <c r="K1106" s="4" t="n">
        <f aca="false">I1106-J1106</f>
        <v>517.14</v>
      </c>
      <c r="L1106" s="5" t="n">
        <f aca="false">IFERROR(K1106/I1106,0)</f>
        <v>0.553191489361702</v>
      </c>
    </row>
    <row r="1107" customFormat="false" ht="15" hidden="false" customHeight="false" outlineLevel="0" collapsed="false">
      <c r="A1107" s="2" t="s">
        <v>47</v>
      </c>
      <c r="B1107" s="2" t="s">
        <v>49</v>
      </c>
      <c r="C1107" s="2" t="s">
        <v>20</v>
      </c>
      <c r="D1107" s="2" t="s">
        <v>21</v>
      </c>
      <c r="E1107" s="3" t="n">
        <v>46023</v>
      </c>
      <c r="F1107" s="2" t="n">
        <v>8</v>
      </c>
      <c r="G1107" s="4" t="n">
        <v>44.99</v>
      </c>
      <c r="H1107" s="4" t="n">
        <v>19.76</v>
      </c>
      <c r="I1107" s="4" t="n">
        <f aca="false">F1107*G1107</f>
        <v>359.92</v>
      </c>
      <c r="J1107" s="4" t="n">
        <f aca="false">F1107*H1107</f>
        <v>158.08</v>
      </c>
      <c r="K1107" s="4" t="n">
        <f aca="false">I1107-J1107</f>
        <v>201.84</v>
      </c>
      <c r="L1107" s="5" t="n">
        <f aca="false">IFERROR(K1107/I1107,0)</f>
        <v>0.560791286952656</v>
      </c>
    </row>
    <row r="1108" customFormat="false" ht="15" hidden="false" customHeight="false" outlineLevel="0" collapsed="false">
      <c r="A1108" s="2" t="s">
        <v>47</v>
      </c>
      <c r="B1108" s="2" t="s">
        <v>49</v>
      </c>
      <c r="C1108" s="2" t="s">
        <v>20</v>
      </c>
      <c r="D1108" s="2" t="s">
        <v>22</v>
      </c>
      <c r="E1108" s="3" t="n">
        <v>46023</v>
      </c>
      <c r="F1108" s="2" t="n">
        <v>15</v>
      </c>
      <c r="G1108" s="4" t="n">
        <v>14.99</v>
      </c>
      <c r="H1108" s="4" t="n">
        <v>5.53</v>
      </c>
      <c r="I1108" s="4" t="n">
        <f aca="false">F1108*G1108</f>
        <v>224.85</v>
      </c>
      <c r="J1108" s="4" t="n">
        <f aca="false">F1108*H1108</f>
        <v>82.95</v>
      </c>
      <c r="K1108" s="4" t="n">
        <f aca="false">I1108-J1108</f>
        <v>141.9</v>
      </c>
      <c r="L1108" s="5" t="n">
        <f aca="false">IFERROR(K1108/I1108,0)</f>
        <v>0.631087391594396</v>
      </c>
    </row>
    <row r="1109" customFormat="false" ht="15" hidden="false" customHeight="false" outlineLevel="0" collapsed="false">
      <c r="A1109" s="2" t="s">
        <v>47</v>
      </c>
      <c r="B1109" s="2" t="s">
        <v>49</v>
      </c>
      <c r="C1109" s="2" t="s">
        <v>20</v>
      </c>
      <c r="D1109" s="2" t="s">
        <v>23</v>
      </c>
      <c r="E1109" s="3" t="n">
        <v>46023</v>
      </c>
      <c r="F1109" s="2" t="n">
        <v>19</v>
      </c>
      <c r="G1109" s="4" t="n">
        <v>39.99</v>
      </c>
      <c r="H1109" s="4" t="n">
        <v>17.25</v>
      </c>
      <c r="I1109" s="4" t="n">
        <f aca="false">F1109*G1109</f>
        <v>759.81</v>
      </c>
      <c r="J1109" s="4" t="n">
        <f aca="false">F1109*H1109</f>
        <v>327.75</v>
      </c>
      <c r="K1109" s="4" t="n">
        <f aca="false">I1109-J1109</f>
        <v>432.06</v>
      </c>
      <c r="L1109" s="5" t="n">
        <f aca="false">IFERROR(K1109/I1109,0)</f>
        <v>0.568642160540135</v>
      </c>
    </row>
    <row r="1110" customFormat="false" ht="15" hidden="false" customHeight="false" outlineLevel="0" collapsed="false">
      <c r="A1110" s="2" t="s">
        <v>47</v>
      </c>
      <c r="B1110" s="2" t="s">
        <v>49</v>
      </c>
      <c r="C1110" s="2" t="s">
        <v>20</v>
      </c>
      <c r="D1110" s="2" t="s">
        <v>24</v>
      </c>
      <c r="E1110" s="3" t="n">
        <v>46023</v>
      </c>
      <c r="F1110" s="2" t="n">
        <v>23</v>
      </c>
      <c r="G1110" s="4" t="n">
        <v>18.99</v>
      </c>
      <c r="H1110" s="4" t="n">
        <v>7.5</v>
      </c>
      <c r="I1110" s="4" t="n">
        <f aca="false">F1110*G1110</f>
        <v>436.77</v>
      </c>
      <c r="J1110" s="4" t="n">
        <f aca="false">F1110*H1110</f>
        <v>172.5</v>
      </c>
      <c r="K1110" s="4" t="n">
        <f aca="false">I1110-J1110</f>
        <v>264.27</v>
      </c>
      <c r="L1110" s="5" t="n">
        <f aca="false">IFERROR(K1110/I1110,0)</f>
        <v>0.605055292259084</v>
      </c>
    </row>
    <row r="1111" customFormat="false" ht="15" hidden="false" customHeight="false" outlineLevel="0" collapsed="false">
      <c r="A1111" s="2" t="s">
        <v>47</v>
      </c>
      <c r="B1111" s="2" t="s">
        <v>49</v>
      </c>
      <c r="C1111" s="2" t="s">
        <v>20</v>
      </c>
      <c r="D1111" s="2" t="s">
        <v>25</v>
      </c>
      <c r="E1111" s="3" t="n">
        <v>46023</v>
      </c>
      <c r="F1111" s="2" t="n">
        <v>28</v>
      </c>
      <c r="G1111" s="4" t="n">
        <v>42.99</v>
      </c>
      <c r="H1111" s="4" t="n">
        <v>15.67</v>
      </c>
      <c r="I1111" s="4" t="n">
        <f aca="false">F1111*G1111</f>
        <v>1203.72</v>
      </c>
      <c r="J1111" s="4" t="n">
        <f aca="false">F1111*H1111</f>
        <v>438.76</v>
      </c>
      <c r="K1111" s="4" t="n">
        <f aca="false">I1111-J1111</f>
        <v>764.96</v>
      </c>
      <c r="L1111" s="5" t="n">
        <f aca="false">IFERROR(K1111/I1111,0)</f>
        <v>0.635496627122587</v>
      </c>
    </row>
    <row r="1112" customFormat="false" ht="15" hidden="false" customHeight="false" outlineLevel="0" collapsed="false">
      <c r="A1112" s="2" t="s">
        <v>47</v>
      </c>
      <c r="B1112" s="2" t="s">
        <v>49</v>
      </c>
      <c r="C1112" s="2" t="s">
        <v>26</v>
      </c>
      <c r="D1112" s="2" t="s">
        <v>27</v>
      </c>
      <c r="E1112" s="3" t="n">
        <v>46023</v>
      </c>
      <c r="F1112" s="2" t="n">
        <v>10</v>
      </c>
      <c r="G1112" s="4" t="n">
        <v>44.99</v>
      </c>
      <c r="H1112" s="4" t="n">
        <v>28.04</v>
      </c>
      <c r="I1112" s="4" t="n">
        <f aca="false">F1112*G1112</f>
        <v>449.9</v>
      </c>
      <c r="J1112" s="4" t="n">
        <f aca="false">F1112*H1112</f>
        <v>280.4</v>
      </c>
      <c r="K1112" s="4" t="n">
        <f aca="false">I1112-J1112</f>
        <v>169.5</v>
      </c>
      <c r="L1112" s="5" t="n">
        <f aca="false">IFERROR(K1112/I1112,0)</f>
        <v>0.376750388975328</v>
      </c>
    </row>
    <row r="1113" customFormat="false" ht="15" hidden="false" customHeight="false" outlineLevel="0" collapsed="false">
      <c r="A1113" s="2" t="s">
        <v>47</v>
      </c>
      <c r="B1113" s="2" t="s">
        <v>49</v>
      </c>
      <c r="C1113" s="2" t="s">
        <v>26</v>
      </c>
      <c r="D1113" s="2" t="s">
        <v>28</v>
      </c>
      <c r="E1113" s="3" t="n">
        <v>46023</v>
      </c>
      <c r="F1113" s="2" t="n">
        <v>14</v>
      </c>
      <c r="G1113" s="4" t="n">
        <v>34.99</v>
      </c>
      <c r="H1113" s="4" t="n">
        <v>22.52</v>
      </c>
      <c r="I1113" s="4" t="n">
        <f aca="false">F1113*G1113</f>
        <v>489.86</v>
      </c>
      <c r="J1113" s="4" t="n">
        <f aca="false">F1113*H1113</f>
        <v>315.28</v>
      </c>
      <c r="K1113" s="4" t="n">
        <f aca="false">I1113-J1113</f>
        <v>174.58</v>
      </c>
      <c r="L1113" s="5" t="n">
        <f aca="false">IFERROR(K1113/I1113,0)</f>
        <v>0.356387539296942</v>
      </c>
    </row>
    <row r="1114" customFormat="false" ht="15" hidden="false" customHeight="false" outlineLevel="0" collapsed="false">
      <c r="A1114" s="2" t="s">
        <v>47</v>
      </c>
      <c r="B1114" s="2" t="s">
        <v>49</v>
      </c>
      <c r="C1114" s="2" t="s">
        <v>26</v>
      </c>
      <c r="D1114" s="2" t="s">
        <v>29</v>
      </c>
      <c r="E1114" s="3" t="n">
        <v>46023</v>
      </c>
      <c r="F1114" s="2" t="n">
        <v>12</v>
      </c>
      <c r="G1114" s="4" t="n">
        <v>119.99</v>
      </c>
      <c r="H1114" s="4" t="n">
        <v>79.64</v>
      </c>
      <c r="I1114" s="4" t="n">
        <f aca="false">F1114*G1114</f>
        <v>1439.88</v>
      </c>
      <c r="J1114" s="4" t="n">
        <f aca="false">F1114*H1114</f>
        <v>955.68</v>
      </c>
      <c r="K1114" s="4" t="n">
        <f aca="false">I1114-J1114</f>
        <v>484.2</v>
      </c>
      <c r="L1114" s="5" t="n">
        <f aca="false">IFERROR(K1114/I1114,0)</f>
        <v>0.336278023168597</v>
      </c>
    </row>
    <row r="1115" customFormat="false" ht="15" hidden="false" customHeight="false" outlineLevel="0" collapsed="false">
      <c r="A1115" s="2" t="s">
        <v>47</v>
      </c>
      <c r="B1115" s="2" t="s">
        <v>49</v>
      </c>
      <c r="C1115" s="2" t="s">
        <v>26</v>
      </c>
      <c r="D1115" s="2" t="s">
        <v>30</v>
      </c>
      <c r="E1115" s="3" t="n">
        <v>46023</v>
      </c>
      <c r="F1115" s="2" t="n">
        <v>10</v>
      </c>
      <c r="G1115" s="4" t="n">
        <v>24.99</v>
      </c>
      <c r="H1115" s="4" t="n">
        <v>15.24</v>
      </c>
      <c r="I1115" s="4" t="n">
        <f aca="false">F1115*G1115</f>
        <v>249.9</v>
      </c>
      <c r="J1115" s="4" t="n">
        <f aca="false">F1115*H1115</f>
        <v>152.4</v>
      </c>
      <c r="K1115" s="4" t="n">
        <f aca="false">I1115-J1115</f>
        <v>97.5</v>
      </c>
      <c r="L1115" s="5" t="n">
        <f aca="false">IFERROR(K1115/I1115,0)</f>
        <v>0.39015606242497</v>
      </c>
    </row>
    <row r="1116" customFormat="false" ht="15" hidden="false" customHeight="false" outlineLevel="0" collapsed="false">
      <c r="A1116" s="2" t="s">
        <v>47</v>
      </c>
      <c r="B1116" s="2" t="s">
        <v>49</v>
      </c>
      <c r="C1116" s="2" t="s">
        <v>26</v>
      </c>
      <c r="D1116" s="2" t="s">
        <v>31</v>
      </c>
      <c r="E1116" s="3" t="n">
        <v>46023</v>
      </c>
      <c r="F1116" s="2" t="n">
        <v>15</v>
      </c>
      <c r="G1116" s="4" t="n">
        <v>59.99</v>
      </c>
      <c r="H1116" s="4" t="n">
        <v>40.08</v>
      </c>
      <c r="I1116" s="4" t="n">
        <f aca="false">F1116*G1116</f>
        <v>899.85</v>
      </c>
      <c r="J1116" s="4" t="n">
        <f aca="false">F1116*H1116</f>
        <v>601.2</v>
      </c>
      <c r="K1116" s="4" t="n">
        <f aca="false">I1116-J1116</f>
        <v>298.65</v>
      </c>
      <c r="L1116" s="5" t="n">
        <f aca="false">IFERROR(K1116/I1116,0)</f>
        <v>0.331888648108018</v>
      </c>
    </row>
    <row r="1117" customFormat="false" ht="15" hidden="false" customHeight="false" outlineLevel="0" collapsed="false">
      <c r="A1117" s="2" t="s">
        <v>47</v>
      </c>
      <c r="B1117" s="2" t="s">
        <v>49</v>
      </c>
      <c r="C1117" s="2" t="s">
        <v>32</v>
      </c>
      <c r="D1117" s="2" t="s">
        <v>33</v>
      </c>
      <c r="E1117" s="3" t="n">
        <v>46023</v>
      </c>
      <c r="F1117" s="2" t="n">
        <v>11</v>
      </c>
      <c r="G1117" s="4" t="n">
        <v>49.99</v>
      </c>
      <c r="H1117" s="4" t="n">
        <v>36.47</v>
      </c>
      <c r="I1117" s="4" t="n">
        <f aca="false">F1117*G1117</f>
        <v>549.89</v>
      </c>
      <c r="J1117" s="4" t="n">
        <f aca="false">F1117*H1117</f>
        <v>401.17</v>
      </c>
      <c r="K1117" s="4" t="n">
        <f aca="false">I1117-J1117</f>
        <v>148.72</v>
      </c>
      <c r="L1117" s="5" t="n">
        <f aca="false">IFERROR(K1117/I1117,0)</f>
        <v>0.270454090818164</v>
      </c>
    </row>
    <row r="1118" customFormat="false" ht="15" hidden="false" customHeight="false" outlineLevel="0" collapsed="false">
      <c r="A1118" s="2" t="s">
        <v>47</v>
      </c>
      <c r="B1118" s="2" t="s">
        <v>49</v>
      </c>
      <c r="C1118" s="2" t="s">
        <v>32</v>
      </c>
      <c r="D1118" s="2" t="s">
        <v>34</v>
      </c>
      <c r="E1118" s="3" t="n">
        <v>46023</v>
      </c>
      <c r="F1118" s="2" t="n">
        <v>17</v>
      </c>
      <c r="G1118" s="4" t="n">
        <v>27.99</v>
      </c>
      <c r="H1118" s="4" t="n">
        <v>20.28</v>
      </c>
      <c r="I1118" s="4" t="n">
        <f aca="false">F1118*G1118</f>
        <v>475.83</v>
      </c>
      <c r="J1118" s="4" t="n">
        <f aca="false">F1118*H1118</f>
        <v>344.76</v>
      </c>
      <c r="K1118" s="4" t="n">
        <f aca="false">I1118-J1118</f>
        <v>131.07</v>
      </c>
      <c r="L1118" s="5" t="n">
        <f aca="false">IFERROR(K1118/I1118,0)</f>
        <v>0.27545551982851</v>
      </c>
    </row>
    <row r="1119" customFormat="false" ht="15" hidden="false" customHeight="false" outlineLevel="0" collapsed="false">
      <c r="A1119" s="2" t="s">
        <v>47</v>
      </c>
      <c r="B1119" s="2" t="s">
        <v>49</v>
      </c>
      <c r="C1119" s="2" t="s">
        <v>32</v>
      </c>
      <c r="D1119" s="2" t="s">
        <v>35</v>
      </c>
      <c r="E1119" s="3" t="n">
        <v>46023</v>
      </c>
      <c r="F1119" s="2" t="n">
        <v>13</v>
      </c>
      <c r="G1119" s="4" t="n">
        <v>64.99</v>
      </c>
      <c r="H1119" s="4" t="n">
        <v>45.43</v>
      </c>
      <c r="I1119" s="4" t="n">
        <f aca="false">F1119*G1119</f>
        <v>844.87</v>
      </c>
      <c r="J1119" s="4" t="n">
        <f aca="false">F1119*H1119</f>
        <v>590.59</v>
      </c>
      <c r="K1119" s="4" t="n">
        <f aca="false">I1119-J1119</f>
        <v>254.28</v>
      </c>
      <c r="L1119" s="5" t="n">
        <f aca="false">IFERROR(K1119/I1119,0)</f>
        <v>0.300969379904601</v>
      </c>
    </row>
    <row r="1120" customFormat="false" ht="15" hidden="false" customHeight="false" outlineLevel="0" collapsed="false">
      <c r="A1120" s="2" t="s">
        <v>47</v>
      </c>
      <c r="B1120" s="2" t="s">
        <v>49</v>
      </c>
      <c r="C1120" s="2" t="s">
        <v>32</v>
      </c>
      <c r="D1120" s="2" t="s">
        <v>36</v>
      </c>
      <c r="E1120" s="3" t="n">
        <v>46023</v>
      </c>
      <c r="F1120" s="2" t="n">
        <v>10</v>
      </c>
      <c r="G1120" s="4" t="n">
        <v>22.99</v>
      </c>
      <c r="H1120" s="4" t="n">
        <v>17.27</v>
      </c>
      <c r="I1120" s="4" t="n">
        <f aca="false">F1120*G1120</f>
        <v>229.9</v>
      </c>
      <c r="J1120" s="4" t="n">
        <f aca="false">F1120*H1120</f>
        <v>172.7</v>
      </c>
      <c r="K1120" s="4" t="n">
        <f aca="false">I1120-J1120</f>
        <v>57.2</v>
      </c>
      <c r="L1120" s="5" t="n">
        <f aca="false">IFERROR(K1120/I1120,0)</f>
        <v>0.248803827751196</v>
      </c>
    </row>
    <row r="1121" customFormat="false" ht="15" hidden="false" customHeight="false" outlineLevel="0" collapsed="false">
      <c r="A1121" s="2" t="s">
        <v>47</v>
      </c>
      <c r="B1121" s="2" t="s">
        <v>49</v>
      </c>
      <c r="C1121" s="2" t="s">
        <v>32</v>
      </c>
      <c r="D1121" s="2" t="s">
        <v>37</v>
      </c>
      <c r="E1121" s="3" t="n">
        <v>46023</v>
      </c>
      <c r="F1121" s="2" t="n">
        <v>19</v>
      </c>
      <c r="G1121" s="4" t="n">
        <v>29.99</v>
      </c>
      <c r="H1121" s="4" t="n">
        <v>20.36</v>
      </c>
      <c r="I1121" s="4" t="n">
        <f aca="false">F1121*G1121</f>
        <v>569.81</v>
      </c>
      <c r="J1121" s="4" t="n">
        <f aca="false">F1121*H1121</f>
        <v>386.84</v>
      </c>
      <c r="K1121" s="4" t="n">
        <f aca="false">I1121-J1121</f>
        <v>182.97</v>
      </c>
      <c r="L1121" s="5" t="n">
        <f aca="false">IFERROR(K1121/I1121,0)</f>
        <v>0.321107035678559</v>
      </c>
    </row>
    <row r="1122" customFormat="false" ht="15" hidden="false" customHeight="false" outlineLevel="0" collapsed="false">
      <c r="A1122" s="2" t="s">
        <v>47</v>
      </c>
      <c r="B1122" s="2" t="s">
        <v>49</v>
      </c>
      <c r="C1122" s="2" t="s">
        <v>38</v>
      </c>
      <c r="D1122" s="2" t="s">
        <v>39</v>
      </c>
      <c r="E1122" s="3" t="n">
        <v>46023</v>
      </c>
      <c r="F1122" s="2" t="n">
        <v>17</v>
      </c>
      <c r="G1122" s="4" t="n">
        <v>129.99</v>
      </c>
      <c r="H1122" s="4" t="n">
        <v>76.46</v>
      </c>
      <c r="I1122" s="4" t="n">
        <f aca="false">F1122*G1122</f>
        <v>2209.83</v>
      </c>
      <c r="J1122" s="4" t="n">
        <f aca="false">F1122*H1122</f>
        <v>1299.82</v>
      </c>
      <c r="K1122" s="4" t="n">
        <f aca="false">I1122-J1122</f>
        <v>910.01</v>
      </c>
      <c r="L1122" s="5" t="n">
        <f aca="false">IFERROR(K1122/I1122,0)</f>
        <v>0.411800907762136</v>
      </c>
    </row>
    <row r="1123" customFormat="false" ht="15" hidden="false" customHeight="false" outlineLevel="0" collapsed="false">
      <c r="A1123" s="2" t="s">
        <v>47</v>
      </c>
      <c r="B1123" s="2" t="s">
        <v>49</v>
      </c>
      <c r="C1123" s="2" t="s">
        <v>38</v>
      </c>
      <c r="D1123" s="2" t="s">
        <v>40</v>
      </c>
      <c r="E1123" s="3" t="n">
        <v>46023</v>
      </c>
      <c r="F1123" s="2" t="n">
        <v>15</v>
      </c>
      <c r="G1123" s="4" t="n">
        <v>74.99</v>
      </c>
      <c r="H1123" s="4" t="n">
        <v>40.74</v>
      </c>
      <c r="I1123" s="4" t="n">
        <f aca="false">F1123*G1123</f>
        <v>1124.85</v>
      </c>
      <c r="J1123" s="4" t="n">
        <f aca="false">F1123*H1123</f>
        <v>611.1</v>
      </c>
      <c r="K1123" s="4" t="n">
        <f aca="false">I1123-J1123</f>
        <v>513.75</v>
      </c>
      <c r="L1123" s="5" t="n">
        <f aca="false">IFERROR(K1123/I1123,0)</f>
        <v>0.456727563675157</v>
      </c>
    </row>
    <row r="1124" customFormat="false" ht="15" hidden="false" customHeight="false" outlineLevel="0" collapsed="false">
      <c r="A1124" s="2" t="s">
        <v>47</v>
      </c>
      <c r="B1124" s="2" t="s">
        <v>49</v>
      </c>
      <c r="C1124" s="2" t="s">
        <v>38</v>
      </c>
      <c r="D1124" s="2" t="s">
        <v>41</v>
      </c>
      <c r="E1124" s="3" t="n">
        <v>46023</v>
      </c>
      <c r="F1124" s="2" t="n">
        <v>15</v>
      </c>
      <c r="G1124" s="4" t="n">
        <v>19.99</v>
      </c>
      <c r="H1124" s="4" t="n">
        <v>9.64</v>
      </c>
      <c r="I1124" s="4" t="n">
        <f aca="false">F1124*G1124</f>
        <v>299.85</v>
      </c>
      <c r="J1124" s="4" t="n">
        <f aca="false">F1124*H1124</f>
        <v>144.6</v>
      </c>
      <c r="K1124" s="4" t="n">
        <f aca="false">I1124-J1124</f>
        <v>155.25</v>
      </c>
      <c r="L1124" s="5" t="n">
        <f aca="false">IFERROR(K1124/I1124,0)</f>
        <v>0.51775887943972</v>
      </c>
    </row>
    <row r="1125" customFormat="false" ht="15" hidden="false" customHeight="false" outlineLevel="0" collapsed="false">
      <c r="A1125" s="2" t="s">
        <v>47</v>
      </c>
      <c r="B1125" s="2" t="s">
        <v>49</v>
      </c>
      <c r="C1125" s="2" t="s">
        <v>38</v>
      </c>
      <c r="D1125" s="2" t="s">
        <v>42</v>
      </c>
      <c r="E1125" s="3" t="n">
        <v>46023</v>
      </c>
      <c r="F1125" s="2" t="n">
        <v>10</v>
      </c>
      <c r="G1125" s="4" t="n">
        <v>16.99</v>
      </c>
      <c r="H1125" s="4" t="n">
        <v>8.42</v>
      </c>
      <c r="I1125" s="4" t="n">
        <f aca="false">F1125*G1125</f>
        <v>169.9</v>
      </c>
      <c r="J1125" s="4" t="n">
        <f aca="false">F1125*H1125</f>
        <v>84.2</v>
      </c>
      <c r="K1125" s="4" t="n">
        <f aca="false">I1125-J1125</f>
        <v>85.7</v>
      </c>
      <c r="L1125" s="5" t="n">
        <f aca="false">IFERROR(K1125/I1125,0)</f>
        <v>0.504414361389052</v>
      </c>
    </row>
    <row r="1126" customFormat="false" ht="15" hidden="false" customHeight="false" outlineLevel="0" collapsed="false">
      <c r="A1126" s="2" t="s">
        <v>47</v>
      </c>
      <c r="B1126" s="2" t="s">
        <v>49</v>
      </c>
      <c r="C1126" s="2" t="s">
        <v>38</v>
      </c>
      <c r="D1126" s="2" t="s">
        <v>43</v>
      </c>
      <c r="E1126" s="3" t="n">
        <v>46023</v>
      </c>
      <c r="F1126" s="2" t="n">
        <v>14</v>
      </c>
      <c r="G1126" s="4" t="n">
        <v>24.99</v>
      </c>
      <c r="H1126" s="4" t="n">
        <v>13.23</v>
      </c>
      <c r="I1126" s="4" t="n">
        <f aca="false">F1126*G1126</f>
        <v>349.86</v>
      </c>
      <c r="J1126" s="4" t="n">
        <f aca="false">F1126*H1126</f>
        <v>185.22</v>
      </c>
      <c r="K1126" s="4" t="n">
        <f aca="false">I1126-J1126</f>
        <v>164.64</v>
      </c>
      <c r="L1126" s="5" t="n">
        <f aca="false">IFERROR(K1126/I1126,0)</f>
        <v>0.470588235294118</v>
      </c>
    </row>
    <row r="1127" customFormat="false" ht="15" hidden="false" customHeight="false" outlineLevel="0" collapsed="false">
      <c r="A1127" s="2" t="s">
        <v>50</v>
      </c>
      <c r="B1127" s="2" t="s">
        <v>51</v>
      </c>
      <c r="C1127" s="2" t="s">
        <v>14</v>
      </c>
      <c r="D1127" s="2" t="s">
        <v>15</v>
      </c>
      <c r="E1127" s="3" t="n">
        <v>46023</v>
      </c>
      <c r="F1127" s="2" t="n">
        <v>13</v>
      </c>
      <c r="G1127" s="4" t="n">
        <v>69.99</v>
      </c>
      <c r="H1127" s="4" t="n">
        <v>33.17</v>
      </c>
      <c r="I1127" s="4" t="n">
        <f aca="false">F1127*G1127</f>
        <v>909.87</v>
      </c>
      <c r="J1127" s="4" t="n">
        <f aca="false">F1127*H1127</f>
        <v>431.21</v>
      </c>
      <c r="K1127" s="4" t="n">
        <f aca="false">I1127-J1127</f>
        <v>478.66</v>
      </c>
      <c r="L1127" s="5" t="n">
        <f aca="false">IFERROR(K1127/I1127,0)</f>
        <v>0.52607515359337</v>
      </c>
    </row>
    <row r="1128" customFormat="false" ht="15" hidden="false" customHeight="false" outlineLevel="0" collapsed="false">
      <c r="A1128" s="2" t="s">
        <v>50</v>
      </c>
      <c r="B1128" s="2" t="s">
        <v>51</v>
      </c>
      <c r="C1128" s="2" t="s">
        <v>14</v>
      </c>
      <c r="D1128" s="2" t="s">
        <v>16</v>
      </c>
      <c r="E1128" s="3" t="n">
        <v>46023</v>
      </c>
      <c r="F1128" s="2" t="n">
        <v>15</v>
      </c>
      <c r="G1128" s="4" t="n">
        <v>19.99</v>
      </c>
      <c r="H1128" s="4" t="n">
        <v>8.76</v>
      </c>
      <c r="I1128" s="4" t="n">
        <f aca="false">F1128*G1128</f>
        <v>299.85</v>
      </c>
      <c r="J1128" s="4" t="n">
        <f aca="false">F1128*H1128</f>
        <v>131.4</v>
      </c>
      <c r="K1128" s="4" t="n">
        <f aca="false">I1128-J1128</f>
        <v>168.45</v>
      </c>
      <c r="L1128" s="5" t="n">
        <f aca="false">IFERROR(K1128/I1128,0)</f>
        <v>0.561780890445223</v>
      </c>
    </row>
    <row r="1129" customFormat="false" ht="15" hidden="false" customHeight="false" outlineLevel="0" collapsed="false">
      <c r="A1129" s="2" t="s">
        <v>50</v>
      </c>
      <c r="B1129" s="2" t="s">
        <v>51</v>
      </c>
      <c r="C1129" s="2" t="s">
        <v>14</v>
      </c>
      <c r="D1129" s="2" t="s">
        <v>17</v>
      </c>
      <c r="E1129" s="3" t="n">
        <v>46023</v>
      </c>
      <c r="F1129" s="2" t="n">
        <v>14</v>
      </c>
      <c r="G1129" s="4" t="n">
        <v>79.99</v>
      </c>
      <c r="H1129" s="4" t="n">
        <v>41.17</v>
      </c>
      <c r="I1129" s="4" t="n">
        <f aca="false">F1129*G1129</f>
        <v>1119.86</v>
      </c>
      <c r="J1129" s="4" t="n">
        <f aca="false">F1129*H1129</f>
        <v>576.38</v>
      </c>
      <c r="K1129" s="4" t="n">
        <f aca="false">I1129-J1129</f>
        <v>543.48</v>
      </c>
      <c r="L1129" s="5" t="n">
        <f aca="false">IFERROR(K1129/I1129,0)</f>
        <v>0.485310663832979</v>
      </c>
    </row>
    <row r="1130" customFormat="false" ht="15" hidden="false" customHeight="false" outlineLevel="0" collapsed="false">
      <c r="A1130" s="2" t="s">
        <v>50</v>
      </c>
      <c r="B1130" s="2" t="s">
        <v>51</v>
      </c>
      <c r="C1130" s="2" t="s">
        <v>14</v>
      </c>
      <c r="D1130" s="2" t="s">
        <v>18</v>
      </c>
      <c r="E1130" s="3" t="n">
        <v>46023</v>
      </c>
      <c r="F1130" s="2" t="n">
        <v>13</v>
      </c>
      <c r="G1130" s="4" t="n">
        <v>34.99</v>
      </c>
      <c r="H1130" s="4" t="n">
        <v>14.83</v>
      </c>
      <c r="I1130" s="4" t="n">
        <f aca="false">F1130*G1130</f>
        <v>454.87</v>
      </c>
      <c r="J1130" s="4" t="n">
        <f aca="false">F1130*H1130</f>
        <v>192.79</v>
      </c>
      <c r="K1130" s="4" t="n">
        <f aca="false">I1130-J1130</f>
        <v>262.08</v>
      </c>
      <c r="L1130" s="5" t="n">
        <f aca="false">IFERROR(K1130/I1130,0)</f>
        <v>0.576164618462418</v>
      </c>
    </row>
    <row r="1131" customFormat="false" ht="15" hidden="false" customHeight="false" outlineLevel="0" collapsed="false">
      <c r="A1131" s="2" t="s">
        <v>50</v>
      </c>
      <c r="B1131" s="2" t="s">
        <v>51</v>
      </c>
      <c r="C1131" s="2" t="s">
        <v>14</v>
      </c>
      <c r="D1131" s="2" t="s">
        <v>19</v>
      </c>
      <c r="E1131" s="3" t="n">
        <v>46023</v>
      </c>
      <c r="F1131" s="2" t="n">
        <v>11</v>
      </c>
      <c r="G1131" s="4" t="n">
        <v>54.99</v>
      </c>
      <c r="H1131" s="4" t="n">
        <v>24.28</v>
      </c>
      <c r="I1131" s="4" t="n">
        <f aca="false">F1131*G1131</f>
        <v>604.89</v>
      </c>
      <c r="J1131" s="4" t="n">
        <f aca="false">F1131*H1131</f>
        <v>267.08</v>
      </c>
      <c r="K1131" s="4" t="n">
        <f aca="false">I1131-J1131</f>
        <v>337.81</v>
      </c>
      <c r="L1131" s="5" t="n">
        <f aca="false">IFERROR(K1131/I1131,0)</f>
        <v>0.558465175486452</v>
      </c>
    </row>
    <row r="1132" customFormat="false" ht="15" hidden="false" customHeight="false" outlineLevel="0" collapsed="false">
      <c r="A1132" s="2" t="s">
        <v>50</v>
      </c>
      <c r="B1132" s="2" t="s">
        <v>51</v>
      </c>
      <c r="C1132" s="2" t="s">
        <v>20</v>
      </c>
      <c r="D1132" s="2" t="s">
        <v>21</v>
      </c>
      <c r="E1132" s="3" t="n">
        <v>46023</v>
      </c>
      <c r="F1132" s="2" t="n">
        <v>17</v>
      </c>
      <c r="G1132" s="4" t="n">
        <v>44.99</v>
      </c>
      <c r="H1132" s="4" t="n">
        <v>20.22</v>
      </c>
      <c r="I1132" s="4" t="n">
        <f aca="false">F1132*G1132</f>
        <v>764.83</v>
      </c>
      <c r="J1132" s="4" t="n">
        <f aca="false">F1132*H1132</f>
        <v>343.74</v>
      </c>
      <c r="K1132" s="4" t="n">
        <f aca="false">I1132-J1132</f>
        <v>421.09</v>
      </c>
      <c r="L1132" s="5" t="n">
        <f aca="false">IFERROR(K1132/I1132,0)</f>
        <v>0.550566792620582</v>
      </c>
    </row>
    <row r="1133" customFormat="false" ht="15" hidden="false" customHeight="false" outlineLevel="0" collapsed="false">
      <c r="A1133" s="2" t="s">
        <v>50</v>
      </c>
      <c r="B1133" s="2" t="s">
        <v>51</v>
      </c>
      <c r="C1133" s="2" t="s">
        <v>20</v>
      </c>
      <c r="D1133" s="2" t="s">
        <v>22</v>
      </c>
      <c r="E1133" s="3" t="n">
        <v>46023</v>
      </c>
      <c r="F1133" s="2" t="n">
        <v>18</v>
      </c>
      <c r="G1133" s="4" t="n">
        <v>14.99</v>
      </c>
      <c r="H1133" s="4" t="n">
        <v>5.85</v>
      </c>
      <c r="I1133" s="4" t="n">
        <f aca="false">F1133*G1133</f>
        <v>269.82</v>
      </c>
      <c r="J1133" s="4" t="n">
        <f aca="false">F1133*H1133</f>
        <v>105.3</v>
      </c>
      <c r="K1133" s="4" t="n">
        <f aca="false">I1133-J1133</f>
        <v>164.52</v>
      </c>
      <c r="L1133" s="5" t="n">
        <f aca="false">IFERROR(K1133/I1133,0)</f>
        <v>0.609739826551034</v>
      </c>
    </row>
    <row r="1134" customFormat="false" ht="15" hidden="false" customHeight="false" outlineLevel="0" collapsed="false">
      <c r="A1134" s="2" t="s">
        <v>50</v>
      </c>
      <c r="B1134" s="2" t="s">
        <v>51</v>
      </c>
      <c r="C1134" s="2" t="s">
        <v>20</v>
      </c>
      <c r="D1134" s="2" t="s">
        <v>23</v>
      </c>
      <c r="E1134" s="3" t="n">
        <v>46023</v>
      </c>
      <c r="F1134" s="2" t="n">
        <v>14</v>
      </c>
      <c r="G1134" s="4" t="n">
        <v>39.99</v>
      </c>
      <c r="H1134" s="4" t="n">
        <v>17.22</v>
      </c>
      <c r="I1134" s="4" t="n">
        <f aca="false">F1134*G1134</f>
        <v>559.86</v>
      </c>
      <c r="J1134" s="4" t="n">
        <f aca="false">F1134*H1134</f>
        <v>241.08</v>
      </c>
      <c r="K1134" s="4" t="n">
        <f aca="false">I1134-J1134</f>
        <v>318.78</v>
      </c>
      <c r="L1134" s="5" t="n">
        <f aca="false">IFERROR(K1134/I1134,0)</f>
        <v>0.569392348087022</v>
      </c>
    </row>
    <row r="1135" customFormat="false" ht="15" hidden="false" customHeight="false" outlineLevel="0" collapsed="false">
      <c r="A1135" s="2" t="s">
        <v>50</v>
      </c>
      <c r="B1135" s="2" t="s">
        <v>51</v>
      </c>
      <c r="C1135" s="2" t="s">
        <v>20</v>
      </c>
      <c r="D1135" s="2" t="s">
        <v>24</v>
      </c>
      <c r="E1135" s="3" t="n">
        <v>46023</v>
      </c>
      <c r="F1135" s="2" t="n">
        <v>10</v>
      </c>
      <c r="G1135" s="4" t="n">
        <v>18.99</v>
      </c>
      <c r="H1135" s="4" t="n">
        <v>7.38</v>
      </c>
      <c r="I1135" s="4" t="n">
        <f aca="false">F1135*G1135</f>
        <v>189.9</v>
      </c>
      <c r="J1135" s="4" t="n">
        <f aca="false">F1135*H1135</f>
        <v>73.8</v>
      </c>
      <c r="K1135" s="4" t="n">
        <f aca="false">I1135-J1135</f>
        <v>116.1</v>
      </c>
      <c r="L1135" s="5" t="n">
        <f aca="false">IFERROR(K1135/I1135,0)</f>
        <v>0.611374407582938</v>
      </c>
    </row>
    <row r="1136" customFormat="false" ht="15" hidden="false" customHeight="false" outlineLevel="0" collapsed="false">
      <c r="A1136" s="2" t="s">
        <v>50</v>
      </c>
      <c r="B1136" s="2" t="s">
        <v>51</v>
      </c>
      <c r="C1136" s="2" t="s">
        <v>20</v>
      </c>
      <c r="D1136" s="2" t="s">
        <v>25</v>
      </c>
      <c r="E1136" s="3" t="n">
        <v>46023</v>
      </c>
      <c r="F1136" s="2" t="n">
        <v>12</v>
      </c>
      <c r="G1136" s="4" t="n">
        <v>42.99</v>
      </c>
      <c r="H1136" s="4" t="n">
        <v>16.01</v>
      </c>
      <c r="I1136" s="4" t="n">
        <f aca="false">F1136*G1136</f>
        <v>515.88</v>
      </c>
      <c r="J1136" s="4" t="n">
        <f aca="false">F1136*H1136</f>
        <v>192.12</v>
      </c>
      <c r="K1136" s="4" t="n">
        <f aca="false">I1136-J1136</f>
        <v>323.76</v>
      </c>
      <c r="L1136" s="5" t="n">
        <f aca="false">IFERROR(K1136/I1136,0)</f>
        <v>0.627587811118865</v>
      </c>
    </row>
    <row r="1137" customFormat="false" ht="15" hidden="false" customHeight="false" outlineLevel="0" collapsed="false">
      <c r="A1137" s="2" t="s">
        <v>50</v>
      </c>
      <c r="B1137" s="2" t="s">
        <v>51</v>
      </c>
      <c r="C1137" s="2" t="s">
        <v>26</v>
      </c>
      <c r="D1137" s="2" t="s">
        <v>27</v>
      </c>
      <c r="E1137" s="3" t="n">
        <v>46023</v>
      </c>
      <c r="F1137" s="2" t="n">
        <v>13</v>
      </c>
      <c r="G1137" s="4" t="n">
        <v>44.99</v>
      </c>
      <c r="H1137" s="4" t="n">
        <v>28.46</v>
      </c>
      <c r="I1137" s="4" t="n">
        <f aca="false">F1137*G1137</f>
        <v>584.87</v>
      </c>
      <c r="J1137" s="4" t="n">
        <f aca="false">F1137*H1137</f>
        <v>369.98</v>
      </c>
      <c r="K1137" s="4" t="n">
        <f aca="false">I1137-J1137</f>
        <v>214.89</v>
      </c>
      <c r="L1137" s="5" t="n">
        <f aca="false">IFERROR(K1137/I1137,0)</f>
        <v>0.367414981106913</v>
      </c>
    </row>
    <row r="1138" customFormat="false" ht="15" hidden="false" customHeight="false" outlineLevel="0" collapsed="false">
      <c r="A1138" s="2" t="s">
        <v>50</v>
      </c>
      <c r="B1138" s="2" t="s">
        <v>51</v>
      </c>
      <c r="C1138" s="2" t="s">
        <v>26</v>
      </c>
      <c r="D1138" s="2" t="s">
        <v>28</v>
      </c>
      <c r="E1138" s="3" t="n">
        <v>46023</v>
      </c>
      <c r="F1138" s="2" t="n">
        <v>17</v>
      </c>
      <c r="G1138" s="4" t="n">
        <v>34.99</v>
      </c>
      <c r="H1138" s="4" t="n">
        <v>22.18</v>
      </c>
      <c r="I1138" s="4" t="n">
        <f aca="false">F1138*G1138</f>
        <v>594.83</v>
      </c>
      <c r="J1138" s="4" t="n">
        <f aca="false">F1138*H1138</f>
        <v>377.06</v>
      </c>
      <c r="K1138" s="4" t="n">
        <f aca="false">I1138-J1138</f>
        <v>217.77</v>
      </c>
      <c r="L1138" s="5" t="n">
        <f aca="false">IFERROR(K1138/I1138,0)</f>
        <v>0.366104601314661</v>
      </c>
    </row>
    <row r="1139" customFormat="false" ht="15" hidden="false" customHeight="false" outlineLevel="0" collapsed="false">
      <c r="A1139" s="2" t="s">
        <v>50</v>
      </c>
      <c r="B1139" s="2" t="s">
        <v>51</v>
      </c>
      <c r="C1139" s="2" t="s">
        <v>26</v>
      </c>
      <c r="D1139" s="2" t="s">
        <v>29</v>
      </c>
      <c r="E1139" s="3" t="n">
        <v>46023</v>
      </c>
      <c r="F1139" s="2" t="n">
        <v>12</v>
      </c>
      <c r="G1139" s="4" t="n">
        <v>119.99</v>
      </c>
      <c r="H1139" s="4" t="n">
        <v>82.55</v>
      </c>
      <c r="I1139" s="4" t="n">
        <f aca="false">F1139*G1139</f>
        <v>1439.88</v>
      </c>
      <c r="J1139" s="4" t="n">
        <f aca="false">F1139*H1139</f>
        <v>990.6</v>
      </c>
      <c r="K1139" s="4" t="n">
        <f aca="false">I1139-J1139</f>
        <v>449.28</v>
      </c>
      <c r="L1139" s="5" t="n">
        <f aca="false">IFERROR(K1139/I1139,0)</f>
        <v>0.312026002166847</v>
      </c>
    </row>
    <row r="1140" customFormat="false" ht="15" hidden="false" customHeight="false" outlineLevel="0" collapsed="false">
      <c r="A1140" s="2" t="s">
        <v>50</v>
      </c>
      <c r="B1140" s="2" t="s">
        <v>51</v>
      </c>
      <c r="C1140" s="2" t="s">
        <v>26</v>
      </c>
      <c r="D1140" s="2" t="s">
        <v>30</v>
      </c>
      <c r="E1140" s="3" t="n">
        <v>46023</v>
      </c>
      <c r="F1140" s="2" t="n">
        <v>19</v>
      </c>
      <c r="G1140" s="4" t="n">
        <v>24.99</v>
      </c>
      <c r="H1140" s="4" t="n">
        <v>15.18</v>
      </c>
      <c r="I1140" s="4" t="n">
        <f aca="false">F1140*G1140</f>
        <v>474.81</v>
      </c>
      <c r="J1140" s="4" t="n">
        <f aca="false">F1140*H1140</f>
        <v>288.42</v>
      </c>
      <c r="K1140" s="4" t="n">
        <f aca="false">I1140-J1140</f>
        <v>186.39</v>
      </c>
      <c r="L1140" s="5" t="n">
        <f aca="false">IFERROR(K1140/I1140,0)</f>
        <v>0.392557022809124</v>
      </c>
    </row>
    <row r="1141" customFormat="false" ht="15" hidden="false" customHeight="false" outlineLevel="0" collapsed="false">
      <c r="A1141" s="2" t="s">
        <v>50</v>
      </c>
      <c r="B1141" s="2" t="s">
        <v>51</v>
      </c>
      <c r="C1141" s="2" t="s">
        <v>26</v>
      </c>
      <c r="D1141" s="2" t="s">
        <v>31</v>
      </c>
      <c r="E1141" s="3" t="n">
        <v>46023</v>
      </c>
      <c r="F1141" s="2" t="n">
        <v>11</v>
      </c>
      <c r="G1141" s="4" t="n">
        <v>59.99</v>
      </c>
      <c r="H1141" s="4" t="n">
        <v>39.46</v>
      </c>
      <c r="I1141" s="4" t="n">
        <f aca="false">F1141*G1141</f>
        <v>659.89</v>
      </c>
      <c r="J1141" s="4" t="n">
        <f aca="false">F1141*H1141</f>
        <v>434.06</v>
      </c>
      <c r="K1141" s="4" t="n">
        <f aca="false">I1141-J1141</f>
        <v>225.83</v>
      </c>
      <c r="L1141" s="5" t="n">
        <f aca="false">IFERROR(K1141/I1141,0)</f>
        <v>0.342223703950658</v>
      </c>
    </row>
    <row r="1142" customFormat="false" ht="15" hidden="false" customHeight="false" outlineLevel="0" collapsed="false">
      <c r="A1142" s="2" t="s">
        <v>50</v>
      </c>
      <c r="B1142" s="2" t="s">
        <v>51</v>
      </c>
      <c r="C1142" s="2" t="s">
        <v>32</v>
      </c>
      <c r="D1142" s="2" t="s">
        <v>33</v>
      </c>
      <c r="E1142" s="3" t="n">
        <v>46023</v>
      </c>
      <c r="F1142" s="2" t="n">
        <v>13</v>
      </c>
      <c r="G1142" s="4" t="n">
        <v>49.99</v>
      </c>
      <c r="H1142" s="4" t="n">
        <v>35.45</v>
      </c>
      <c r="I1142" s="4" t="n">
        <f aca="false">F1142*G1142</f>
        <v>649.87</v>
      </c>
      <c r="J1142" s="4" t="n">
        <f aca="false">F1142*H1142</f>
        <v>460.85</v>
      </c>
      <c r="K1142" s="4" t="n">
        <f aca="false">I1142-J1142</f>
        <v>189.02</v>
      </c>
      <c r="L1142" s="5" t="n">
        <f aca="false">IFERROR(K1142/I1142,0)</f>
        <v>0.290858171634327</v>
      </c>
    </row>
    <row r="1143" customFormat="false" ht="15" hidden="false" customHeight="false" outlineLevel="0" collapsed="false">
      <c r="A1143" s="2" t="s">
        <v>50</v>
      </c>
      <c r="B1143" s="2" t="s">
        <v>51</v>
      </c>
      <c r="C1143" s="2" t="s">
        <v>32</v>
      </c>
      <c r="D1143" s="2" t="s">
        <v>34</v>
      </c>
      <c r="E1143" s="3" t="n">
        <v>46023</v>
      </c>
      <c r="F1143" s="2" t="n">
        <v>9</v>
      </c>
      <c r="G1143" s="4" t="n">
        <v>27.99</v>
      </c>
      <c r="H1143" s="4" t="n">
        <v>20.21</v>
      </c>
      <c r="I1143" s="4" t="n">
        <f aca="false">F1143*G1143</f>
        <v>251.91</v>
      </c>
      <c r="J1143" s="4" t="n">
        <f aca="false">F1143*H1143</f>
        <v>181.89</v>
      </c>
      <c r="K1143" s="4" t="n">
        <f aca="false">I1143-J1143</f>
        <v>70.02</v>
      </c>
      <c r="L1143" s="5" t="n">
        <f aca="false">IFERROR(K1143/I1143,0)</f>
        <v>0.277956413004644</v>
      </c>
    </row>
    <row r="1144" customFormat="false" ht="15" hidden="false" customHeight="false" outlineLevel="0" collapsed="false">
      <c r="A1144" s="2" t="s">
        <v>50</v>
      </c>
      <c r="B1144" s="2" t="s">
        <v>51</v>
      </c>
      <c r="C1144" s="2" t="s">
        <v>32</v>
      </c>
      <c r="D1144" s="2" t="s">
        <v>35</v>
      </c>
      <c r="E1144" s="3" t="n">
        <v>46023</v>
      </c>
      <c r="F1144" s="2" t="n">
        <v>8</v>
      </c>
      <c r="G1144" s="4" t="n">
        <v>64.99</v>
      </c>
      <c r="H1144" s="4" t="n">
        <v>46.18</v>
      </c>
      <c r="I1144" s="4" t="n">
        <f aca="false">F1144*G1144</f>
        <v>519.92</v>
      </c>
      <c r="J1144" s="4" t="n">
        <f aca="false">F1144*H1144</f>
        <v>369.44</v>
      </c>
      <c r="K1144" s="4" t="n">
        <f aca="false">I1144-J1144</f>
        <v>150.48</v>
      </c>
      <c r="L1144" s="5" t="n">
        <f aca="false">IFERROR(K1144/I1144,0)</f>
        <v>0.289429142945068</v>
      </c>
    </row>
    <row r="1145" customFormat="false" ht="15" hidden="false" customHeight="false" outlineLevel="0" collapsed="false">
      <c r="A1145" s="2" t="s">
        <v>50</v>
      </c>
      <c r="B1145" s="2" t="s">
        <v>51</v>
      </c>
      <c r="C1145" s="2" t="s">
        <v>32</v>
      </c>
      <c r="D1145" s="2" t="s">
        <v>36</v>
      </c>
      <c r="E1145" s="3" t="n">
        <v>46023</v>
      </c>
      <c r="F1145" s="2" t="n">
        <v>11</v>
      </c>
      <c r="G1145" s="4" t="n">
        <v>22.99</v>
      </c>
      <c r="H1145" s="4" t="n">
        <v>16.79</v>
      </c>
      <c r="I1145" s="4" t="n">
        <f aca="false">F1145*G1145</f>
        <v>252.89</v>
      </c>
      <c r="J1145" s="4" t="n">
        <f aca="false">F1145*H1145</f>
        <v>184.69</v>
      </c>
      <c r="K1145" s="4" t="n">
        <f aca="false">I1145-J1145</f>
        <v>68.2</v>
      </c>
      <c r="L1145" s="5" t="n">
        <f aca="false">IFERROR(K1145/I1145,0)</f>
        <v>0.269682470639408</v>
      </c>
    </row>
    <row r="1146" customFormat="false" ht="15" hidden="false" customHeight="false" outlineLevel="0" collapsed="false">
      <c r="A1146" s="2" t="s">
        <v>50</v>
      </c>
      <c r="B1146" s="2" t="s">
        <v>51</v>
      </c>
      <c r="C1146" s="2" t="s">
        <v>32</v>
      </c>
      <c r="D1146" s="2" t="s">
        <v>37</v>
      </c>
      <c r="E1146" s="3" t="n">
        <v>46023</v>
      </c>
      <c r="F1146" s="2" t="n">
        <v>14</v>
      </c>
      <c r="G1146" s="4" t="n">
        <v>29.99</v>
      </c>
      <c r="H1146" s="4" t="n">
        <v>20.69</v>
      </c>
      <c r="I1146" s="4" t="n">
        <f aca="false">F1146*G1146</f>
        <v>419.86</v>
      </c>
      <c r="J1146" s="4" t="n">
        <f aca="false">F1146*H1146</f>
        <v>289.66</v>
      </c>
      <c r="K1146" s="4" t="n">
        <f aca="false">I1146-J1146</f>
        <v>130.2</v>
      </c>
      <c r="L1146" s="5" t="n">
        <f aca="false">IFERROR(K1146/I1146,0)</f>
        <v>0.310103367789263</v>
      </c>
    </row>
    <row r="1147" customFormat="false" ht="15" hidden="false" customHeight="false" outlineLevel="0" collapsed="false">
      <c r="A1147" s="2" t="s">
        <v>50</v>
      </c>
      <c r="B1147" s="2" t="s">
        <v>51</v>
      </c>
      <c r="C1147" s="2" t="s">
        <v>38</v>
      </c>
      <c r="D1147" s="2" t="s">
        <v>39</v>
      </c>
      <c r="E1147" s="3" t="n">
        <v>46023</v>
      </c>
      <c r="F1147" s="2" t="n">
        <v>4</v>
      </c>
      <c r="G1147" s="4" t="n">
        <v>129.99</v>
      </c>
      <c r="H1147" s="4" t="n">
        <v>75.95</v>
      </c>
      <c r="I1147" s="4" t="n">
        <f aca="false">F1147*G1147</f>
        <v>519.96</v>
      </c>
      <c r="J1147" s="4" t="n">
        <f aca="false">F1147*H1147</f>
        <v>303.8</v>
      </c>
      <c r="K1147" s="4" t="n">
        <f aca="false">I1147-J1147</f>
        <v>216.16</v>
      </c>
      <c r="L1147" s="5" t="n">
        <f aca="false">IFERROR(K1147/I1147,0)</f>
        <v>0.415724286483576</v>
      </c>
    </row>
    <row r="1148" customFormat="false" ht="15" hidden="false" customHeight="false" outlineLevel="0" collapsed="false">
      <c r="A1148" s="2" t="s">
        <v>50</v>
      </c>
      <c r="B1148" s="2" t="s">
        <v>51</v>
      </c>
      <c r="C1148" s="2" t="s">
        <v>38</v>
      </c>
      <c r="D1148" s="2" t="s">
        <v>40</v>
      </c>
      <c r="E1148" s="3" t="n">
        <v>46023</v>
      </c>
      <c r="F1148" s="2" t="n">
        <v>4</v>
      </c>
      <c r="G1148" s="4" t="n">
        <v>74.99</v>
      </c>
      <c r="H1148" s="4" t="n">
        <v>40.02</v>
      </c>
      <c r="I1148" s="4" t="n">
        <f aca="false">F1148*G1148</f>
        <v>299.96</v>
      </c>
      <c r="J1148" s="4" t="n">
        <f aca="false">F1148*H1148</f>
        <v>160.08</v>
      </c>
      <c r="K1148" s="4" t="n">
        <f aca="false">I1148-J1148</f>
        <v>139.88</v>
      </c>
      <c r="L1148" s="5" t="n">
        <f aca="false">IFERROR(K1148/I1148,0)</f>
        <v>0.466328843845846</v>
      </c>
    </row>
    <row r="1149" customFormat="false" ht="15" hidden="false" customHeight="false" outlineLevel="0" collapsed="false">
      <c r="A1149" s="2" t="s">
        <v>50</v>
      </c>
      <c r="B1149" s="2" t="s">
        <v>51</v>
      </c>
      <c r="C1149" s="2" t="s">
        <v>38</v>
      </c>
      <c r="D1149" s="2" t="s">
        <v>41</v>
      </c>
      <c r="E1149" s="3" t="n">
        <v>46023</v>
      </c>
      <c r="F1149" s="2" t="n">
        <v>4</v>
      </c>
      <c r="G1149" s="4" t="n">
        <v>19.99</v>
      </c>
      <c r="H1149" s="4" t="n">
        <v>9.71</v>
      </c>
      <c r="I1149" s="4" t="n">
        <f aca="false">F1149*G1149</f>
        <v>79.96</v>
      </c>
      <c r="J1149" s="4" t="n">
        <f aca="false">F1149*H1149</f>
        <v>38.84</v>
      </c>
      <c r="K1149" s="4" t="n">
        <f aca="false">I1149-J1149</f>
        <v>41.12</v>
      </c>
      <c r="L1149" s="5" t="n">
        <f aca="false">IFERROR(K1149/I1149,0)</f>
        <v>0.514257128564282</v>
      </c>
    </row>
    <row r="1150" customFormat="false" ht="15" hidden="false" customHeight="false" outlineLevel="0" collapsed="false">
      <c r="A1150" s="2" t="s">
        <v>50</v>
      </c>
      <c r="B1150" s="2" t="s">
        <v>51</v>
      </c>
      <c r="C1150" s="2" t="s">
        <v>38</v>
      </c>
      <c r="D1150" s="2" t="s">
        <v>42</v>
      </c>
      <c r="E1150" s="3" t="n">
        <v>46023</v>
      </c>
      <c r="F1150" s="2" t="n">
        <v>7</v>
      </c>
      <c r="G1150" s="4" t="n">
        <v>16.99</v>
      </c>
      <c r="H1150" s="4" t="n">
        <v>8.25</v>
      </c>
      <c r="I1150" s="4" t="n">
        <f aca="false">F1150*G1150</f>
        <v>118.93</v>
      </c>
      <c r="J1150" s="4" t="n">
        <f aca="false">F1150*H1150</f>
        <v>57.75</v>
      </c>
      <c r="K1150" s="4" t="n">
        <f aca="false">I1150-J1150</f>
        <v>61.18</v>
      </c>
      <c r="L1150" s="5" t="n">
        <f aca="false">IFERROR(K1150/I1150,0)</f>
        <v>0.514420247204238</v>
      </c>
    </row>
    <row r="1151" customFormat="false" ht="15" hidden="false" customHeight="false" outlineLevel="0" collapsed="false">
      <c r="A1151" s="2" t="s">
        <v>50</v>
      </c>
      <c r="B1151" s="2" t="s">
        <v>51</v>
      </c>
      <c r="C1151" s="2" t="s">
        <v>38</v>
      </c>
      <c r="D1151" s="2" t="s">
        <v>43</v>
      </c>
      <c r="E1151" s="3" t="n">
        <v>46023</v>
      </c>
      <c r="F1151" s="2" t="n">
        <v>3</v>
      </c>
      <c r="G1151" s="4" t="n">
        <v>24.99</v>
      </c>
      <c r="H1151" s="4" t="n">
        <v>12.61</v>
      </c>
      <c r="I1151" s="4" t="n">
        <f aca="false">F1151*G1151</f>
        <v>74.97</v>
      </c>
      <c r="J1151" s="4" t="n">
        <f aca="false">F1151*H1151</f>
        <v>37.83</v>
      </c>
      <c r="K1151" s="4" t="n">
        <f aca="false">I1151-J1151</f>
        <v>37.14</v>
      </c>
      <c r="L1151" s="5" t="n">
        <f aca="false">IFERROR(K1151/I1151,0)</f>
        <v>0.495398159263706</v>
      </c>
    </row>
    <row r="1152" customFormat="false" ht="15" hidden="false" customHeight="false" outlineLevel="0" collapsed="false">
      <c r="A1152" s="2" t="s">
        <v>52</v>
      </c>
      <c r="B1152" s="2" t="s">
        <v>53</v>
      </c>
      <c r="C1152" s="2" t="s">
        <v>14</v>
      </c>
      <c r="D1152" s="2" t="s">
        <v>15</v>
      </c>
      <c r="E1152" s="3" t="n">
        <v>46023</v>
      </c>
      <c r="F1152" s="2" t="n">
        <v>13</v>
      </c>
      <c r="G1152" s="4" t="n">
        <v>69.99</v>
      </c>
      <c r="H1152" s="4" t="n">
        <v>33.84</v>
      </c>
      <c r="I1152" s="4" t="n">
        <f aca="false">F1152*G1152</f>
        <v>909.87</v>
      </c>
      <c r="J1152" s="4" t="n">
        <f aca="false">F1152*H1152</f>
        <v>439.92</v>
      </c>
      <c r="K1152" s="4" t="n">
        <f aca="false">I1152-J1152</f>
        <v>469.95</v>
      </c>
      <c r="L1152" s="5" t="n">
        <f aca="false">IFERROR(K1152/I1152,0)</f>
        <v>0.51650235747964</v>
      </c>
    </row>
    <row r="1153" customFormat="false" ht="15" hidden="false" customHeight="false" outlineLevel="0" collapsed="false">
      <c r="A1153" s="2" t="s">
        <v>52</v>
      </c>
      <c r="B1153" s="2" t="s">
        <v>53</v>
      </c>
      <c r="C1153" s="2" t="s">
        <v>14</v>
      </c>
      <c r="D1153" s="2" t="s">
        <v>16</v>
      </c>
      <c r="E1153" s="3" t="n">
        <v>46023</v>
      </c>
      <c r="F1153" s="2" t="n">
        <v>16</v>
      </c>
      <c r="G1153" s="4" t="n">
        <v>19.99</v>
      </c>
      <c r="H1153" s="4" t="n">
        <v>9.2</v>
      </c>
      <c r="I1153" s="4" t="n">
        <f aca="false">F1153*G1153</f>
        <v>319.84</v>
      </c>
      <c r="J1153" s="4" t="n">
        <f aca="false">F1153*H1153</f>
        <v>147.2</v>
      </c>
      <c r="K1153" s="4" t="n">
        <f aca="false">I1153-J1153</f>
        <v>172.64</v>
      </c>
      <c r="L1153" s="5" t="n">
        <f aca="false">IFERROR(K1153/I1153,0)</f>
        <v>0.539769884942471</v>
      </c>
    </row>
    <row r="1154" customFormat="false" ht="15" hidden="false" customHeight="false" outlineLevel="0" collapsed="false">
      <c r="A1154" s="2" t="s">
        <v>52</v>
      </c>
      <c r="B1154" s="2" t="s">
        <v>53</v>
      </c>
      <c r="C1154" s="2" t="s">
        <v>14</v>
      </c>
      <c r="D1154" s="2" t="s">
        <v>17</v>
      </c>
      <c r="E1154" s="3" t="n">
        <v>46023</v>
      </c>
      <c r="F1154" s="2" t="n">
        <v>16</v>
      </c>
      <c r="G1154" s="4" t="n">
        <v>79.99</v>
      </c>
      <c r="H1154" s="4" t="n">
        <v>40.22</v>
      </c>
      <c r="I1154" s="4" t="n">
        <f aca="false">F1154*G1154</f>
        <v>1279.84</v>
      </c>
      <c r="J1154" s="4" t="n">
        <f aca="false">F1154*H1154</f>
        <v>643.52</v>
      </c>
      <c r="K1154" s="4" t="n">
        <f aca="false">I1154-J1154</f>
        <v>636.32</v>
      </c>
      <c r="L1154" s="5" t="n">
        <f aca="false">IFERROR(K1154/I1154,0)</f>
        <v>0.497187148393549</v>
      </c>
    </row>
    <row r="1155" customFormat="false" ht="15" hidden="false" customHeight="false" outlineLevel="0" collapsed="false">
      <c r="A1155" s="2" t="s">
        <v>52</v>
      </c>
      <c r="B1155" s="2" t="s">
        <v>53</v>
      </c>
      <c r="C1155" s="2" t="s">
        <v>14</v>
      </c>
      <c r="D1155" s="2" t="s">
        <v>18</v>
      </c>
      <c r="E1155" s="3" t="n">
        <v>46023</v>
      </c>
      <c r="F1155" s="2" t="n">
        <v>17</v>
      </c>
      <c r="G1155" s="4" t="n">
        <v>34.99</v>
      </c>
      <c r="H1155" s="4" t="n">
        <v>14.55</v>
      </c>
      <c r="I1155" s="4" t="n">
        <f aca="false">F1155*G1155</f>
        <v>594.83</v>
      </c>
      <c r="J1155" s="4" t="n">
        <f aca="false">F1155*H1155</f>
        <v>247.35</v>
      </c>
      <c r="K1155" s="4" t="n">
        <f aca="false">I1155-J1155</f>
        <v>347.48</v>
      </c>
      <c r="L1155" s="5" t="n">
        <f aca="false">IFERROR(K1155/I1155,0)</f>
        <v>0.584166904829951</v>
      </c>
    </row>
    <row r="1156" customFormat="false" ht="15" hidden="false" customHeight="false" outlineLevel="0" collapsed="false">
      <c r="A1156" s="2" t="s">
        <v>52</v>
      </c>
      <c r="B1156" s="2" t="s">
        <v>53</v>
      </c>
      <c r="C1156" s="2" t="s">
        <v>14</v>
      </c>
      <c r="D1156" s="2" t="s">
        <v>19</v>
      </c>
      <c r="E1156" s="3" t="n">
        <v>46023</v>
      </c>
      <c r="F1156" s="2" t="n">
        <v>18</v>
      </c>
      <c r="G1156" s="4" t="n">
        <v>54.99</v>
      </c>
      <c r="H1156" s="4" t="n">
        <v>23.56</v>
      </c>
      <c r="I1156" s="4" t="n">
        <f aca="false">F1156*G1156</f>
        <v>989.82</v>
      </c>
      <c r="J1156" s="4" t="n">
        <f aca="false">F1156*H1156</f>
        <v>424.08</v>
      </c>
      <c r="K1156" s="4" t="n">
        <f aca="false">I1156-J1156</f>
        <v>565.74</v>
      </c>
      <c r="L1156" s="5" t="n">
        <f aca="false">IFERROR(K1156/I1156,0)</f>
        <v>0.571558465175487</v>
      </c>
    </row>
    <row r="1157" customFormat="false" ht="15" hidden="false" customHeight="false" outlineLevel="0" collapsed="false">
      <c r="A1157" s="2" t="s">
        <v>52</v>
      </c>
      <c r="B1157" s="2" t="s">
        <v>53</v>
      </c>
      <c r="C1157" s="2" t="s">
        <v>20</v>
      </c>
      <c r="D1157" s="2" t="s">
        <v>21</v>
      </c>
      <c r="E1157" s="3" t="n">
        <v>46023</v>
      </c>
      <c r="F1157" s="2" t="n">
        <v>16</v>
      </c>
      <c r="G1157" s="4" t="n">
        <v>44.99</v>
      </c>
      <c r="H1157" s="4" t="n">
        <v>19.77</v>
      </c>
      <c r="I1157" s="4" t="n">
        <f aca="false">F1157*G1157</f>
        <v>719.84</v>
      </c>
      <c r="J1157" s="4" t="n">
        <f aca="false">F1157*H1157</f>
        <v>316.32</v>
      </c>
      <c r="K1157" s="4" t="n">
        <f aca="false">I1157-J1157</f>
        <v>403.52</v>
      </c>
      <c r="L1157" s="5" t="n">
        <f aca="false">IFERROR(K1157/I1157,0)</f>
        <v>0.560569015336742</v>
      </c>
    </row>
    <row r="1158" customFormat="false" ht="15" hidden="false" customHeight="false" outlineLevel="0" collapsed="false">
      <c r="A1158" s="2" t="s">
        <v>52</v>
      </c>
      <c r="B1158" s="2" t="s">
        <v>53</v>
      </c>
      <c r="C1158" s="2" t="s">
        <v>20</v>
      </c>
      <c r="D1158" s="2" t="s">
        <v>22</v>
      </c>
      <c r="E1158" s="3" t="n">
        <v>46023</v>
      </c>
      <c r="F1158" s="2" t="n">
        <v>14</v>
      </c>
      <c r="G1158" s="4" t="n">
        <v>14.99</v>
      </c>
      <c r="H1158" s="4" t="n">
        <v>5.67</v>
      </c>
      <c r="I1158" s="4" t="n">
        <f aca="false">F1158*G1158</f>
        <v>209.86</v>
      </c>
      <c r="J1158" s="4" t="n">
        <f aca="false">F1158*H1158</f>
        <v>79.38</v>
      </c>
      <c r="K1158" s="4" t="n">
        <f aca="false">I1158-J1158</f>
        <v>130.48</v>
      </c>
      <c r="L1158" s="5" t="n">
        <f aca="false">IFERROR(K1158/I1158,0)</f>
        <v>0.621747831887925</v>
      </c>
    </row>
    <row r="1159" customFormat="false" ht="15" hidden="false" customHeight="false" outlineLevel="0" collapsed="false">
      <c r="A1159" s="2" t="s">
        <v>52</v>
      </c>
      <c r="B1159" s="2" t="s">
        <v>53</v>
      </c>
      <c r="C1159" s="2" t="s">
        <v>20</v>
      </c>
      <c r="D1159" s="2" t="s">
        <v>23</v>
      </c>
      <c r="E1159" s="3" t="n">
        <v>46023</v>
      </c>
      <c r="F1159" s="2" t="n">
        <v>12</v>
      </c>
      <c r="G1159" s="4" t="n">
        <v>39.99</v>
      </c>
      <c r="H1159" s="4" t="n">
        <v>16.82</v>
      </c>
      <c r="I1159" s="4" t="n">
        <f aca="false">F1159*G1159</f>
        <v>479.88</v>
      </c>
      <c r="J1159" s="4" t="n">
        <f aca="false">F1159*H1159</f>
        <v>201.84</v>
      </c>
      <c r="K1159" s="4" t="n">
        <f aca="false">I1159-J1159</f>
        <v>278.04</v>
      </c>
      <c r="L1159" s="5" t="n">
        <f aca="false">IFERROR(K1159/I1159,0)</f>
        <v>0.579394848712178</v>
      </c>
    </row>
    <row r="1160" customFormat="false" ht="15" hidden="false" customHeight="false" outlineLevel="0" collapsed="false">
      <c r="A1160" s="2" t="s">
        <v>52</v>
      </c>
      <c r="B1160" s="2" t="s">
        <v>53</v>
      </c>
      <c r="C1160" s="2" t="s">
        <v>20</v>
      </c>
      <c r="D1160" s="2" t="s">
        <v>24</v>
      </c>
      <c r="E1160" s="3" t="n">
        <v>46023</v>
      </c>
      <c r="F1160" s="2" t="n">
        <v>14</v>
      </c>
      <c r="G1160" s="4" t="n">
        <v>18.99</v>
      </c>
      <c r="H1160" s="4" t="n">
        <v>7.65</v>
      </c>
      <c r="I1160" s="4" t="n">
        <f aca="false">F1160*G1160</f>
        <v>265.86</v>
      </c>
      <c r="J1160" s="4" t="n">
        <f aca="false">F1160*H1160</f>
        <v>107.1</v>
      </c>
      <c r="K1160" s="4" t="n">
        <f aca="false">I1160-J1160</f>
        <v>158.76</v>
      </c>
      <c r="L1160" s="5" t="n">
        <f aca="false">IFERROR(K1160/I1160,0)</f>
        <v>0.597156398104265</v>
      </c>
    </row>
    <row r="1161" customFormat="false" ht="15" hidden="false" customHeight="false" outlineLevel="0" collapsed="false">
      <c r="A1161" s="2" t="s">
        <v>52</v>
      </c>
      <c r="B1161" s="2" t="s">
        <v>53</v>
      </c>
      <c r="C1161" s="2" t="s">
        <v>20</v>
      </c>
      <c r="D1161" s="2" t="s">
        <v>25</v>
      </c>
      <c r="E1161" s="3" t="n">
        <v>46023</v>
      </c>
      <c r="F1161" s="2" t="n">
        <v>17</v>
      </c>
      <c r="G1161" s="4" t="n">
        <v>42.99</v>
      </c>
      <c r="H1161" s="4" t="n">
        <v>15.7</v>
      </c>
      <c r="I1161" s="4" t="n">
        <f aca="false">F1161*G1161</f>
        <v>730.83</v>
      </c>
      <c r="J1161" s="4" t="n">
        <f aca="false">F1161*H1161</f>
        <v>266.9</v>
      </c>
      <c r="K1161" s="4" t="n">
        <f aca="false">I1161-J1161</f>
        <v>463.93</v>
      </c>
      <c r="L1161" s="5" t="n">
        <f aca="false">IFERROR(K1161/I1161,0)</f>
        <v>0.634798790416376</v>
      </c>
    </row>
    <row r="1162" customFormat="false" ht="15" hidden="false" customHeight="false" outlineLevel="0" collapsed="false">
      <c r="A1162" s="2" t="s">
        <v>52</v>
      </c>
      <c r="B1162" s="2" t="s">
        <v>53</v>
      </c>
      <c r="C1162" s="2" t="s">
        <v>26</v>
      </c>
      <c r="D1162" s="2" t="s">
        <v>27</v>
      </c>
      <c r="E1162" s="3" t="n">
        <v>46023</v>
      </c>
      <c r="F1162" s="2" t="n">
        <v>14</v>
      </c>
      <c r="G1162" s="4" t="n">
        <v>44.99</v>
      </c>
      <c r="H1162" s="4" t="n">
        <v>28.2</v>
      </c>
      <c r="I1162" s="4" t="n">
        <f aca="false">F1162*G1162</f>
        <v>629.86</v>
      </c>
      <c r="J1162" s="4" t="n">
        <f aca="false">F1162*H1162</f>
        <v>394.8</v>
      </c>
      <c r="K1162" s="4" t="n">
        <f aca="false">I1162-J1162</f>
        <v>235.06</v>
      </c>
      <c r="L1162" s="5" t="n">
        <f aca="false">IFERROR(K1162/I1162,0)</f>
        <v>0.373194043120694</v>
      </c>
    </row>
    <row r="1163" customFormat="false" ht="15" hidden="false" customHeight="false" outlineLevel="0" collapsed="false">
      <c r="A1163" s="2" t="s">
        <v>52</v>
      </c>
      <c r="B1163" s="2" t="s">
        <v>53</v>
      </c>
      <c r="C1163" s="2" t="s">
        <v>26</v>
      </c>
      <c r="D1163" s="2" t="s">
        <v>28</v>
      </c>
      <c r="E1163" s="3" t="n">
        <v>46023</v>
      </c>
      <c r="F1163" s="2" t="n">
        <v>18</v>
      </c>
      <c r="G1163" s="4" t="n">
        <v>34.99</v>
      </c>
      <c r="H1163" s="4" t="n">
        <v>22.63</v>
      </c>
      <c r="I1163" s="4" t="n">
        <f aca="false">F1163*G1163</f>
        <v>629.82</v>
      </c>
      <c r="J1163" s="4" t="n">
        <f aca="false">F1163*H1163</f>
        <v>407.34</v>
      </c>
      <c r="K1163" s="4" t="n">
        <f aca="false">I1163-J1163</f>
        <v>222.48</v>
      </c>
      <c r="L1163" s="5" t="n">
        <f aca="false">IFERROR(K1163/I1163,0)</f>
        <v>0.353243783938268</v>
      </c>
    </row>
    <row r="1164" customFormat="false" ht="15" hidden="false" customHeight="false" outlineLevel="0" collapsed="false">
      <c r="A1164" s="2" t="s">
        <v>52</v>
      </c>
      <c r="B1164" s="2" t="s">
        <v>53</v>
      </c>
      <c r="C1164" s="2" t="s">
        <v>26</v>
      </c>
      <c r="D1164" s="2" t="s">
        <v>29</v>
      </c>
      <c r="E1164" s="3" t="n">
        <v>46023</v>
      </c>
      <c r="F1164" s="2" t="n">
        <v>14</v>
      </c>
      <c r="G1164" s="4" t="n">
        <v>119.99</v>
      </c>
      <c r="H1164" s="4" t="n">
        <v>80.87</v>
      </c>
      <c r="I1164" s="4" t="n">
        <f aca="false">F1164*G1164</f>
        <v>1679.86</v>
      </c>
      <c r="J1164" s="4" t="n">
        <f aca="false">F1164*H1164</f>
        <v>1132.18</v>
      </c>
      <c r="K1164" s="4" t="n">
        <f aca="false">I1164-J1164</f>
        <v>547.68</v>
      </c>
      <c r="L1164" s="5" t="n">
        <f aca="false">IFERROR(K1164/I1164,0)</f>
        <v>0.326027168930744</v>
      </c>
    </row>
    <row r="1165" customFormat="false" ht="15" hidden="false" customHeight="false" outlineLevel="0" collapsed="false">
      <c r="A1165" s="2" t="s">
        <v>52</v>
      </c>
      <c r="B1165" s="2" t="s">
        <v>53</v>
      </c>
      <c r="C1165" s="2" t="s">
        <v>26</v>
      </c>
      <c r="D1165" s="2" t="s">
        <v>30</v>
      </c>
      <c r="E1165" s="3" t="n">
        <v>46023</v>
      </c>
      <c r="F1165" s="2" t="n">
        <v>14</v>
      </c>
      <c r="G1165" s="4" t="n">
        <v>24.99</v>
      </c>
      <c r="H1165" s="4" t="n">
        <v>15.31</v>
      </c>
      <c r="I1165" s="4" t="n">
        <f aca="false">F1165*G1165</f>
        <v>349.86</v>
      </c>
      <c r="J1165" s="4" t="n">
        <f aca="false">F1165*H1165</f>
        <v>214.34</v>
      </c>
      <c r="K1165" s="4" t="n">
        <f aca="false">I1165-J1165</f>
        <v>135.52</v>
      </c>
      <c r="L1165" s="5" t="n">
        <f aca="false">IFERROR(K1165/I1165,0)</f>
        <v>0.387354941976791</v>
      </c>
    </row>
    <row r="1166" customFormat="false" ht="15" hidden="false" customHeight="false" outlineLevel="0" collapsed="false">
      <c r="A1166" s="2" t="s">
        <v>52</v>
      </c>
      <c r="B1166" s="2" t="s">
        <v>53</v>
      </c>
      <c r="C1166" s="2" t="s">
        <v>26</v>
      </c>
      <c r="D1166" s="2" t="s">
        <v>31</v>
      </c>
      <c r="E1166" s="3" t="n">
        <v>46023</v>
      </c>
      <c r="F1166" s="2" t="n">
        <v>7</v>
      </c>
      <c r="G1166" s="4" t="n">
        <v>59.99</v>
      </c>
      <c r="H1166" s="4" t="n">
        <v>38.57</v>
      </c>
      <c r="I1166" s="4" t="n">
        <f aca="false">F1166*G1166</f>
        <v>419.93</v>
      </c>
      <c r="J1166" s="4" t="n">
        <f aca="false">F1166*H1166</f>
        <v>269.99</v>
      </c>
      <c r="K1166" s="4" t="n">
        <f aca="false">I1166-J1166</f>
        <v>149.94</v>
      </c>
      <c r="L1166" s="5" t="n">
        <f aca="false">IFERROR(K1166/I1166,0)</f>
        <v>0.35705950991832</v>
      </c>
    </row>
    <row r="1167" customFormat="false" ht="15" hidden="false" customHeight="false" outlineLevel="0" collapsed="false">
      <c r="A1167" s="2" t="s">
        <v>52</v>
      </c>
      <c r="B1167" s="2" t="s">
        <v>53</v>
      </c>
      <c r="C1167" s="2" t="s">
        <v>32</v>
      </c>
      <c r="D1167" s="2" t="s">
        <v>33</v>
      </c>
      <c r="E1167" s="3" t="n">
        <v>46023</v>
      </c>
      <c r="F1167" s="2" t="n">
        <v>14</v>
      </c>
      <c r="G1167" s="4" t="n">
        <v>49.99</v>
      </c>
      <c r="H1167" s="4" t="n">
        <v>35.97</v>
      </c>
      <c r="I1167" s="4" t="n">
        <f aca="false">F1167*G1167</f>
        <v>699.86</v>
      </c>
      <c r="J1167" s="4" t="n">
        <f aca="false">F1167*H1167</f>
        <v>503.58</v>
      </c>
      <c r="K1167" s="4" t="n">
        <f aca="false">I1167-J1167</f>
        <v>196.28</v>
      </c>
      <c r="L1167" s="5" t="n">
        <f aca="false">IFERROR(K1167/I1167,0)</f>
        <v>0.280456091218244</v>
      </c>
    </row>
    <row r="1168" customFormat="false" ht="15" hidden="false" customHeight="false" outlineLevel="0" collapsed="false">
      <c r="A1168" s="2" t="s">
        <v>52</v>
      </c>
      <c r="B1168" s="2" t="s">
        <v>53</v>
      </c>
      <c r="C1168" s="2" t="s">
        <v>32</v>
      </c>
      <c r="D1168" s="2" t="s">
        <v>34</v>
      </c>
      <c r="E1168" s="3" t="n">
        <v>46023</v>
      </c>
      <c r="F1168" s="2" t="n">
        <v>12</v>
      </c>
      <c r="G1168" s="4" t="n">
        <v>27.99</v>
      </c>
      <c r="H1168" s="4" t="n">
        <v>19.97</v>
      </c>
      <c r="I1168" s="4" t="n">
        <f aca="false">F1168*G1168</f>
        <v>335.88</v>
      </c>
      <c r="J1168" s="4" t="n">
        <f aca="false">F1168*H1168</f>
        <v>239.64</v>
      </c>
      <c r="K1168" s="4" t="n">
        <f aca="false">I1168-J1168</f>
        <v>96.24</v>
      </c>
      <c r="L1168" s="5" t="n">
        <f aca="false">IFERROR(K1168/I1168,0)</f>
        <v>0.286530903894248</v>
      </c>
    </row>
    <row r="1169" customFormat="false" ht="15" hidden="false" customHeight="false" outlineLevel="0" collapsed="false">
      <c r="A1169" s="2" t="s">
        <v>52</v>
      </c>
      <c r="B1169" s="2" t="s">
        <v>53</v>
      </c>
      <c r="C1169" s="2" t="s">
        <v>32</v>
      </c>
      <c r="D1169" s="2" t="s">
        <v>35</v>
      </c>
      <c r="E1169" s="3" t="n">
        <v>46023</v>
      </c>
      <c r="F1169" s="2" t="n">
        <v>13</v>
      </c>
      <c r="G1169" s="4" t="n">
        <v>64.99</v>
      </c>
      <c r="H1169" s="4" t="n">
        <v>45.92</v>
      </c>
      <c r="I1169" s="4" t="n">
        <f aca="false">F1169*G1169</f>
        <v>844.87</v>
      </c>
      <c r="J1169" s="4" t="n">
        <f aca="false">F1169*H1169</f>
        <v>596.96</v>
      </c>
      <c r="K1169" s="4" t="n">
        <f aca="false">I1169-J1169</f>
        <v>247.91</v>
      </c>
      <c r="L1169" s="5" t="n">
        <f aca="false">IFERROR(K1169/I1169,0)</f>
        <v>0.293429758424373</v>
      </c>
    </row>
    <row r="1170" customFormat="false" ht="15" hidden="false" customHeight="false" outlineLevel="0" collapsed="false">
      <c r="A1170" s="2" t="s">
        <v>52</v>
      </c>
      <c r="B1170" s="2" t="s">
        <v>53</v>
      </c>
      <c r="C1170" s="2" t="s">
        <v>32</v>
      </c>
      <c r="D1170" s="2" t="s">
        <v>36</v>
      </c>
      <c r="E1170" s="3" t="n">
        <v>46023</v>
      </c>
      <c r="F1170" s="2" t="n">
        <v>10</v>
      </c>
      <c r="G1170" s="4" t="n">
        <v>22.99</v>
      </c>
      <c r="H1170" s="4" t="n">
        <v>17.15</v>
      </c>
      <c r="I1170" s="4" t="n">
        <f aca="false">F1170*G1170</f>
        <v>229.9</v>
      </c>
      <c r="J1170" s="4" t="n">
        <f aca="false">F1170*H1170</f>
        <v>171.5</v>
      </c>
      <c r="K1170" s="4" t="n">
        <f aca="false">I1170-J1170</f>
        <v>58.4</v>
      </c>
      <c r="L1170" s="5" t="n">
        <f aca="false">IFERROR(K1170/I1170,0)</f>
        <v>0.254023488473249</v>
      </c>
    </row>
    <row r="1171" customFormat="false" ht="15" hidden="false" customHeight="false" outlineLevel="0" collapsed="false">
      <c r="A1171" s="2" t="s">
        <v>52</v>
      </c>
      <c r="B1171" s="2" t="s">
        <v>53</v>
      </c>
      <c r="C1171" s="2" t="s">
        <v>32</v>
      </c>
      <c r="D1171" s="2" t="s">
        <v>37</v>
      </c>
      <c r="E1171" s="3" t="n">
        <v>46023</v>
      </c>
      <c r="F1171" s="2" t="n">
        <v>13</v>
      </c>
      <c r="G1171" s="4" t="n">
        <v>29.99</v>
      </c>
      <c r="H1171" s="4" t="n">
        <v>20.81</v>
      </c>
      <c r="I1171" s="4" t="n">
        <f aca="false">F1171*G1171</f>
        <v>389.87</v>
      </c>
      <c r="J1171" s="4" t="n">
        <f aca="false">F1171*H1171</f>
        <v>270.53</v>
      </c>
      <c r="K1171" s="4" t="n">
        <f aca="false">I1171-J1171</f>
        <v>119.34</v>
      </c>
      <c r="L1171" s="5" t="n">
        <f aca="false">IFERROR(K1171/I1171,0)</f>
        <v>0.306102034011337</v>
      </c>
    </row>
    <row r="1172" customFormat="false" ht="15" hidden="false" customHeight="false" outlineLevel="0" collapsed="false">
      <c r="A1172" s="2" t="s">
        <v>52</v>
      </c>
      <c r="B1172" s="2" t="s">
        <v>53</v>
      </c>
      <c r="C1172" s="2" t="s">
        <v>38</v>
      </c>
      <c r="D1172" s="2" t="s">
        <v>39</v>
      </c>
      <c r="E1172" s="3" t="n">
        <v>46023</v>
      </c>
      <c r="F1172" s="2" t="n">
        <v>18</v>
      </c>
      <c r="G1172" s="4" t="n">
        <v>129.99</v>
      </c>
      <c r="H1172" s="4" t="n">
        <v>74.33</v>
      </c>
      <c r="I1172" s="4" t="n">
        <f aca="false">F1172*G1172</f>
        <v>2339.82</v>
      </c>
      <c r="J1172" s="4" t="n">
        <f aca="false">F1172*H1172</f>
        <v>1337.94</v>
      </c>
      <c r="K1172" s="4" t="n">
        <f aca="false">I1172-J1172</f>
        <v>1001.88</v>
      </c>
      <c r="L1172" s="5" t="n">
        <f aca="false">IFERROR(K1172/I1172,0)</f>
        <v>0.428186783598738</v>
      </c>
    </row>
    <row r="1173" customFormat="false" ht="15" hidden="false" customHeight="false" outlineLevel="0" collapsed="false">
      <c r="A1173" s="2" t="s">
        <v>52</v>
      </c>
      <c r="B1173" s="2" t="s">
        <v>53</v>
      </c>
      <c r="C1173" s="2" t="s">
        <v>38</v>
      </c>
      <c r="D1173" s="2" t="s">
        <v>40</v>
      </c>
      <c r="E1173" s="3" t="n">
        <v>46023</v>
      </c>
      <c r="F1173" s="2" t="n">
        <v>14</v>
      </c>
      <c r="G1173" s="4" t="n">
        <v>74.99</v>
      </c>
      <c r="H1173" s="4" t="n">
        <v>40.2</v>
      </c>
      <c r="I1173" s="4" t="n">
        <f aca="false">F1173*G1173</f>
        <v>1049.86</v>
      </c>
      <c r="J1173" s="4" t="n">
        <f aca="false">F1173*H1173</f>
        <v>562.8</v>
      </c>
      <c r="K1173" s="4" t="n">
        <f aca="false">I1173-J1173</f>
        <v>487.06</v>
      </c>
      <c r="L1173" s="5" t="n">
        <f aca="false">IFERROR(K1173/I1173,0)</f>
        <v>0.463928523803174</v>
      </c>
    </row>
    <row r="1174" customFormat="false" ht="15" hidden="false" customHeight="false" outlineLevel="0" collapsed="false">
      <c r="A1174" s="2" t="s">
        <v>52</v>
      </c>
      <c r="B1174" s="2" t="s">
        <v>53</v>
      </c>
      <c r="C1174" s="2" t="s">
        <v>38</v>
      </c>
      <c r="D1174" s="2" t="s">
        <v>41</v>
      </c>
      <c r="E1174" s="3" t="n">
        <v>46023</v>
      </c>
      <c r="F1174" s="2" t="n">
        <v>23</v>
      </c>
      <c r="G1174" s="4" t="n">
        <v>19.99</v>
      </c>
      <c r="H1174" s="4" t="n">
        <v>9.83</v>
      </c>
      <c r="I1174" s="4" t="n">
        <f aca="false">F1174*G1174</f>
        <v>459.77</v>
      </c>
      <c r="J1174" s="4" t="n">
        <f aca="false">F1174*H1174</f>
        <v>226.09</v>
      </c>
      <c r="K1174" s="4" t="n">
        <f aca="false">I1174-J1174</f>
        <v>233.68</v>
      </c>
      <c r="L1174" s="5" t="n">
        <f aca="false">IFERROR(K1174/I1174,0)</f>
        <v>0.508254127063532</v>
      </c>
    </row>
    <row r="1175" customFormat="false" ht="15" hidden="false" customHeight="false" outlineLevel="0" collapsed="false">
      <c r="A1175" s="2" t="s">
        <v>52</v>
      </c>
      <c r="B1175" s="2" t="s">
        <v>53</v>
      </c>
      <c r="C1175" s="2" t="s">
        <v>38</v>
      </c>
      <c r="D1175" s="2" t="s">
        <v>42</v>
      </c>
      <c r="E1175" s="3" t="n">
        <v>46023</v>
      </c>
      <c r="F1175" s="2" t="n">
        <v>14</v>
      </c>
      <c r="G1175" s="4" t="n">
        <v>16.99</v>
      </c>
      <c r="H1175" s="4" t="n">
        <v>8.37</v>
      </c>
      <c r="I1175" s="4" t="n">
        <f aca="false">F1175*G1175</f>
        <v>237.86</v>
      </c>
      <c r="J1175" s="4" t="n">
        <f aca="false">F1175*H1175</f>
        <v>117.18</v>
      </c>
      <c r="K1175" s="4" t="n">
        <f aca="false">I1175-J1175</f>
        <v>120.68</v>
      </c>
      <c r="L1175" s="5" t="n">
        <f aca="false">IFERROR(K1175/I1175,0)</f>
        <v>0.507357268981754</v>
      </c>
    </row>
    <row r="1176" customFormat="false" ht="15" hidden="false" customHeight="false" outlineLevel="0" collapsed="false">
      <c r="A1176" s="2" t="s">
        <v>52</v>
      </c>
      <c r="B1176" s="2" t="s">
        <v>53</v>
      </c>
      <c r="C1176" s="2" t="s">
        <v>38</v>
      </c>
      <c r="D1176" s="2" t="s">
        <v>43</v>
      </c>
      <c r="E1176" s="3" t="n">
        <v>46023</v>
      </c>
      <c r="F1176" s="2" t="n">
        <v>15</v>
      </c>
      <c r="G1176" s="4" t="n">
        <v>24.99</v>
      </c>
      <c r="H1176" s="4" t="n">
        <v>12.64</v>
      </c>
      <c r="I1176" s="4" t="n">
        <f aca="false">F1176*G1176</f>
        <v>374.85</v>
      </c>
      <c r="J1176" s="4" t="n">
        <f aca="false">F1176*H1176</f>
        <v>189.6</v>
      </c>
      <c r="K1176" s="4" t="n">
        <f aca="false">I1176-J1176</f>
        <v>185.25</v>
      </c>
      <c r="L1176" s="5" t="n">
        <f aca="false">IFERROR(K1176/I1176,0)</f>
        <v>0.494197679071629</v>
      </c>
    </row>
    <row r="1177" customFormat="false" ht="15" hidden="false" customHeight="false" outlineLevel="0" collapsed="false">
      <c r="A1177" s="2" t="s">
        <v>52</v>
      </c>
      <c r="B1177" s="2" t="s">
        <v>54</v>
      </c>
      <c r="C1177" s="2" t="s">
        <v>14</v>
      </c>
      <c r="D1177" s="2" t="s">
        <v>15</v>
      </c>
      <c r="E1177" s="3" t="n">
        <v>46023</v>
      </c>
      <c r="F1177" s="2" t="n">
        <v>21</v>
      </c>
      <c r="G1177" s="4" t="n">
        <v>69.99</v>
      </c>
      <c r="H1177" s="4" t="n">
        <v>34.31</v>
      </c>
      <c r="I1177" s="4" t="n">
        <f aca="false">F1177*G1177</f>
        <v>1469.79</v>
      </c>
      <c r="J1177" s="4" t="n">
        <f aca="false">F1177*H1177</f>
        <v>720.51</v>
      </c>
      <c r="K1177" s="4" t="n">
        <f aca="false">I1177-J1177</f>
        <v>749.28</v>
      </c>
      <c r="L1177" s="5" t="n">
        <f aca="false">IFERROR(K1177/I1177,0)</f>
        <v>0.509787112444635</v>
      </c>
    </row>
    <row r="1178" customFormat="false" ht="15" hidden="false" customHeight="false" outlineLevel="0" collapsed="false">
      <c r="A1178" s="2" t="s">
        <v>52</v>
      </c>
      <c r="B1178" s="2" t="s">
        <v>54</v>
      </c>
      <c r="C1178" s="2" t="s">
        <v>14</v>
      </c>
      <c r="D1178" s="2" t="s">
        <v>16</v>
      </c>
      <c r="E1178" s="3" t="n">
        <v>46023</v>
      </c>
      <c r="F1178" s="2" t="n">
        <v>20</v>
      </c>
      <c r="G1178" s="4" t="n">
        <v>19.99</v>
      </c>
      <c r="H1178" s="4" t="n">
        <v>8.89</v>
      </c>
      <c r="I1178" s="4" t="n">
        <f aca="false">F1178*G1178</f>
        <v>399.8</v>
      </c>
      <c r="J1178" s="4" t="n">
        <f aca="false">F1178*H1178</f>
        <v>177.8</v>
      </c>
      <c r="K1178" s="4" t="n">
        <f aca="false">I1178-J1178</f>
        <v>222</v>
      </c>
      <c r="L1178" s="5" t="n">
        <f aca="false">IFERROR(K1178/I1178,0)</f>
        <v>0.55527763881941</v>
      </c>
    </row>
    <row r="1179" customFormat="false" ht="15" hidden="false" customHeight="false" outlineLevel="0" collapsed="false">
      <c r="A1179" s="2" t="s">
        <v>52</v>
      </c>
      <c r="B1179" s="2" t="s">
        <v>54</v>
      </c>
      <c r="C1179" s="2" t="s">
        <v>14</v>
      </c>
      <c r="D1179" s="2" t="s">
        <v>17</v>
      </c>
      <c r="E1179" s="3" t="n">
        <v>46023</v>
      </c>
      <c r="F1179" s="2" t="n">
        <v>17</v>
      </c>
      <c r="G1179" s="4" t="n">
        <v>79.99</v>
      </c>
      <c r="H1179" s="4" t="n">
        <v>39.55</v>
      </c>
      <c r="I1179" s="4" t="n">
        <f aca="false">F1179*G1179</f>
        <v>1359.83</v>
      </c>
      <c r="J1179" s="4" t="n">
        <f aca="false">F1179*H1179</f>
        <v>672.35</v>
      </c>
      <c r="K1179" s="4" t="n">
        <f aca="false">I1179-J1179</f>
        <v>687.48</v>
      </c>
      <c r="L1179" s="5" t="n">
        <f aca="false">IFERROR(K1179/I1179,0)</f>
        <v>0.505563195399425</v>
      </c>
    </row>
    <row r="1180" customFormat="false" ht="15" hidden="false" customHeight="false" outlineLevel="0" collapsed="false">
      <c r="A1180" s="2" t="s">
        <v>52</v>
      </c>
      <c r="B1180" s="2" t="s">
        <v>54</v>
      </c>
      <c r="C1180" s="2" t="s">
        <v>14</v>
      </c>
      <c r="D1180" s="2" t="s">
        <v>18</v>
      </c>
      <c r="E1180" s="3" t="n">
        <v>46023</v>
      </c>
      <c r="F1180" s="2" t="n">
        <v>20</v>
      </c>
      <c r="G1180" s="4" t="n">
        <v>34.99</v>
      </c>
      <c r="H1180" s="4" t="n">
        <v>14.41</v>
      </c>
      <c r="I1180" s="4" t="n">
        <f aca="false">F1180*G1180</f>
        <v>699.8</v>
      </c>
      <c r="J1180" s="4" t="n">
        <f aca="false">F1180*H1180</f>
        <v>288.2</v>
      </c>
      <c r="K1180" s="4" t="n">
        <f aca="false">I1180-J1180</f>
        <v>411.6</v>
      </c>
      <c r="L1180" s="5" t="n">
        <f aca="false">IFERROR(K1180/I1180,0)</f>
        <v>0.588168048013718</v>
      </c>
    </row>
    <row r="1181" customFormat="false" ht="15" hidden="false" customHeight="false" outlineLevel="0" collapsed="false">
      <c r="A1181" s="2" t="s">
        <v>52</v>
      </c>
      <c r="B1181" s="2" t="s">
        <v>54</v>
      </c>
      <c r="C1181" s="2" t="s">
        <v>14</v>
      </c>
      <c r="D1181" s="2" t="s">
        <v>19</v>
      </c>
      <c r="E1181" s="3" t="n">
        <v>46023</v>
      </c>
      <c r="F1181" s="2" t="n">
        <v>8</v>
      </c>
      <c r="G1181" s="4" t="n">
        <v>54.99</v>
      </c>
      <c r="H1181" s="4" t="n">
        <v>23.68</v>
      </c>
      <c r="I1181" s="4" t="n">
        <f aca="false">F1181*G1181</f>
        <v>439.92</v>
      </c>
      <c r="J1181" s="4" t="n">
        <f aca="false">F1181*H1181</f>
        <v>189.44</v>
      </c>
      <c r="K1181" s="4" t="n">
        <f aca="false">I1181-J1181</f>
        <v>250.48</v>
      </c>
      <c r="L1181" s="5" t="n">
        <f aca="false">IFERROR(K1181/I1181,0)</f>
        <v>0.569376250227314</v>
      </c>
    </row>
    <row r="1182" customFormat="false" ht="15" hidden="false" customHeight="false" outlineLevel="0" collapsed="false">
      <c r="A1182" s="2" t="s">
        <v>52</v>
      </c>
      <c r="B1182" s="2" t="s">
        <v>54</v>
      </c>
      <c r="C1182" s="2" t="s">
        <v>20</v>
      </c>
      <c r="D1182" s="2" t="s">
        <v>21</v>
      </c>
      <c r="E1182" s="3" t="n">
        <v>46023</v>
      </c>
      <c r="F1182" s="2" t="n">
        <v>15</v>
      </c>
      <c r="G1182" s="4" t="n">
        <v>44.99</v>
      </c>
      <c r="H1182" s="4" t="n">
        <v>20.83</v>
      </c>
      <c r="I1182" s="4" t="n">
        <f aca="false">F1182*G1182</f>
        <v>674.85</v>
      </c>
      <c r="J1182" s="4" t="n">
        <f aca="false">F1182*H1182</f>
        <v>312.45</v>
      </c>
      <c r="K1182" s="4" t="n">
        <f aca="false">I1182-J1182</f>
        <v>362.4</v>
      </c>
      <c r="L1182" s="5" t="n">
        <f aca="false">IFERROR(K1182/I1182,0)</f>
        <v>0.537008224049789</v>
      </c>
    </row>
    <row r="1183" customFormat="false" ht="15" hidden="false" customHeight="false" outlineLevel="0" collapsed="false">
      <c r="A1183" s="2" t="s">
        <v>52</v>
      </c>
      <c r="B1183" s="2" t="s">
        <v>54</v>
      </c>
      <c r="C1183" s="2" t="s">
        <v>20</v>
      </c>
      <c r="D1183" s="2" t="s">
        <v>22</v>
      </c>
      <c r="E1183" s="3" t="n">
        <v>46023</v>
      </c>
      <c r="F1183" s="2" t="n">
        <v>22</v>
      </c>
      <c r="G1183" s="4" t="n">
        <v>14.99</v>
      </c>
      <c r="H1183" s="4" t="n">
        <v>5.84</v>
      </c>
      <c r="I1183" s="4" t="n">
        <f aca="false">F1183*G1183</f>
        <v>329.78</v>
      </c>
      <c r="J1183" s="4" t="n">
        <f aca="false">F1183*H1183</f>
        <v>128.48</v>
      </c>
      <c r="K1183" s="4" t="n">
        <f aca="false">I1183-J1183</f>
        <v>201.3</v>
      </c>
      <c r="L1183" s="5" t="n">
        <f aca="false">IFERROR(K1183/I1183,0)</f>
        <v>0.610406937958639</v>
      </c>
    </row>
    <row r="1184" customFormat="false" ht="15" hidden="false" customHeight="false" outlineLevel="0" collapsed="false">
      <c r="A1184" s="2" t="s">
        <v>52</v>
      </c>
      <c r="B1184" s="2" t="s">
        <v>54</v>
      </c>
      <c r="C1184" s="2" t="s">
        <v>20</v>
      </c>
      <c r="D1184" s="2" t="s">
        <v>23</v>
      </c>
      <c r="E1184" s="3" t="n">
        <v>46023</v>
      </c>
      <c r="F1184" s="2" t="n">
        <v>15</v>
      </c>
      <c r="G1184" s="4" t="n">
        <v>39.99</v>
      </c>
      <c r="H1184" s="4" t="n">
        <v>16.63</v>
      </c>
      <c r="I1184" s="4" t="n">
        <f aca="false">F1184*G1184</f>
        <v>599.85</v>
      </c>
      <c r="J1184" s="4" t="n">
        <f aca="false">F1184*H1184</f>
        <v>249.45</v>
      </c>
      <c r="K1184" s="4" t="n">
        <f aca="false">I1184-J1184</f>
        <v>350.4</v>
      </c>
      <c r="L1184" s="5" t="n">
        <f aca="false">IFERROR(K1184/I1184,0)</f>
        <v>0.584146036509127</v>
      </c>
    </row>
    <row r="1185" customFormat="false" ht="15" hidden="false" customHeight="false" outlineLevel="0" collapsed="false">
      <c r="A1185" s="2" t="s">
        <v>52</v>
      </c>
      <c r="B1185" s="2" t="s">
        <v>54</v>
      </c>
      <c r="C1185" s="2" t="s">
        <v>20</v>
      </c>
      <c r="D1185" s="2" t="s">
        <v>24</v>
      </c>
      <c r="E1185" s="3" t="n">
        <v>46023</v>
      </c>
      <c r="F1185" s="2" t="n">
        <v>26</v>
      </c>
      <c r="G1185" s="4" t="n">
        <v>18.99</v>
      </c>
      <c r="H1185" s="4" t="n">
        <v>7.41</v>
      </c>
      <c r="I1185" s="4" t="n">
        <f aca="false">F1185*G1185</f>
        <v>493.74</v>
      </c>
      <c r="J1185" s="4" t="n">
        <f aca="false">F1185*H1185</f>
        <v>192.66</v>
      </c>
      <c r="K1185" s="4" t="n">
        <f aca="false">I1185-J1185</f>
        <v>301.08</v>
      </c>
      <c r="L1185" s="5" t="n">
        <f aca="false">IFERROR(K1185/I1185,0)</f>
        <v>0.609794628751975</v>
      </c>
    </row>
    <row r="1186" customFormat="false" ht="15" hidden="false" customHeight="false" outlineLevel="0" collapsed="false">
      <c r="A1186" s="2" t="s">
        <v>52</v>
      </c>
      <c r="B1186" s="2" t="s">
        <v>54</v>
      </c>
      <c r="C1186" s="2" t="s">
        <v>20</v>
      </c>
      <c r="D1186" s="2" t="s">
        <v>25</v>
      </c>
      <c r="E1186" s="3" t="n">
        <v>46023</v>
      </c>
      <c r="F1186" s="2" t="n">
        <v>14</v>
      </c>
      <c r="G1186" s="4" t="n">
        <v>42.99</v>
      </c>
      <c r="H1186" s="4" t="n">
        <v>16.27</v>
      </c>
      <c r="I1186" s="4" t="n">
        <f aca="false">F1186*G1186</f>
        <v>601.86</v>
      </c>
      <c r="J1186" s="4" t="n">
        <f aca="false">F1186*H1186</f>
        <v>227.78</v>
      </c>
      <c r="K1186" s="4" t="n">
        <f aca="false">I1186-J1186</f>
        <v>374.08</v>
      </c>
      <c r="L1186" s="5" t="n">
        <f aca="false">IFERROR(K1186/I1186,0)</f>
        <v>0.621539892998372</v>
      </c>
    </row>
    <row r="1187" customFormat="false" ht="15" hidden="false" customHeight="false" outlineLevel="0" collapsed="false">
      <c r="A1187" s="2" t="s">
        <v>52</v>
      </c>
      <c r="B1187" s="2" t="s">
        <v>54</v>
      </c>
      <c r="C1187" s="2" t="s">
        <v>26</v>
      </c>
      <c r="D1187" s="2" t="s">
        <v>27</v>
      </c>
      <c r="E1187" s="3" t="n">
        <v>46023</v>
      </c>
      <c r="F1187" s="2" t="n">
        <v>18</v>
      </c>
      <c r="G1187" s="4" t="n">
        <v>44.99</v>
      </c>
      <c r="H1187" s="4" t="n">
        <v>27.41</v>
      </c>
      <c r="I1187" s="4" t="n">
        <f aca="false">F1187*G1187</f>
        <v>809.82</v>
      </c>
      <c r="J1187" s="4" t="n">
        <f aca="false">F1187*H1187</f>
        <v>493.38</v>
      </c>
      <c r="K1187" s="4" t="n">
        <f aca="false">I1187-J1187</f>
        <v>316.44</v>
      </c>
      <c r="L1187" s="5" t="n">
        <f aca="false">IFERROR(K1187/I1187,0)</f>
        <v>0.390753500777951</v>
      </c>
    </row>
    <row r="1188" customFormat="false" ht="15" hidden="false" customHeight="false" outlineLevel="0" collapsed="false">
      <c r="A1188" s="2" t="s">
        <v>52</v>
      </c>
      <c r="B1188" s="2" t="s">
        <v>54</v>
      </c>
      <c r="C1188" s="2" t="s">
        <v>26</v>
      </c>
      <c r="D1188" s="2" t="s">
        <v>28</v>
      </c>
      <c r="E1188" s="3" t="n">
        <v>46023</v>
      </c>
      <c r="F1188" s="2" t="n">
        <v>11</v>
      </c>
      <c r="G1188" s="4" t="n">
        <v>34.99</v>
      </c>
      <c r="H1188" s="4" t="n">
        <v>22.82</v>
      </c>
      <c r="I1188" s="4" t="n">
        <f aca="false">F1188*G1188</f>
        <v>384.89</v>
      </c>
      <c r="J1188" s="4" t="n">
        <f aca="false">F1188*H1188</f>
        <v>251.02</v>
      </c>
      <c r="K1188" s="4" t="n">
        <f aca="false">I1188-J1188</f>
        <v>133.87</v>
      </c>
      <c r="L1188" s="5" t="n">
        <f aca="false">IFERROR(K1188/I1188,0)</f>
        <v>0.347813661046013</v>
      </c>
    </row>
    <row r="1189" customFormat="false" ht="15" hidden="false" customHeight="false" outlineLevel="0" collapsed="false">
      <c r="A1189" s="2" t="s">
        <v>52</v>
      </c>
      <c r="B1189" s="2" t="s">
        <v>54</v>
      </c>
      <c r="C1189" s="2" t="s">
        <v>26</v>
      </c>
      <c r="D1189" s="2" t="s">
        <v>29</v>
      </c>
      <c r="E1189" s="3" t="n">
        <v>46023</v>
      </c>
      <c r="F1189" s="2" t="n">
        <v>14</v>
      </c>
      <c r="G1189" s="4" t="n">
        <v>119.99</v>
      </c>
      <c r="H1189" s="4" t="n">
        <v>81.45</v>
      </c>
      <c r="I1189" s="4" t="n">
        <f aca="false">F1189*G1189</f>
        <v>1679.86</v>
      </c>
      <c r="J1189" s="4" t="n">
        <f aca="false">F1189*H1189</f>
        <v>1140.3</v>
      </c>
      <c r="K1189" s="4" t="n">
        <f aca="false">I1189-J1189</f>
        <v>539.56</v>
      </c>
      <c r="L1189" s="5" t="n">
        <f aca="false">IFERROR(K1189/I1189,0)</f>
        <v>0.321193432786066</v>
      </c>
    </row>
    <row r="1190" customFormat="false" ht="15" hidden="false" customHeight="false" outlineLevel="0" collapsed="false">
      <c r="A1190" s="2" t="s">
        <v>52</v>
      </c>
      <c r="B1190" s="2" t="s">
        <v>54</v>
      </c>
      <c r="C1190" s="2" t="s">
        <v>26</v>
      </c>
      <c r="D1190" s="2" t="s">
        <v>30</v>
      </c>
      <c r="E1190" s="3" t="n">
        <v>46023</v>
      </c>
      <c r="F1190" s="2" t="n">
        <v>22</v>
      </c>
      <c r="G1190" s="4" t="n">
        <v>24.99</v>
      </c>
      <c r="H1190" s="4" t="n">
        <v>14.69</v>
      </c>
      <c r="I1190" s="4" t="n">
        <f aca="false">F1190*G1190</f>
        <v>549.78</v>
      </c>
      <c r="J1190" s="4" t="n">
        <f aca="false">F1190*H1190</f>
        <v>323.18</v>
      </c>
      <c r="K1190" s="4" t="n">
        <f aca="false">I1190-J1190</f>
        <v>226.6</v>
      </c>
      <c r="L1190" s="5" t="n">
        <f aca="false">IFERROR(K1190/I1190,0)</f>
        <v>0.412164865946379</v>
      </c>
    </row>
    <row r="1191" customFormat="false" ht="15" hidden="false" customHeight="false" outlineLevel="0" collapsed="false">
      <c r="A1191" s="2" t="s">
        <v>52</v>
      </c>
      <c r="B1191" s="2" t="s">
        <v>54</v>
      </c>
      <c r="C1191" s="2" t="s">
        <v>26</v>
      </c>
      <c r="D1191" s="2" t="s">
        <v>31</v>
      </c>
      <c r="E1191" s="3" t="n">
        <v>46023</v>
      </c>
      <c r="F1191" s="2" t="n">
        <v>21</v>
      </c>
      <c r="G1191" s="4" t="n">
        <v>59.99</v>
      </c>
      <c r="H1191" s="4" t="n">
        <v>39.91</v>
      </c>
      <c r="I1191" s="4" t="n">
        <f aca="false">F1191*G1191</f>
        <v>1259.79</v>
      </c>
      <c r="J1191" s="4" t="n">
        <f aca="false">F1191*H1191</f>
        <v>838.11</v>
      </c>
      <c r="K1191" s="4" t="n">
        <f aca="false">I1191-J1191</f>
        <v>421.68</v>
      </c>
      <c r="L1191" s="5" t="n">
        <f aca="false">IFERROR(K1191/I1191,0)</f>
        <v>0.33472245374229</v>
      </c>
    </row>
    <row r="1192" customFormat="false" ht="15" hidden="false" customHeight="false" outlineLevel="0" collapsed="false">
      <c r="A1192" s="2" t="s">
        <v>52</v>
      </c>
      <c r="B1192" s="2" t="s">
        <v>54</v>
      </c>
      <c r="C1192" s="2" t="s">
        <v>32</v>
      </c>
      <c r="D1192" s="2" t="s">
        <v>33</v>
      </c>
      <c r="E1192" s="3" t="n">
        <v>46023</v>
      </c>
      <c r="F1192" s="2" t="n">
        <v>24</v>
      </c>
      <c r="G1192" s="4" t="n">
        <v>49.99</v>
      </c>
      <c r="H1192" s="4" t="n">
        <v>36.14</v>
      </c>
      <c r="I1192" s="4" t="n">
        <f aca="false">F1192*G1192</f>
        <v>1199.76</v>
      </c>
      <c r="J1192" s="4" t="n">
        <f aca="false">F1192*H1192</f>
        <v>867.36</v>
      </c>
      <c r="K1192" s="4" t="n">
        <f aca="false">I1192-J1192</f>
        <v>332.4</v>
      </c>
      <c r="L1192" s="5" t="n">
        <f aca="false">IFERROR(K1192/I1192,0)</f>
        <v>0.277055411082216</v>
      </c>
    </row>
    <row r="1193" customFormat="false" ht="15" hidden="false" customHeight="false" outlineLevel="0" collapsed="false">
      <c r="A1193" s="2" t="s">
        <v>52</v>
      </c>
      <c r="B1193" s="2" t="s">
        <v>54</v>
      </c>
      <c r="C1193" s="2" t="s">
        <v>32</v>
      </c>
      <c r="D1193" s="2" t="s">
        <v>34</v>
      </c>
      <c r="E1193" s="3" t="n">
        <v>46023</v>
      </c>
      <c r="F1193" s="2" t="n">
        <v>14</v>
      </c>
      <c r="G1193" s="4" t="n">
        <v>27.99</v>
      </c>
      <c r="H1193" s="4" t="n">
        <v>20.01</v>
      </c>
      <c r="I1193" s="4" t="n">
        <f aca="false">F1193*G1193</f>
        <v>391.86</v>
      </c>
      <c r="J1193" s="4" t="n">
        <f aca="false">F1193*H1193</f>
        <v>280.14</v>
      </c>
      <c r="K1193" s="4" t="n">
        <f aca="false">I1193-J1193</f>
        <v>111.72</v>
      </c>
      <c r="L1193" s="5" t="n">
        <f aca="false">IFERROR(K1193/I1193,0)</f>
        <v>0.285101822079314</v>
      </c>
    </row>
    <row r="1194" customFormat="false" ht="15" hidden="false" customHeight="false" outlineLevel="0" collapsed="false">
      <c r="A1194" s="2" t="s">
        <v>52</v>
      </c>
      <c r="B1194" s="2" t="s">
        <v>54</v>
      </c>
      <c r="C1194" s="2" t="s">
        <v>32</v>
      </c>
      <c r="D1194" s="2" t="s">
        <v>35</v>
      </c>
      <c r="E1194" s="3" t="n">
        <v>46023</v>
      </c>
      <c r="F1194" s="2" t="n">
        <v>21</v>
      </c>
      <c r="G1194" s="4" t="n">
        <v>64.99</v>
      </c>
      <c r="H1194" s="4" t="n">
        <v>45.98</v>
      </c>
      <c r="I1194" s="4" t="n">
        <f aca="false">F1194*G1194</f>
        <v>1364.79</v>
      </c>
      <c r="J1194" s="4" t="n">
        <f aca="false">F1194*H1194</f>
        <v>965.58</v>
      </c>
      <c r="K1194" s="4" t="n">
        <f aca="false">I1194-J1194</f>
        <v>399.21</v>
      </c>
      <c r="L1194" s="5" t="n">
        <f aca="false">IFERROR(K1194/I1194,0)</f>
        <v>0.29250653946761</v>
      </c>
    </row>
    <row r="1195" customFormat="false" ht="15" hidden="false" customHeight="false" outlineLevel="0" collapsed="false">
      <c r="A1195" s="2" t="s">
        <v>52</v>
      </c>
      <c r="B1195" s="2" t="s">
        <v>54</v>
      </c>
      <c r="C1195" s="2" t="s">
        <v>32</v>
      </c>
      <c r="D1195" s="2" t="s">
        <v>36</v>
      </c>
      <c r="E1195" s="3" t="n">
        <v>46023</v>
      </c>
      <c r="F1195" s="2" t="n">
        <v>19</v>
      </c>
      <c r="G1195" s="4" t="n">
        <v>22.99</v>
      </c>
      <c r="H1195" s="4" t="n">
        <v>17.23</v>
      </c>
      <c r="I1195" s="4" t="n">
        <f aca="false">F1195*G1195</f>
        <v>436.81</v>
      </c>
      <c r="J1195" s="4" t="n">
        <f aca="false">F1195*H1195</f>
        <v>327.37</v>
      </c>
      <c r="K1195" s="4" t="n">
        <f aca="false">I1195-J1195</f>
        <v>109.44</v>
      </c>
      <c r="L1195" s="5" t="n">
        <f aca="false">IFERROR(K1195/I1195,0)</f>
        <v>0.250543714658547</v>
      </c>
    </row>
    <row r="1196" customFormat="false" ht="15" hidden="false" customHeight="false" outlineLevel="0" collapsed="false">
      <c r="A1196" s="2" t="s">
        <v>52</v>
      </c>
      <c r="B1196" s="2" t="s">
        <v>54</v>
      </c>
      <c r="C1196" s="2" t="s">
        <v>32</v>
      </c>
      <c r="D1196" s="2" t="s">
        <v>37</v>
      </c>
      <c r="E1196" s="3" t="n">
        <v>46023</v>
      </c>
      <c r="F1196" s="2" t="n">
        <v>19</v>
      </c>
      <c r="G1196" s="4" t="n">
        <v>29.99</v>
      </c>
      <c r="H1196" s="4" t="n">
        <v>20.88</v>
      </c>
      <c r="I1196" s="4" t="n">
        <f aca="false">F1196*G1196</f>
        <v>569.81</v>
      </c>
      <c r="J1196" s="4" t="n">
        <f aca="false">F1196*H1196</f>
        <v>396.72</v>
      </c>
      <c r="K1196" s="4" t="n">
        <f aca="false">I1196-J1196</f>
        <v>173.09</v>
      </c>
      <c r="L1196" s="5" t="n">
        <f aca="false">IFERROR(K1196/I1196,0)</f>
        <v>0.30376792264088</v>
      </c>
    </row>
    <row r="1197" customFormat="false" ht="15" hidden="false" customHeight="false" outlineLevel="0" collapsed="false">
      <c r="A1197" s="2" t="s">
        <v>52</v>
      </c>
      <c r="B1197" s="2" t="s">
        <v>54</v>
      </c>
      <c r="C1197" s="2" t="s">
        <v>38</v>
      </c>
      <c r="D1197" s="2" t="s">
        <v>39</v>
      </c>
      <c r="E1197" s="3" t="n">
        <v>46023</v>
      </c>
      <c r="F1197" s="2" t="n">
        <v>18</v>
      </c>
      <c r="G1197" s="4" t="n">
        <v>129.99</v>
      </c>
      <c r="H1197" s="4" t="n">
        <v>76.6</v>
      </c>
      <c r="I1197" s="4" t="n">
        <f aca="false">F1197*G1197</f>
        <v>2339.82</v>
      </c>
      <c r="J1197" s="4" t="n">
        <f aca="false">F1197*H1197</f>
        <v>1378.8</v>
      </c>
      <c r="K1197" s="4" t="n">
        <f aca="false">I1197-J1197</f>
        <v>961.02</v>
      </c>
      <c r="L1197" s="5" t="n">
        <f aca="false">IFERROR(K1197/I1197,0)</f>
        <v>0.410723901838603</v>
      </c>
    </row>
    <row r="1198" customFormat="false" ht="15" hidden="false" customHeight="false" outlineLevel="0" collapsed="false">
      <c r="A1198" s="2" t="s">
        <v>52</v>
      </c>
      <c r="B1198" s="2" t="s">
        <v>54</v>
      </c>
      <c r="C1198" s="2" t="s">
        <v>38</v>
      </c>
      <c r="D1198" s="2" t="s">
        <v>40</v>
      </c>
      <c r="E1198" s="3" t="n">
        <v>46023</v>
      </c>
      <c r="F1198" s="2" t="n">
        <v>18</v>
      </c>
      <c r="G1198" s="4" t="n">
        <v>74.99</v>
      </c>
      <c r="H1198" s="4" t="n">
        <v>40.61</v>
      </c>
      <c r="I1198" s="4" t="n">
        <f aca="false">F1198*G1198</f>
        <v>1349.82</v>
      </c>
      <c r="J1198" s="4" t="n">
        <f aca="false">F1198*H1198</f>
        <v>730.98</v>
      </c>
      <c r="K1198" s="4" t="n">
        <f aca="false">I1198-J1198</f>
        <v>618.84</v>
      </c>
      <c r="L1198" s="5" t="n">
        <f aca="false">IFERROR(K1198/I1198,0)</f>
        <v>0.45846112815042</v>
      </c>
    </row>
    <row r="1199" customFormat="false" ht="15" hidden="false" customHeight="false" outlineLevel="0" collapsed="false">
      <c r="A1199" s="2" t="s">
        <v>52</v>
      </c>
      <c r="B1199" s="2" t="s">
        <v>54</v>
      </c>
      <c r="C1199" s="2" t="s">
        <v>38</v>
      </c>
      <c r="D1199" s="2" t="s">
        <v>41</v>
      </c>
      <c r="E1199" s="3" t="n">
        <v>46023</v>
      </c>
      <c r="F1199" s="2" t="n">
        <v>15</v>
      </c>
      <c r="G1199" s="4" t="n">
        <v>19.99</v>
      </c>
      <c r="H1199" s="4" t="n">
        <v>9.39</v>
      </c>
      <c r="I1199" s="4" t="n">
        <f aca="false">F1199*G1199</f>
        <v>299.85</v>
      </c>
      <c r="J1199" s="4" t="n">
        <f aca="false">F1199*H1199</f>
        <v>140.85</v>
      </c>
      <c r="K1199" s="4" t="n">
        <f aca="false">I1199-J1199</f>
        <v>159</v>
      </c>
      <c r="L1199" s="5" t="n">
        <f aca="false">IFERROR(K1199/I1199,0)</f>
        <v>0.530265132566283</v>
      </c>
    </row>
    <row r="1200" customFormat="false" ht="15" hidden="false" customHeight="false" outlineLevel="0" collapsed="false">
      <c r="A1200" s="2" t="s">
        <v>52</v>
      </c>
      <c r="B1200" s="2" t="s">
        <v>54</v>
      </c>
      <c r="C1200" s="2" t="s">
        <v>38</v>
      </c>
      <c r="D1200" s="2" t="s">
        <v>42</v>
      </c>
      <c r="E1200" s="3" t="n">
        <v>46023</v>
      </c>
      <c r="F1200" s="2" t="n">
        <v>17</v>
      </c>
      <c r="G1200" s="4" t="n">
        <v>16.99</v>
      </c>
      <c r="H1200" s="4" t="n">
        <v>8.47</v>
      </c>
      <c r="I1200" s="4" t="n">
        <f aca="false">F1200*G1200</f>
        <v>288.83</v>
      </c>
      <c r="J1200" s="4" t="n">
        <f aca="false">F1200*H1200</f>
        <v>143.99</v>
      </c>
      <c r="K1200" s="4" t="n">
        <f aca="false">I1200-J1200</f>
        <v>144.84</v>
      </c>
      <c r="L1200" s="5" t="n">
        <f aca="false">IFERROR(K1200/I1200,0)</f>
        <v>0.501471453796351</v>
      </c>
    </row>
    <row r="1201" customFormat="false" ht="15" hidden="false" customHeight="false" outlineLevel="0" collapsed="false">
      <c r="A1201" s="2" t="s">
        <v>52</v>
      </c>
      <c r="B1201" s="2" t="s">
        <v>54</v>
      </c>
      <c r="C1201" s="2" t="s">
        <v>38</v>
      </c>
      <c r="D1201" s="2" t="s">
        <v>43</v>
      </c>
      <c r="E1201" s="3" t="n">
        <v>46023</v>
      </c>
      <c r="F1201" s="2" t="n">
        <v>19</v>
      </c>
      <c r="G1201" s="4" t="n">
        <v>24.99</v>
      </c>
      <c r="H1201" s="4" t="n">
        <v>13.37</v>
      </c>
      <c r="I1201" s="4" t="n">
        <f aca="false">F1201*G1201</f>
        <v>474.81</v>
      </c>
      <c r="J1201" s="4" t="n">
        <f aca="false">F1201*H1201</f>
        <v>254.03</v>
      </c>
      <c r="K1201" s="4" t="n">
        <f aca="false">I1201-J1201</f>
        <v>220.78</v>
      </c>
      <c r="L1201" s="5" t="n">
        <f aca="false">IFERROR(K1201/I1201,0)</f>
        <v>0.464985994397759</v>
      </c>
    </row>
    <row r="1202" customFormat="false" ht="15" hidden="false" customHeight="false" outlineLevel="0" collapsed="false">
      <c r="A1202" s="2" t="s">
        <v>12</v>
      </c>
      <c r="B1202" s="2" t="s">
        <v>13</v>
      </c>
      <c r="C1202" s="2" t="s">
        <v>14</v>
      </c>
      <c r="D1202" s="2" t="s">
        <v>15</v>
      </c>
      <c r="E1202" s="3" t="n">
        <v>46054</v>
      </c>
      <c r="F1202" s="2" t="n">
        <v>11</v>
      </c>
      <c r="G1202" s="4" t="n">
        <v>69.99</v>
      </c>
      <c r="H1202" s="4" t="n">
        <v>33.32</v>
      </c>
      <c r="I1202" s="4" t="n">
        <f aca="false">F1202*G1202</f>
        <v>769.89</v>
      </c>
      <c r="J1202" s="4" t="n">
        <f aca="false">F1202*H1202</f>
        <v>366.52</v>
      </c>
      <c r="K1202" s="4" t="n">
        <f aca="false">I1202-J1202</f>
        <v>403.37</v>
      </c>
      <c r="L1202" s="5" t="n">
        <f aca="false">IFERROR(K1202/I1202,0)</f>
        <v>0.523931990284326</v>
      </c>
    </row>
    <row r="1203" customFormat="false" ht="15" hidden="false" customHeight="false" outlineLevel="0" collapsed="false">
      <c r="A1203" s="2" t="s">
        <v>12</v>
      </c>
      <c r="B1203" s="2" t="s">
        <v>13</v>
      </c>
      <c r="C1203" s="2" t="s">
        <v>14</v>
      </c>
      <c r="D1203" s="2" t="s">
        <v>16</v>
      </c>
      <c r="E1203" s="3" t="n">
        <v>46054</v>
      </c>
      <c r="F1203" s="2" t="n">
        <v>20</v>
      </c>
      <c r="G1203" s="4" t="n">
        <v>19.99</v>
      </c>
      <c r="H1203" s="4" t="n">
        <v>9.01</v>
      </c>
      <c r="I1203" s="4" t="n">
        <f aca="false">F1203*G1203</f>
        <v>399.8</v>
      </c>
      <c r="J1203" s="4" t="n">
        <f aca="false">F1203*H1203</f>
        <v>180.2</v>
      </c>
      <c r="K1203" s="4" t="n">
        <f aca="false">I1203-J1203</f>
        <v>219.6</v>
      </c>
      <c r="L1203" s="5" t="n">
        <f aca="false">IFERROR(K1203/I1203,0)</f>
        <v>0.549274637318659</v>
      </c>
    </row>
    <row r="1204" customFormat="false" ht="15" hidden="false" customHeight="false" outlineLevel="0" collapsed="false">
      <c r="A1204" s="2" t="s">
        <v>12</v>
      </c>
      <c r="B1204" s="2" t="s">
        <v>13</v>
      </c>
      <c r="C1204" s="2" t="s">
        <v>14</v>
      </c>
      <c r="D1204" s="2" t="s">
        <v>17</v>
      </c>
      <c r="E1204" s="3" t="n">
        <v>46054</v>
      </c>
      <c r="F1204" s="2" t="n">
        <v>21</v>
      </c>
      <c r="G1204" s="4" t="n">
        <v>79.99</v>
      </c>
      <c r="H1204" s="4" t="n">
        <v>41.01</v>
      </c>
      <c r="I1204" s="4" t="n">
        <f aca="false">F1204*G1204</f>
        <v>1679.79</v>
      </c>
      <c r="J1204" s="4" t="n">
        <f aca="false">F1204*H1204</f>
        <v>861.21</v>
      </c>
      <c r="K1204" s="4" t="n">
        <f aca="false">I1204-J1204</f>
        <v>818.58</v>
      </c>
      <c r="L1204" s="5" t="n">
        <f aca="false">IFERROR(K1204/I1204,0)</f>
        <v>0.487310913864233</v>
      </c>
    </row>
    <row r="1205" customFormat="false" ht="15" hidden="false" customHeight="false" outlineLevel="0" collapsed="false">
      <c r="A1205" s="2" t="s">
        <v>12</v>
      </c>
      <c r="B1205" s="2" t="s">
        <v>13</v>
      </c>
      <c r="C1205" s="2" t="s">
        <v>14</v>
      </c>
      <c r="D1205" s="2" t="s">
        <v>18</v>
      </c>
      <c r="E1205" s="3" t="n">
        <v>46054</v>
      </c>
      <c r="F1205" s="2" t="n">
        <v>18</v>
      </c>
      <c r="G1205" s="4" t="n">
        <v>34.99</v>
      </c>
      <c r="H1205" s="4" t="n">
        <v>14.33</v>
      </c>
      <c r="I1205" s="4" t="n">
        <f aca="false">F1205*G1205</f>
        <v>629.82</v>
      </c>
      <c r="J1205" s="4" t="n">
        <f aca="false">F1205*H1205</f>
        <v>257.94</v>
      </c>
      <c r="K1205" s="4" t="n">
        <f aca="false">I1205-J1205</f>
        <v>371.88</v>
      </c>
      <c r="L1205" s="5" t="n">
        <f aca="false">IFERROR(K1205/I1205,0)</f>
        <v>0.590454415547299</v>
      </c>
    </row>
    <row r="1206" customFormat="false" ht="15" hidden="false" customHeight="false" outlineLevel="0" collapsed="false">
      <c r="A1206" s="2" t="s">
        <v>12</v>
      </c>
      <c r="B1206" s="2" t="s">
        <v>13</v>
      </c>
      <c r="C1206" s="2" t="s">
        <v>14</v>
      </c>
      <c r="D1206" s="2" t="s">
        <v>19</v>
      </c>
      <c r="E1206" s="3" t="n">
        <v>46054</v>
      </c>
      <c r="F1206" s="2" t="n">
        <v>17</v>
      </c>
      <c r="G1206" s="4" t="n">
        <v>54.99</v>
      </c>
      <c r="H1206" s="4" t="n">
        <v>24.08</v>
      </c>
      <c r="I1206" s="4" t="n">
        <f aca="false">F1206*G1206</f>
        <v>934.83</v>
      </c>
      <c r="J1206" s="4" t="n">
        <f aca="false">F1206*H1206</f>
        <v>409.36</v>
      </c>
      <c r="K1206" s="4" t="n">
        <f aca="false">I1206-J1206</f>
        <v>525.47</v>
      </c>
      <c r="L1206" s="5" t="n">
        <f aca="false">IFERROR(K1206/I1206,0)</f>
        <v>0.562102200400073</v>
      </c>
    </row>
    <row r="1207" customFormat="false" ht="15" hidden="false" customHeight="false" outlineLevel="0" collapsed="false">
      <c r="A1207" s="2" t="s">
        <v>12</v>
      </c>
      <c r="B1207" s="2" t="s">
        <v>13</v>
      </c>
      <c r="C1207" s="2" t="s">
        <v>20</v>
      </c>
      <c r="D1207" s="2" t="s">
        <v>21</v>
      </c>
      <c r="E1207" s="3" t="n">
        <v>46054</v>
      </c>
      <c r="F1207" s="2" t="n">
        <v>8</v>
      </c>
      <c r="G1207" s="4" t="n">
        <v>44.99</v>
      </c>
      <c r="H1207" s="4" t="n">
        <v>20.15</v>
      </c>
      <c r="I1207" s="4" t="n">
        <f aca="false">F1207*G1207</f>
        <v>359.92</v>
      </c>
      <c r="J1207" s="4" t="n">
        <f aca="false">F1207*H1207</f>
        <v>161.2</v>
      </c>
      <c r="K1207" s="4" t="n">
        <f aca="false">I1207-J1207</f>
        <v>198.72</v>
      </c>
      <c r="L1207" s="5" t="n">
        <f aca="false">IFERROR(K1207/I1207,0)</f>
        <v>0.552122693931985</v>
      </c>
    </row>
    <row r="1208" customFormat="false" ht="15" hidden="false" customHeight="false" outlineLevel="0" collapsed="false">
      <c r="A1208" s="2" t="s">
        <v>12</v>
      </c>
      <c r="B1208" s="2" t="s">
        <v>13</v>
      </c>
      <c r="C1208" s="2" t="s">
        <v>20</v>
      </c>
      <c r="D1208" s="2" t="s">
        <v>22</v>
      </c>
      <c r="E1208" s="3" t="n">
        <v>46054</v>
      </c>
      <c r="F1208" s="2" t="n">
        <v>18</v>
      </c>
      <c r="G1208" s="4" t="n">
        <v>14.99</v>
      </c>
      <c r="H1208" s="4" t="n">
        <v>5.68</v>
      </c>
      <c r="I1208" s="4" t="n">
        <f aca="false">F1208*G1208</f>
        <v>269.82</v>
      </c>
      <c r="J1208" s="4" t="n">
        <f aca="false">F1208*H1208</f>
        <v>102.24</v>
      </c>
      <c r="K1208" s="4" t="n">
        <f aca="false">I1208-J1208</f>
        <v>167.58</v>
      </c>
      <c r="L1208" s="5" t="n">
        <f aca="false">IFERROR(K1208/I1208,0)</f>
        <v>0.62108072048032</v>
      </c>
    </row>
    <row r="1209" customFormat="false" ht="15" hidden="false" customHeight="false" outlineLevel="0" collapsed="false">
      <c r="A1209" s="2" t="s">
        <v>12</v>
      </c>
      <c r="B1209" s="2" t="s">
        <v>13</v>
      </c>
      <c r="C1209" s="2" t="s">
        <v>20</v>
      </c>
      <c r="D1209" s="2" t="s">
        <v>23</v>
      </c>
      <c r="E1209" s="3" t="n">
        <v>46054</v>
      </c>
      <c r="F1209" s="2" t="n">
        <v>16</v>
      </c>
      <c r="G1209" s="4" t="n">
        <v>39.99</v>
      </c>
      <c r="H1209" s="4" t="n">
        <v>16.76</v>
      </c>
      <c r="I1209" s="4" t="n">
        <f aca="false">F1209*G1209</f>
        <v>639.84</v>
      </c>
      <c r="J1209" s="4" t="n">
        <f aca="false">F1209*H1209</f>
        <v>268.16</v>
      </c>
      <c r="K1209" s="4" t="n">
        <f aca="false">I1209-J1209</f>
        <v>371.68</v>
      </c>
      <c r="L1209" s="5" t="n">
        <f aca="false">IFERROR(K1209/I1209,0)</f>
        <v>0.580895223805952</v>
      </c>
    </row>
    <row r="1210" customFormat="false" ht="15" hidden="false" customHeight="false" outlineLevel="0" collapsed="false">
      <c r="A1210" s="2" t="s">
        <v>12</v>
      </c>
      <c r="B1210" s="2" t="s">
        <v>13</v>
      </c>
      <c r="C1210" s="2" t="s">
        <v>20</v>
      </c>
      <c r="D1210" s="2" t="s">
        <v>24</v>
      </c>
      <c r="E1210" s="3" t="n">
        <v>46054</v>
      </c>
      <c r="F1210" s="2" t="n">
        <v>17</v>
      </c>
      <c r="G1210" s="4" t="n">
        <v>18.99</v>
      </c>
      <c r="H1210" s="4" t="n">
        <v>7.8</v>
      </c>
      <c r="I1210" s="4" t="n">
        <f aca="false">F1210*G1210</f>
        <v>322.83</v>
      </c>
      <c r="J1210" s="4" t="n">
        <f aca="false">F1210*H1210</f>
        <v>132.6</v>
      </c>
      <c r="K1210" s="4" t="n">
        <f aca="false">I1210-J1210</f>
        <v>190.23</v>
      </c>
      <c r="L1210" s="5" t="n">
        <f aca="false">IFERROR(K1210/I1210,0)</f>
        <v>0.589257503949447</v>
      </c>
    </row>
    <row r="1211" customFormat="false" ht="15" hidden="false" customHeight="false" outlineLevel="0" collapsed="false">
      <c r="A1211" s="2" t="s">
        <v>12</v>
      </c>
      <c r="B1211" s="2" t="s">
        <v>13</v>
      </c>
      <c r="C1211" s="2" t="s">
        <v>20</v>
      </c>
      <c r="D1211" s="2" t="s">
        <v>25</v>
      </c>
      <c r="E1211" s="3" t="n">
        <v>46054</v>
      </c>
      <c r="F1211" s="2" t="n">
        <v>14</v>
      </c>
      <c r="G1211" s="4" t="n">
        <v>42.99</v>
      </c>
      <c r="H1211" s="4" t="n">
        <v>16.3</v>
      </c>
      <c r="I1211" s="4" t="n">
        <f aca="false">F1211*G1211</f>
        <v>601.86</v>
      </c>
      <c r="J1211" s="4" t="n">
        <f aca="false">F1211*H1211</f>
        <v>228.2</v>
      </c>
      <c r="K1211" s="4" t="n">
        <f aca="false">I1211-J1211</f>
        <v>373.66</v>
      </c>
      <c r="L1211" s="5" t="n">
        <f aca="false">IFERROR(K1211/I1211,0)</f>
        <v>0.620842056292161</v>
      </c>
    </row>
    <row r="1212" customFormat="false" ht="15" hidden="false" customHeight="false" outlineLevel="0" collapsed="false">
      <c r="A1212" s="2" t="s">
        <v>12</v>
      </c>
      <c r="B1212" s="2" t="s">
        <v>13</v>
      </c>
      <c r="C1212" s="2" t="s">
        <v>26</v>
      </c>
      <c r="D1212" s="2" t="s">
        <v>27</v>
      </c>
      <c r="E1212" s="3" t="n">
        <v>46054</v>
      </c>
      <c r="F1212" s="2" t="n">
        <v>16</v>
      </c>
      <c r="G1212" s="4" t="n">
        <v>44.99</v>
      </c>
      <c r="H1212" s="4" t="n">
        <v>28.22</v>
      </c>
      <c r="I1212" s="4" t="n">
        <f aca="false">F1212*G1212</f>
        <v>719.84</v>
      </c>
      <c r="J1212" s="4" t="n">
        <f aca="false">F1212*H1212</f>
        <v>451.52</v>
      </c>
      <c r="K1212" s="4" t="n">
        <f aca="false">I1212-J1212</f>
        <v>268.32</v>
      </c>
      <c r="L1212" s="5" t="n">
        <f aca="false">IFERROR(K1212/I1212,0)</f>
        <v>0.372749499888864</v>
      </c>
    </row>
    <row r="1213" customFormat="false" ht="15" hidden="false" customHeight="false" outlineLevel="0" collapsed="false">
      <c r="A1213" s="2" t="s">
        <v>12</v>
      </c>
      <c r="B1213" s="2" t="s">
        <v>13</v>
      </c>
      <c r="C1213" s="2" t="s">
        <v>26</v>
      </c>
      <c r="D1213" s="2" t="s">
        <v>28</v>
      </c>
      <c r="E1213" s="3" t="n">
        <v>46054</v>
      </c>
      <c r="F1213" s="2" t="n">
        <v>18</v>
      </c>
      <c r="G1213" s="4" t="n">
        <v>34.99</v>
      </c>
      <c r="H1213" s="4" t="n">
        <v>22.59</v>
      </c>
      <c r="I1213" s="4" t="n">
        <f aca="false">F1213*G1213</f>
        <v>629.82</v>
      </c>
      <c r="J1213" s="4" t="n">
        <f aca="false">F1213*H1213</f>
        <v>406.62</v>
      </c>
      <c r="K1213" s="4" t="n">
        <f aca="false">I1213-J1213</f>
        <v>223.2</v>
      </c>
      <c r="L1213" s="5" t="n">
        <f aca="false">IFERROR(K1213/I1213,0)</f>
        <v>0.354386967705059</v>
      </c>
    </row>
    <row r="1214" customFormat="false" ht="15" hidden="false" customHeight="false" outlineLevel="0" collapsed="false">
      <c r="A1214" s="2" t="s">
        <v>12</v>
      </c>
      <c r="B1214" s="2" t="s">
        <v>13</v>
      </c>
      <c r="C1214" s="2" t="s">
        <v>26</v>
      </c>
      <c r="D1214" s="2" t="s">
        <v>29</v>
      </c>
      <c r="E1214" s="3" t="n">
        <v>46054</v>
      </c>
      <c r="F1214" s="2" t="n">
        <v>21</v>
      </c>
      <c r="G1214" s="4" t="n">
        <v>119.99</v>
      </c>
      <c r="H1214" s="4" t="n">
        <v>83.85</v>
      </c>
      <c r="I1214" s="4" t="n">
        <f aca="false">F1214*G1214</f>
        <v>2519.79</v>
      </c>
      <c r="J1214" s="4" t="n">
        <f aca="false">F1214*H1214</f>
        <v>1760.85</v>
      </c>
      <c r="K1214" s="4" t="n">
        <f aca="false">I1214-J1214</f>
        <v>758.94</v>
      </c>
      <c r="L1214" s="5" t="n">
        <f aca="false">IFERROR(K1214/I1214,0)</f>
        <v>0.301191765980498</v>
      </c>
    </row>
    <row r="1215" customFormat="false" ht="15" hidden="false" customHeight="false" outlineLevel="0" collapsed="false">
      <c r="A1215" s="2" t="s">
        <v>12</v>
      </c>
      <c r="B1215" s="2" t="s">
        <v>13</v>
      </c>
      <c r="C1215" s="2" t="s">
        <v>26</v>
      </c>
      <c r="D1215" s="2" t="s">
        <v>30</v>
      </c>
      <c r="E1215" s="3" t="n">
        <v>46054</v>
      </c>
      <c r="F1215" s="2" t="n">
        <v>9</v>
      </c>
      <c r="G1215" s="4" t="n">
        <v>24.99</v>
      </c>
      <c r="H1215" s="4" t="n">
        <v>14.83</v>
      </c>
      <c r="I1215" s="4" t="n">
        <f aca="false">F1215*G1215</f>
        <v>224.91</v>
      </c>
      <c r="J1215" s="4" t="n">
        <f aca="false">F1215*H1215</f>
        <v>133.47</v>
      </c>
      <c r="K1215" s="4" t="n">
        <f aca="false">I1215-J1215</f>
        <v>91.44</v>
      </c>
      <c r="L1215" s="5" t="n">
        <f aca="false">IFERROR(K1215/I1215,0)</f>
        <v>0.40656262505002</v>
      </c>
    </row>
    <row r="1216" customFormat="false" ht="15" hidden="false" customHeight="false" outlineLevel="0" collapsed="false">
      <c r="A1216" s="2" t="s">
        <v>12</v>
      </c>
      <c r="B1216" s="2" t="s">
        <v>13</v>
      </c>
      <c r="C1216" s="2" t="s">
        <v>26</v>
      </c>
      <c r="D1216" s="2" t="s">
        <v>31</v>
      </c>
      <c r="E1216" s="3" t="n">
        <v>46054</v>
      </c>
      <c r="F1216" s="2" t="n">
        <v>16</v>
      </c>
      <c r="G1216" s="4" t="n">
        <v>59.99</v>
      </c>
      <c r="H1216" s="4" t="n">
        <v>39.56</v>
      </c>
      <c r="I1216" s="4" t="n">
        <f aca="false">F1216*G1216</f>
        <v>959.84</v>
      </c>
      <c r="J1216" s="4" t="n">
        <f aca="false">F1216*H1216</f>
        <v>632.96</v>
      </c>
      <c r="K1216" s="4" t="n">
        <f aca="false">I1216-J1216</f>
        <v>326.88</v>
      </c>
      <c r="L1216" s="5" t="n">
        <f aca="false">IFERROR(K1216/I1216,0)</f>
        <v>0.34055675945991</v>
      </c>
    </row>
    <row r="1217" customFormat="false" ht="15" hidden="false" customHeight="false" outlineLevel="0" collapsed="false">
      <c r="A1217" s="2" t="s">
        <v>12</v>
      </c>
      <c r="B1217" s="2" t="s">
        <v>13</v>
      </c>
      <c r="C1217" s="2" t="s">
        <v>32</v>
      </c>
      <c r="D1217" s="2" t="s">
        <v>33</v>
      </c>
      <c r="E1217" s="3" t="n">
        <v>46054</v>
      </c>
      <c r="F1217" s="2" t="n">
        <v>7</v>
      </c>
      <c r="G1217" s="4" t="n">
        <v>49.99</v>
      </c>
      <c r="H1217" s="4" t="n">
        <v>35.58</v>
      </c>
      <c r="I1217" s="4" t="n">
        <f aca="false">F1217*G1217</f>
        <v>349.93</v>
      </c>
      <c r="J1217" s="4" t="n">
        <f aca="false">F1217*H1217</f>
        <v>249.06</v>
      </c>
      <c r="K1217" s="4" t="n">
        <f aca="false">I1217-J1217</f>
        <v>100.87</v>
      </c>
      <c r="L1217" s="5" t="n">
        <f aca="false">IFERROR(K1217/I1217,0)</f>
        <v>0.288257651530306</v>
      </c>
    </row>
    <row r="1218" customFormat="false" ht="15" hidden="false" customHeight="false" outlineLevel="0" collapsed="false">
      <c r="A1218" s="2" t="s">
        <v>12</v>
      </c>
      <c r="B1218" s="2" t="s">
        <v>13</v>
      </c>
      <c r="C1218" s="2" t="s">
        <v>32</v>
      </c>
      <c r="D1218" s="2" t="s">
        <v>34</v>
      </c>
      <c r="E1218" s="3" t="n">
        <v>46054</v>
      </c>
      <c r="F1218" s="2" t="n">
        <v>16</v>
      </c>
      <c r="G1218" s="4" t="n">
        <v>27.99</v>
      </c>
      <c r="H1218" s="4" t="n">
        <v>19.93</v>
      </c>
      <c r="I1218" s="4" t="n">
        <f aca="false">F1218*G1218</f>
        <v>447.84</v>
      </c>
      <c r="J1218" s="4" t="n">
        <f aca="false">F1218*H1218</f>
        <v>318.88</v>
      </c>
      <c r="K1218" s="4" t="n">
        <f aca="false">I1218-J1218</f>
        <v>128.96</v>
      </c>
      <c r="L1218" s="5" t="n">
        <f aca="false">IFERROR(K1218/I1218,0)</f>
        <v>0.287959985709182</v>
      </c>
    </row>
    <row r="1219" customFormat="false" ht="15" hidden="false" customHeight="false" outlineLevel="0" collapsed="false">
      <c r="A1219" s="2" t="s">
        <v>12</v>
      </c>
      <c r="B1219" s="2" t="s">
        <v>13</v>
      </c>
      <c r="C1219" s="2" t="s">
        <v>32</v>
      </c>
      <c r="D1219" s="2" t="s">
        <v>35</v>
      </c>
      <c r="E1219" s="3" t="n">
        <v>46054</v>
      </c>
      <c r="F1219" s="2" t="n">
        <v>12</v>
      </c>
      <c r="G1219" s="4" t="n">
        <v>64.99</v>
      </c>
      <c r="H1219" s="4" t="n">
        <v>44.51</v>
      </c>
      <c r="I1219" s="4" t="n">
        <f aca="false">F1219*G1219</f>
        <v>779.88</v>
      </c>
      <c r="J1219" s="4" t="n">
        <f aca="false">F1219*H1219</f>
        <v>534.12</v>
      </c>
      <c r="K1219" s="4" t="n">
        <f aca="false">I1219-J1219</f>
        <v>245.76</v>
      </c>
      <c r="L1219" s="5" t="n">
        <f aca="false">IFERROR(K1219/I1219,0)</f>
        <v>0.315125403908293</v>
      </c>
    </row>
    <row r="1220" customFormat="false" ht="15" hidden="false" customHeight="false" outlineLevel="0" collapsed="false">
      <c r="A1220" s="2" t="s">
        <v>12</v>
      </c>
      <c r="B1220" s="2" t="s">
        <v>13</v>
      </c>
      <c r="C1220" s="2" t="s">
        <v>32</v>
      </c>
      <c r="D1220" s="2" t="s">
        <v>36</v>
      </c>
      <c r="E1220" s="3" t="n">
        <v>46054</v>
      </c>
      <c r="F1220" s="2" t="n">
        <v>20</v>
      </c>
      <c r="G1220" s="4" t="n">
        <v>22.99</v>
      </c>
      <c r="H1220" s="4" t="n">
        <v>16.82</v>
      </c>
      <c r="I1220" s="4" t="n">
        <f aca="false">F1220*G1220</f>
        <v>459.8</v>
      </c>
      <c r="J1220" s="4" t="n">
        <f aca="false">F1220*H1220</f>
        <v>336.4</v>
      </c>
      <c r="K1220" s="4" t="n">
        <f aca="false">I1220-J1220</f>
        <v>123.4</v>
      </c>
      <c r="L1220" s="5" t="n">
        <f aca="false">IFERROR(K1220/I1220,0)</f>
        <v>0.268377555458895</v>
      </c>
    </row>
    <row r="1221" customFormat="false" ht="15" hidden="false" customHeight="false" outlineLevel="0" collapsed="false">
      <c r="A1221" s="2" t="s">
        <v>12</v>
      </c>
      <c r="B1221" s="2" t="s">
        <v>13</v>
      </c>
      <c r="C1221" s="2" t="s">
        <v>32</v>
      </c>
      <c r="D1221" s="2" t="s">
        <v>37</v>
      </c>
      <c r="E1221" s="3" t="n">
        <v>46054</v>
      </c>
      <c r="F1221" s="2" t="n">
        <v>10</v>
      </c>
      <c r="G1221" s="4" t="n">
        <v>29.99</v>
      </c>
      <c r="H1221" s="4" t="n">
        <v>20.92</v>
      </c>
      <c r="I1221" s="4" t="n">
        <f aca="false">F1221*G1221</f>
        <v>299.9</v>
      </c>
      <c r="J1221" s="4" t="n">
        <f aca="false">F1221*H1221</f>
        <v>209.2</v>
      </c>
      <c r="K1221" s="4" t="n">
        <f aca="false">I1221-J1221</f>
        <v>90.7</v>
      </c>
      <c r="L1221" s="5" t="n">
        <f aca="false">IFERROR(K1221/I1221,0)</f>
        <v>0.302434144714905</v>
      </c>
    </row>
    <row r="1222" customFormat="false" ht="15" hidden="false" customHeight="false" outlineLevel="0" collapsed="false">
      <c r="A1222" s="2" t="s">
        <v>12</v>
      </c>
      <c r="B1222" s="2" t="s">
        <v>13</v>
      </c>
      <c r="C1222" s="2" t="s">
        <v>38</v>
      </c>
      <c r="D1222" s="2" t="s">
        <v>39</v>
      </c>
      <c r="E1222" s="3" t="n">
        <v>46054</v>
      </c>
      <c r="F1222" s="2" t="n">
        <v>10</v>
      </c>
      <c r="G1222" s="4" t="n">
        <v>129.99</v>
      </c>
      <c r="H1222" s="4" t="n">
        <v>76.74</v>
      </c>
      <c r="I1222" s="4" t="n">
        <f aca="false">F1222*G1222</f>
        <v>1299.9</v>
      </c>
      <c r="J1222" s="4" t="n">
        <f aca="false">F1222*H1222</f>
        <v>767.4</v>
      </c>
      <c r="K1222" s="4" t="n">
        <f aca="false">I1222-J1222</f>
        <v>532.5</v>
      </c>
      <c r="L1222" s="5" t="n">
        <f aca="false">IFERROR(K1222/I1222,0)</f>
        <v>0.409646895915071</v>
      </c>
    </row>
    <row r="1223" customFormat="false" ht="15" hidden="false" customHeight="false" outlineLevel="0" collapsed="false">
      <c r="A1223" s="2" t="s">
        <v>12</v>
      </c>
      <c r="B1223" s="2" t="s">
        <v>13</v>
      </c>
      <c r="C1223" s="2" t="s">
        <v>38</v>
      </c>
      <c r="D1223" s="2" t="s">
        <v>40</v>
      </c>
      <c r="E1223" s="3" t="n">
        <v>46054</v>
      </c>
      <c r="F1223" s="2" t="n">
        <v>9</v>
      </c>
      <c r="G1223" s="4" t="n">
        <v>74.99</v>
      </c>
      <c r="H1223" s="4" t="n">
        <v>41.31</v>
      </c>
      <c r="I1223" s="4" t="n">
        <f aca="false">F1223*G1223</f>
        <v>674.91</v>
      </c>
      <c r="J1223" s="4" t="n">
        <f aca="false">F1223*H1223</f>
        <v>371.79</v>
      </c>
      <c r="K1223" s="4" t="n">
        <f aca="false">I1223-J1223</f>
        <v>303.12</v>
      </c>
      <c r="L1223" s="5" t="n">
        <f aca="false">IFERROR(K1223/I1223,0)</f>
        <v>0.449126550206694</v>
      </c>
    </row>
    <row r="1224" customFormat="false" ht="15" hidden="false" customHeight="false" outlineLevel="0" collapsed="false">
      <c r="A1224" s="2" t="s">
        <v>12</v>
      </c>
      <c r="B1224" s="2" t="s">
        <v>13</v>
      </c>
      <c r="C1224" s="2" t="s">
        <v>38</v>
      </c>
      <c r="D1224" s="2" t="s">
        <v>41</v>
      </c>
      <c r="E1224" s="3" t="n">
        <v>46054</v>
      </c>
      <c r="F1224" s="2" t="n">
        <v>11</v>
      </c>
      <c r="G1224" s="4" t="n">
        <v>19.99</v>
      </c>
      <c r="H1224" s="4" t="n">
        <v>9.6</v>
      </c>
      <c r="I1224" s="4" t="n">
        <f aca="false">F1224*G1224</f>
        <v>219.89</v>
      </c>
      <c r="J1224" s="4" t="n">
        <f aca="false">F1224*H1224</f>
        <v>105.6</v>
      </c>
      <c r="K1224" s="4" t="n">
        <f aca="false">I1224-J1224</f>
        <v>114.29</v>
      </c>
      <c r="L1224" s="5" t="n">
        <f aca="false">IFERROR(K1224/I1224,0)</f>
        <v>0.51975987993997</v>
      </c>
    </row>
    <row r="1225" customFormat="false" ht="15" hidden="false" customHeight="false" outlineLevel="0" collapsed="false">
      <c r="A1225" s="2" t="s">
        <v>12</v>
      </c>
      <c r="B1225" s="2" t="s">
        <v>13</v>
      </c>
      <c r="C1225" s="2" t="s">
        <v>38</v>
      </c>
      <c r="D1225" s="2" t="s">
        <v>42</v>
      </c>
      <c r="E1225" s="3" t="n">
        <v>46054</v>
      </c>
      <c r="F1225" s="2" t="n">
        <v>15</v>
      </c>
      <c r="G1225" s="4" t="n">
        <v>16.99</v>
      </c>
      <c r="H1225" s="4" t="n">
        <v>8.61</v>
      </c>
      <c r="I1225" s="4" t="n">
        <f aca="false">F1225*G1225</f>
        <v>254.85</v>
      </c>
      <c r="J1225" s="4" t="n">
        <f aca="false">F1225*H1225</f>
        <v>129.15</v>
      </c>
      <c r="K1225" s="4" t="n">
        <f aca="false">I1225-J1225</f>
        <v>125.7</v>
      </c>
      <c r="L1225" s="5" t="n">
        <f aca="false">IFERROR(K1225/I1225,0)</f>
        <v>0.493231312536786</v>
      </c>
    </row>
    <row r="1226" customFormat="false" ht="15" hidden="false" customHeight="false" outlineLevel="0" collapsed="false">
      <c r="A1226" s="2" t="s">
        <v>12</v>
      </c>
      <c r="B1226" s="2" t="s">
        <v>13</v>
      </c>
      <c r="C1226" s="2" t="s">
        <v>38</v>
      </c>
      <c r="D1226" s="2" t="s">
        <v>43</v>
      </c>
      <c r="E1226" s="3" t="n">
        <v>46054</v>
      </c>
      <c r="F1226" s="2" t="n">
        <v>5</v>
      </c>
      <c r="G1226" s="4" t="n">
        <v>24.99</v>
      </c>
      <c r="H1226" s="4" t="n">
        <v>12.67</v>
      </c>
      <c r="I1226" s="4" t="n">
        <f aca="false">F1226*G1226</f>
        <v>124.95</v>
      </c>
      <c r="J1226" s="4" t="n">
        <f aca="false">F1226*H1226</f>
        <v>63.35</v>
      </c>
      <c r="K1226" s="4" t="n">
        <f aca="false">I1226-J1226</f>
        <v>61.6</v>
      </c>
      <c r="L1226" s="5" t="n">
        <f aca="false">IFERROR(K1226/I1226,0)</f>
        <v>0.492997198879552</v>
      </c>
    </row>
    <row r="1227" customFormat="false" ht="15" hidden="false" customHeight="false" outlineLevel="0" collapsed="false">
      <c r="A1227" s="2" t="s">
        <v>44</v>
      </c>
      <c r="B1227" s="2" t="s">
        <v>45</v>
      </c>
      <c r="C1227" s="2" t="s">
        <v>14</v>
      </c>
      <c r="D1227" s="2" t="s">
        <v>15</v>
      </c>
      <c r="E1227" s="3" t="n">
        <v>46054</v>
      </c>
      <c r="F1227" s="2" t="n">
        <v>14</v>
      </c>
      <c r="G1227" s="4" t="n">
        <v>69.99</v>
      </c>
      <c r="H1227" s="4" t="n">
        <v>32.59</v>
      </c>
      <c r="I1227" s="4" t="n">
        <f aca="false">F1227*G1227</f>
        <v>979.86</v>
      </c>
      <c r="J1227" s="4" t="n">
        <f aca="false">F1227*H1227</f>
        <v>456.26</v>
      </c>
      <c r="K1227" s="4" t="n">
        <f aca="false">I1227-J1227</f>
        <v>523.6</v>
      </c>
      <c r="L1227" s="5" t="n">
        <f aca="false">IFERROR(K1227/I1227,0)</f>
        <v>0.534362051721675</v>
      </c>
    </row>
    <row r="1228" customFormat="false" ht="15" hidden="false" customHeight="false" outlineLevel="0" collapsed="false">
      <c r="A1228" s="2" t="s">
        <v>44</v>
      </c>
      <c r="B1228" s="2" t="s">
        <v>45</v>
      </c>
      <c r="C1228" s="2" t="s">
        <v>14</v>
      </c>
      <c r="D1228" s="2" t="s">
        <v>16</v>
      </c>
      <c r="E1228" s="3" t="n">
        <v>46054</v>
      </c>
      <c r="F1228" s="2" t="n">
        <v>26</v>
      </c>
      <c r="G1228" s="4" t="n">
        <v>19.99</v>
      </c>
      <c r="H1228" s="4" t="n">
        <v>9.04</v>
      </c>
      <c r="I1228" s="4" t="n">
        <f aca="false">F1228*G1228</f>
        <v>519.74</v>
      </c>
      <c r="J1228" s="4" t="n">
        <f aca="false">F1228*H1228</f>
        <v>235.04</v>
      </c>
      <c r="K1228" s="4" t="n">
        <f aca="false">I1228-J1228</f>
        <v>284.7</v>
      </c>
      <c r="L1228" s="5" t="n">
        <f aca="false">IFERROR(K1228/I1228,0)</f>
        <v>0.547773886943472</v>
      </c>
    </row>
    <row r="1229" customFormat="false" ht="15" hidden="false" customHeight="false" outlineLevel="0" collapsed="false">
      <c r="A1229" s="2" t="s">
        <v>44</v>
      </c>
      <c r="B1229" s="2" t="s">
        <v>45</v>
      </c>
      <c r="C1229" s="2" t="s">
        <v>14</v>
      </c>
      <c r="D1229" s="2" t="s">
        <v>17</v>
      </c>
      <c r="E1229" s="3" t="n">
        <v>46054</v>
      </c>
      <c r="F1229" s="2" t="n">
        <v>15</v>
      </c>
      <c r="G1229" s="4" t="n">
        <v>79.99</v>
      </c>
      <c r="H1229" s="4" t="n">
        <v>40.23</v>
      </c>
      <c r="I1229" s="4" t="n">
        <f aca="false">F1229*G1229</f>
        <v>1199.85</v>
      </c>
      <c r="J1229" s="4" t="n">
        <f aca="false">F1229*H1229</f>
        <v>603.45</v>
      </c>
      <c r="K1229" s="4" t="n">
        <f aca="false">I1229-J1229</f>
        <v>596.4</v>
      </c>
      <c r="L1229" s="5" t="n">
        <f aca="false">IFERROR(K1229/I1229,0)</f>
        <v>0.497062132766596</v>
      </c>
    </row>
    <row r="1230" customFormat="false" ht="15" hidden="false" customHeight="false" outlineLevel="0" collapsed="false">
      <c r="A1230" s="2" t="s">
        <v>44</v>
      </c>
      <c r="B1230" s="2" t="s">
        <v>45</v>
      </c>
      <c r="C1230" s="2" t="s">
        <v>14</v>
      </c>
      <c r="D1230" s="2" t="s">
        <v>18</v>
      </c>
      <c r="E1230" s="3" t="n">
        <v>46054</v>
      </c>
      <c r="F1230" s="2" t="n">
        <v>15</v>
      </c>
      <c r="G1230" s="4" t="n">
        <v>34.99</v>
      </c>
      <c r="H1230" s="4" t="n">
        <v>14.36</v>
      </c>
      <c r="I1230" s="4" t="n">
        <f aca="false">F1230*G1230</f>
        <v>524.85</v>
      </c>
      <c r="J1230" s="4" t="n">
        <f aca="false">F1230*H1230</f>
        <v>215.4</v>
      </c>
      <c r="K1230" s="4" t="n">
        <f aca="false">I1230-J1230</f>
        <v>309.45</v>
      </c>
      <c r="L1230" s="5" t="n">
        <f aca="false">IFERROR(K1230/I1230,0)</f>
        <v>0.589597027722207</v>
      </c>
    </row>
    <row r="1231" customFormat="false" ht="15" hidden="false" customHeight="false" outlineLevel="0" collapsed="false">
      <c r="A1231" s="2" t="s">
        <v>44</v>
      </c>
      <c r="B1231" s="2" t="s">
        <v>45</v>
      </c>
      <c r="C1231" s="2" t="s">
        <v>14</v>
      </c>
      <c r="D1231" s="2" t="s">
        <v>19</v>
      </c>
      <c r="E1231" s="3" t="n">
        <v>46054</v>
      </c>
      <c r="F1231" s="2" t="n">
        <v>16</v>
      </c>
      <c r="G1231" s="4" t="n">
        <v>54.99</v>
      </c>
      <c r="H1231" s="4" t="n">
        <v>24.43</v>
      </c>
      <c r="I1231" s="4" t="n">
        <f aca="false">F1231*G1231</f>
        <v>879.84</v>
      </c>
      <c r="J1231" s="4" t="n">
        <f aca="false">F1231*H1231</f>
        <v>390.88</v>
      </c>
      <c r="K1231" s="4" t="n">
        <f aca="false">I1231-J1231</f>
        <v>488.96</v>
      </c>
      <c r="L1231" s="5" t="n">
        <f aca="false">IFERROR(K1231/I1231,0)</f>
        <v>0.555737406801237</v>
      </c>
    </row>
    <row r="1232" customFormat="false" ht="15" hidden="false" customHeight="false" outlineLevel="0" collapsed="false">
      <c r="A1232" s="2" t="s">
        <v>44</v>
      </c>
      <c r="B1232" s="2" t="s">
        <v>45</v>
      </c>
      <c r="C1232" s="2" t="s">
        <v>20</v>
      </c>
      <c r="D1232" s="2" t="s">
        <v>21</v>
      </c>
      <c r="E1232" s="3" t="n">
        <v>46054</v>
      </c>
      <c r="F1232" s="2" t="n">
        <v>20</v>
      </c>
      <c r="G1232" s="4" t="n">
        <v>44.99</v>
      </c>
      <c r="H1232" s="4" t="n">
        <v>20.39</v>
      </c>
      <c r="I1232" s="4" t="n">
        <f aca="false">F1232*G1232</f>
        <v>899.8</v>
      </c>
      <c r="J1232" s="4" t="n">
        <f aca="false">F1232*H1232</f>
        <v>407.8</v>
      </c>
      <c r="K1232" s="4" t="n">
        <f aca="false">I1232-J1232</f>
        <v>492</v>
      </c>
      <c r="L1232" s="5" t="n">
        <f aca="false">IFERROR(K1232/I1232,0)</f>
        <v>0.546788175150033</v>
      </c>
    </row>
    <row r="1233" customFormat="false" ht="15" hidden="false" customHeight="false" outlineLevel="0" collapsed="false">
      <c r="A1233" s="2" t="s">
        <v>44</v>
      </c>
      <c r="B1233" s="2" t="s">
        <v>45</v>
      </c>
      <c r="C1233" s="2" t="s">
        <v>20</v>
      </c>
      <c r="D1233" s="2" t="s">
        <v>22</v>
      </c>
      <c r="E1233" s="3" t="n">
        <v>46054</v>
      </c>
      <c r="F1233" s="2" t="n">
        <v>18</v>
      </c>
      <c r="G1233" s="4" t="n">
        <v>14.99</v>
      </c>
      <c r="H1233" s="4" t="n">
        <v>5.78</v>
      </c>
      <c r="I1233" s="4" t="n">
        <f aca="false">F1233*G1233</f>
        <v>269.82</v>
      </c>
      <c r="J1233" s="4" t="n">
        <f aca="false">F1233*H1233</f>
        <v>104.04</v>
      </c>
      <c r="K1233" s="4" t="n">
        <f aca="false">I1233-J1233</f>
        <v>165.78</v>
      </c>
      <c r="L1233" s="5" t="n">
        <f aca="false">IFERROR(K1233/I1233,0)</f>
        <v>0.614409606404269</v>
      </c>
    </row>
    <row r="1234" customFormat="false" ht="15" hidden="false" customHeight="false" outlineLevel="0" collapsed="false">
      <c r="A1234" s="2" t="s">
        <v>44</v>
      </c>
      <c r="B1234" s="2" t="s">
        <v>45</v>
      </c>
      <c r="C1234" s="2" t="s">
        <v>20</v>
      </c>
      <c r="D1234" s="2" t="s">
        <v>23</v>
      </c>
      <c r="E1234" s="3" t="n">
        <v>46054</v>
      </c>
      <c r="F1234" s="2" t="n">
        <v>21</v>
      </c>
      <c r="G1234" s="4" t="n">
        <v>39.99</v>
      </c>
      <c r="H1234" s="4" t="n">
        <v>16.94</v>
      </c>
      <c r="I1234" s="4" t="n">
        <f aca="false">F1234*G1234</f>
        <v>839.79</v>
      </c>
      <c r="J1234" s="4" t="n">
        <f aca="false">F1234*H1234</f>
        <v>355.74</v>
      </c>
      <c r="K1234" s="4" t="n">
        <f aca="false">I1234-J1234</f>
        <v>484.05</v>
      </c>
      <c r="L1234" s="5" t="n">
        <f aca="false">IFERROR(K1234/I1234,0)</f>
        <v>0.576394098524631</v>
      </c>
    </row>
    <row r="1235" customFormat="false" ht="15" hidden="false" customHeight="false" outlineLevel="0" collapsed="false">
      <c r="A1235" s="2" t="s">
        <v>44</v>
      </c>
      <c r="B1235" s="2" t="s">
        <v>45</v>
      </c>
      <c r="C1235" s="2" t="s">
        <v>20</v>
      </c>
      <c r="D1235" s="2" t="s">
        <v>24</v>
      </c>
      <c r="E1235" s="3" t="n">
        <v>46054</v>
      </c>
      <c r="F1235" s="2" t="n">
        <v>14</v>
      </c>
      <c r="G1235" s="4" t="n">
        <v>18.99</v>
      </c>
      <c r="H1235" s="4" t="n">
        <v>7.42</v>
      </c>
      <c r="I1235" s="4" t="n">
        <f aca="false">F1235*G1235</f>
        <v>265.86</v>
      </c>
      <c r="J1235" s="4" t="n">
        <f aca="false">F1235*H1235</f>
        <v>103.88</v>
      </c>
      <c r="K1235" s="4" t="n">
        <f aca="false">I1235-J1235</f>
        <v>161.98</v>
      </c>
      <c r="L1235" s="5" t="n">
        <f aca="false">IFERROR(K1235/I1235,0)</f>
        <v>0.60926803580832</v>
      </c>
    </row>
    <row r="1236" customFormat="false" ht="15" hidden="false" customHeight="false" outlineLevel="0" collapsed="false">
      <c r="A1236" s="2" t="s">
        <v>44</v>
      </c>
      <c r="B1236" s="2" t="s">
        <v>45</v>
      </c>
      <c r="C1236" s="2" t="s">
        <v>20</v>
      </c>
      <c r="D1236" s="2" t="s">
        <v>25</v>
      </c>
      <c r="E1236" s="3" t="n">
        <v>46054</v>
      </c>
      <c r="F1236" s="2" t="n">
        <v>16</v>
      </c>
      <c r="G1236" s="4" t="n">
        <v>42.99</v>
      </c>
      <c r="H1236" s="4" t="n">
        <v>15.66</v>
      </c>
      <c r="I1236" s="4" t="n">
        <f aca="false">F1236*G1236</f>
        <v>687.84</v>
      </c>
      <c r="J1236" s="4" t="n">
        <f aca="false">F1236*H1236</f>
        <v>250.56</v>
      </c>
      <c r="K1236" s="4" t="n">
        <f aca="false">I1236-J1236</f>
        <v>437.28</v>
      </c>
      <c r="L1236" s="5" t="n">
        <f aca="false">IFERROR(K1236/I1236,0)</f>
        <v>0.63572923935799</v>
      </c>
    </row>
    <row r="1237" customFormat="false" ht="15" hidden="false" customHeight="false" outlineLevel="0" collapsed="false">
      <c r="A1237" s="2" t="s">
        <v>44</v>
      </c>
      <c r="B1237" s="2" t="s">
        <v>45</v>
      </c>
      <c r="C1237" s="2" t="s">
        <v>26</v>
      </c>
      <c r="D1237" s="2" t="s">
        <v>27</v>
      </c>
      <c r="E1237" s="3" t="n">
        <v>46054</v>
      </c>
      <c r="F1237" s="2" t="n">
        <v>16</v>
      </c>
      <c r="G1237" s="4" t="n">
        <v>44.99</v>
      </c>
      <c r="H1237" s="4" t="n">
        <v>27.38</v>
      </c>
      <c r="I1237" s="4" t="n">
        <f aca="false">F1237*G1237</f>
        <v>719.84</v>
      </c>
      <c r="J1237" s="4" t="n">
        <f aca="false">F1237*H1237</f>
        <v>438.08</v>
      </c>
      <c r="K1237" s="4" t="n">
        <f aca="false">I1237-J1237</f>
        <v>281.76</v>
      </c>
      <c r="L1237" s="5" t="n">
        <f aca="false">IFERROR(K1237/I1237,0)</f>
        <v>0.391420315625695</v>
      </c>
    </row>
    <row r="1238" customFormat="false" ht="15" hidden="false" customHeight="false" outlineLevel="0" collapsed="false">
      <c r="A1238" s="2" t="s">
        <v>44</v>
      </c>
      <c r="B1238" s="2" t="s">
        <v>45</v>
      </c>
      <c r="C1238" s="2" t="s">
        <v>26</v>
      </c>
      <c r="D1238" s="2" t="s">
        <v>28</v>
      </c>
      <c r="E1238" s="3" t="n">
        <v>46054</v>
      </c>
      <c r="F1238" s="2" t="n">
        <v>13</v>
      </c>
      <c r="G1238" s="4" t="n">
        <v>34.99</v>
      </c>
      <c r="H1238" s="4" t="n">
        <v>22.33</v>
      </c>
      <c r="I1238" s="4" t="n">
        <f aca="false">F1238*G1238</f>
        <v>454.87</v>
      </c>
      <c r="J1238" s="4" t="n">
        <f aca="false">F1238*H1238</f>
        <v>290.29</v>
      </c>
      <c r="K1238" s="4" t="n">
        <f aca="false">I1238-J1238</f>
        <v>164.58</v>
      </c>
      <c r="L1238" s="5" t="n">
        <f aca="false">IFERROR(K1238/I1238,0)</f>
        <v>0.361817662189197</v>
      </c>
    </row>
    <row r="1239" customFormat="false" ht="15" hidden="false" customHeight="false" outlineLevel="0" collapsed="false">
      <c r="A1239" s="2" t="s">
        <v>44</v>
      </c>
      <c r="B1239" s="2" t="s">
        <v>45</v>
      </c>
      <c r="C1239" s="2" t="s">
        <v>26</v>
      </c>
      <c r="D1239" s="2" t="s">
        <v>29</v>
      </c>
      <c r="E1239" s="3" t="n">
        <v>46054</v>
      </c>
      <c r="F1239" s="2" t="n">
        <v>21</v>
      </c>
      <c r="G1239" s="4" t="n">
        <v>119.99</v>
      </c>
      <c r="H1239" s="4" t="n">
        <v>81.03</v>
      </c>
      <c r="I1239" s="4" t="n">
        <f aca="false">F1239*G1239</f>
        <v>2519.79</v>
      </c>
      <c r="J1239" s="4" t="n">
        <f aca="false">F1239*H1239</f>
        <v>1701.63</v>
      </c>
      <c r="K1239" s="4" t="n">
        <f aca="false">I1239-J1239</f>
        <v>818.16</v>
      </c>
      <c r="L1239" s="5" t="n">
        <f aca="false">IFERROR(K1239/I1239,0)</f>
        <v>0.32469372447704</v>
      </c>
    </row>
    <row r="1240" customFormat="false" ht="15" hidden="false" customHeight="false" outlineLevel="0" collapsed="false">
      <c r="A1240" s="2" t="s">
        <v>44</v>
      </c>
      <c r="B1240" s="2" t="s">
        <v>45</v>
      </c>
      <c r="C1240" s="2" t="s">
        <v>26</v>
      </c>
      <c r="D1240" s="2" t="s">
        <v>30</v>
      </c>
      <c r="E1240" s="3" t="n">
        <v>46054</v>
      </c>
      <c r="F1240" s="2" t="n">
        <v>21</v>
      </c>
      <c r="G1240" s="4" t="n">
        <v>24.99</v>
      </c>
      <c r="H1240" s="4" t="n">
        <v>14.84</v>
      </c>
      <c r="I1240" s="4" t="n">
        <f aca="false">F1240*G1240</f>
        <v>524.79</v>
      </c>
      <c r="J1240" s="4" t="n">
        <f aca="false">F1240*H1240</f>
        <v>311.64</v>
      </c>
      <c r="K1240" s="4" t="n">
        <f aca="false">I1240-J1240</f>
        <v>213.15</v>
      </c>
      <c r="L1240" s="5" t="n">
        <f aca="false">IFERROR(K1240/I1240,0)</f>
        <v>0.406162464985994</v>
      </c>
    </row>
    <row r="1241" customFormat="false" ht="15" hidden="false" customHeight="false" outlineLevel="0" collapsed="false">
      <c r="A1241" s="2" t="s">
        <v>44</v>
      </c>
      <c r="B1241" s="2" t="s">
        <v>45</v>
      </c>
      <c r="C1241" s="2" t="s">
        <v>26</v>
      </c>
      <c r="D1241" s="2" t="s">
        <v>31</v>
      </c>
      <c r="E1241" s="3" t="n">
        <v>46054</v>
      </c>
      <c r="F1241" s="2" t="n">
        <v>15</v>
      </c>
      <c r="G1241" s="4" t="n">
        <v>59.99</v>
      </c>
      <c r="H1241" s="4" t="n">
        <v>38.16</v>
      </c>
      <c r="I1241" s="4" t="n">
        <f aca="false">F1241*G1241</f>
        <v>899.85</v>
      </c>
      <c r="J1241" s="4" t="n">
        <f aca="false">F1241*H1241</f>
        <v>572.4</v>
      </c>
      <c r="K1241" s="4" t="n">
        <f aca="false">I1241-J1241</f>
        <v>327.45</v>
      </c>
      <c r="L1241" s="5" t="n">
        <f aca="false">IFERROR(K1241/I1241,0)</f>
        <v>0.363893982330388</v>
      </c>
    </row>
    <row r="1242" customFormat="false" ht="15" hidden="false" customHeight="false" outlineLevel="0" collapsed="false">
      <c r="A1242" s="2" t="s">
        <v>44</v>
      </c>
      <c r="B1242" s="2" t="s">
        <v>45</v>
      </c>
      <c r="C1242" s="2" t="s">
        <v>32</v>
      </c>
      <c r="D1242" s="2" t="s">
        <v>33</v>
      </c>
      <c r="E1242" s="3" t="n">
        <v>46054</v>
      </c>
      <c r="F1242" s="2" t="n">
        <v>20</v>
      </c>
      <c r="G1242" s="4" t="n">
        <v>49.99</v>
      </c>
      <c r="H1242" s="4" t="n">
        <v>35.34</v>
      </c>
      <c r="I1242" s="4" t="n">
        <f aca="false">F1242*G1242</f>
        <v>999.8</v>
      </c>
      <c r="J1242" s="4" t="n">
        <f aca="false">F1242*H1242</f>
        <v>706.8</v>
      </c>
      <c r="K1242" s="4" t="n">
        <f aca="false">I1242-J1242</f>
        <v>293</v>
      </c>
      <c r="L1242" s="5" t="n">
        <f aca="false">IFERROR(K1242/I1242,0)</f>
        <v>0.293058611722344</v>
      </c>
    </row>
    <row r="1243" customFormat="false" ht="15" hidden="false" customHeight="false" outlineLevel="0" collapsed="false">
      <c r="A1243" s="2" t="s">
        <v>44</v>
      </c>
      <c r="B1243" s="2" t="s">
        <v>45</v>
      </c>
      <c r="C1243" s="2" t="s">
        <v>32</v>
      </c>
      <c r="D1243" s="2" t="s">
        <v>34</v>
      </c>
      <c r="E1243" s="3" t="n">
        <v>46054</v>
      </c>
      <c r="F1243" s="2" t="n">
        <v>13</v>
      </c>
      <c r="G1243" s="4" t="n">
        <v>27.99</v>
      </c>
      <c r="H1243" s="4" t="n">
        <v>19.76</v>
      </c>
      <c r="I1243" s="4" t="n">
        <f aca="false">F1243*G1243</f>
        <v>363.87</v>
      </c>
      <c r="J1243" s="4" t="n">
        <f aca="false">F1243*H1243</f>
        <v>256.88</v>
      </c>
      <c r="K1243" s="4" t="n">
        <f aca="false">I1243-J1243</f>
        <v>106.99</v>
      </c>
      <c r="L1243" s="5" t="n">
        <f aca="false">IFERROR(K1243/I1243,0)</f>
        <v>0.294033583422651</v>
      </c>
    </row>
    <row r="1244" customFormat="false" ht="15" hidden="false" customHeight="false" outlineLevel="0" collapsed="false">
      <c r="A1244" s="2" t="s">
        <v>44</v>
      </c>
      <c r="B1244" s="2" t="s">
        <v>45</v>
      </c>
      <c r="C1244" s="2" t="s">
        <v>32</v>
      </c>
      <c r="D1244" s="2" t="s">
        <v>35</v>
      </c>
      <c r="E1244" s="3" t="n">
        <v>46054</v>
      </c>
      <c r="F1244" s="2" t="n">
        <v>19</v>
      </c>
      <c r="G1244" s="4" t="n">
        <v>64.99</v>
      </c>
      <c r="H1244" s="4" t="n">
        <v>44.94</v>
      </c>
      <c r="I1244" s="4" t="n">
        <f aca="false">F1244*G1244</f>
        <v>1234.81</v>
      </c>
      <c r="J1244" s="4" t="n">
        <f aca="false">F1244*H1244</f>
        <v>853.86</v>
      </c>
      <c r="K1244" s="4" t="n">
        <f aca="false">I1244-J1244</f>
        <v>380.95</v>
      </c>
      <c r="L1244" s="5" t="n">
        <f aca="false">IFERROR(K1244/I1244,0)</f>
        <v>0.308509001384829</v>
      </c>
    </row>
    <row r="1245" customFormat="false" ht="15" hidden="false" customHeight="false" outlineLevel="0" collapsed="false">
      <c r="A1245" s="2" t="s">
        <v>44</v>
      </c>
      <c r="B1245" s="2" t="s">
        <v>45</v>
      </c>
      <c r="C1245" s="2" t="s">
        <v>32</v>
      </c>
      <c r="D1245" s="2" t="s">
        <v>36</v>
      </c>
      <c r="E1245" s="3" t="n">
        <v>46054</v>
      </c>
      <c r="F1245" s="2" t="n">
        <v>15</v>
      </c>
      <c r="G1245" s="4" t="n">
        <v>22.99</v>
      </c>
      <c r="H1245" s="4" t="n">
        <v>16.91</v>
      </c>
      <c r="I1245" s="4" t="n">
        <f aca="false">F1245*G1245</f>
        <v>344.85</v>
      </c>
      <c r="J1245" s="4" t="n">
        <f aca="false">F1245*H1245</f>
        <v>253.65</v>
      </c>
      <c r="K1245" s="4" t="n">
        <f aca="false">I1245-J1245</f>
        <v>91.2</v>
      </c>
      <c r="L1245" s="5" t="n">
        <f aca="false">IFERROR(K1245/I1245,0)</f>
        <v>0.264462809917355</v>
      </c>
    </row>
    <row r="1246" customFormat="false" ht="15" hidden="false" customHeight="false" outlineLevel="0" collapsed="false">
      <c r="A1246" s="2" t="s">
        <v>44</v>
      </c>
      <c r="B1246" s="2" t="s">
        <v>45</v>
      </c>
      <c r="C1246" s="2" t="s">
        <v>32</v>
      </c>
      <c r="D1246" s="2" t="s">
        <v>37</v>
      </c>
      <c r="E1246" s="3" t="n">
        <v>46054</v>
      </c>
      <c r="F1246" s="2" t="n">
        <v>16</v>
      </c>
      <c r="G1246" s="4" t="n">
        <v>29.99</v>
      </c>
      <c r="H1246" s="4" t="n">
        <v>20.36</v>
      </c>
      <c r="I1246" s="4" t="n">
        <f aca="false">F1246*G1246</f>
        <v>479.84</v>
      </c>
      <c r="J1246" s="4" t="n">
        <f aca="false">F1246*H1246</f>
        <v>325.76</v>
      </c>
      <c r="K1246" s="4" t="n">
        <f aca="false">I1246-J1246</f>
        <v>154.08</v>
      </c>
      <c r="L1246" s="5" t="n">
        <f aca="false">IFERROR(K1246/I1246,0)</f>
        <v>0.32110703567856</v>
      </c>
    </row>
    <row r="1247" customFormat="false" ht="15" hidden="false" customHeight="false" outlineLevel="0" collapsed="false">
      <c r="A1247" s="2" t="s">
        <v>44</v>
      </c>
      <c r="B1247" s="2" t="s">
        <v>45</v>
      </c>
      <c r="C1247" s="2" t="s">
        <v>38</v>
      </c>
      <c r="D1247" s="2" t="s">
        <v>39</v>
      </c>
      <c r="E1247" s="3" t="n">
        <v>46054</v>
      </c>
      <c r="F1247" s="2" t="n">
        <v>14</v>
      </c>
      <c r="G1247" s="4" t="n">
        <v>129.99</v>
      </c>
      <c r="H1247" s="4" t="n">
        <v>74.15</v>
      </c>
      <c r="I1247" s="4" t="n">
        <f aca="false">F1247*G1247</f>
        <v>1819.86</v>
      </c>
      <c r="J1247" s="4" t="n">
        <f aca="false">F1247*H1247</f>
        <v>1038.1</v>
      </c>
      <c r="K1247" s="4" t="n">
        <f aca="false">I1247-J1247</f>
        <v>781.76</v>
      </c>
      <c r="L1247" s="5" t="n">
        <f aca="false">IFERROR(K1247/I1247,0)</f>
        <v>0.429571505500423</v>
      </c>
    </row>
    <row r="1248" customFormat="false" ht="15" hidden="false" customHeight="false" outlineLevel="0" collapsed="false">
      <c r="A1248" s="2" t="s">
        <v>44</v>
      </c>
      <c r="B1248" s="2" t="s">
        <v>45</v>
      </c>
      <c r="C1248" s="2" t="s">
        <v>38</v>
      </c>
      <c r="D1248" s="2" t="s">
        <v>40</v>
      </c>
      <c r="E1248" s="3" t="n">
        <v>46054</v>
      </c>
      <c r="F1248" s="2" t="n">
        <v>11</v>
      </c>
      <c r="G1248" s="4" t="n">
        <v>74.99</v>
      </c>
      <c r="H1248" s="4" t="n">
        <v>41.26</v>
      </c>
      <c r="I1248" s="4" t="n">
        <f aca="false">F1248*G1248</f>
        <v>824.89</v>
      </c>
      <c r="J1248" s="4" t="n">
        <f aca="false">F1248*H1248</f>
        <v>453.86</v>
      </c>
      <c r="K1248" s="4" t="n">
        <f aca="false">I1248-J1248</f>
        <v>371.03</v>
      </c>
      <c r="L1248" s="5" t="n">
        <f aca="false">IFERROR(K1248/I1248,0)</f>
        <v>0.449793305774103</v>
      </c>
    </row>
    <row r="1249" customFormat="false" ht="15" hidden="false" customHeight="false" outlineLevel="0" collapsed="false">
      <c r="A1249" s="2" t="s">
        <v>44</v>
      </c>
      <c r="B1249" s="2" t="s">
        <v>45</v>
      </c>
      <c r="C1249" s="2" t="s">
        <v>38</v>
      </c>
      <c r="D1249" s="2" t="s">
        <v>41</v>
      </c>
      <c r="E1249" s="3" t="n">
        <v>46054</v>
      </c>
      <c r="F1249" s="2" t="n">
        <v>13</v>
      </c>
      <c r="G1249" s="4" t="n">
        <v>19.99</v>
      </c>
      <c r="H1249" s="4" t="n">
        <v>9.84</v>
      </c>
      <c r="I1249" s="4" t="n">
        <f aca="false">F1249*G1249</f>
        <v>259.87</v>
      </c>
      <c r="J1249" s="4" t="n">
        <f aca="false">F1249*H1249</f>
        <v>127.92</v>
      </c>
      <c r="K1249" s="4" t="n">
        <f aca="false">I1249-J1249</f>
        <v>131.95</v>
      </c>
      <c r="L1249" s="5" t="n">
        <f aca="false">IFERROR(K1249/I1249,0)</f>
        <v>0.507753876938469</v>
      </c>
    </row>
    <row r="1250" customFormat="false" ht="15" hidden="false" customHeight="false" outlineLevel="0" collapsed="false">
      <c r="A1250" s="2" t="s">
        <v>44</v>
      </c>
      <c r="B1250" s="2" t="s">
        <v>45</v>
      </c>
      <c r="C1250" s="2" t="s">
        <v>38</v>
      </c>
      <c r="D1250" s="2" t="s">
        <v>42</v>
      </c>
      <c r="E1250" s="3" t="n">
        <v>46054</v>
      </c>
      <c r="F1250" s="2" t="n">
        <v>29</v>
      </c>
      <c r="G1250" s="4" t="n">
        <v>16.99</v>
      </c>
      <c r="H1250" s="4" t="n">
        <v>8.45</v>
      </c>
      <c r="I1250" s="4" t="n">
        <f aca="false">F1250*G1250</f>
        <v>492.71</v>
      </c>
      <c r="J1250" s="4" t="n">
        <f aca="false">F1250*H1250</f>
        <v>245.05</v>
      </c>
      <c r="K1250" s="4" t="n">
        <f aca="false">I1250-J1250</f>
        <v>247.66</v>
      </c>
      <c r="L1250" s="5" t="n">
        <f aca="false">IFERROR(K1250/I1250,0)</f>
        <v>0.502648616833431</v>
      </c>
    </row>
    <row r="1251" customFormat="false" ht="15" hidden="false" customHeight="false" outlineLevel="0" collapsed="false">
      <c r="A1251" s="2" t="s">
        <v>44</v>
      </c>
      <c r="B1251" s="2" t="s">
        <v>45</v>
      </c>
      <c r="C1251" s="2" t="s">
        <v>38</v>
      </c>
      <c r="D1251" s="2" t="s">
        <v>43</v>
      </c>
      <c r="E1251" s="3" t="n">
        <v>46054</v>
      </c>
      <c r="F1251" s="2" t="n">
        <v>21</v>
      </c>
      <c r="G1251" s="4" t="n">
        <v>24.99</v>
      </c>
      <c r="H1251" s="4" t="n">
        <v>12.61</v>
      </c>
      <c r="I1251" s="4" t="n">
        <f aca="false">F1251*G1251</f>
        <v>524.79</v>
      </c>
      <c r="J1251" s="4" t="n">
        <f aca="false">F1251*H1251</f>
        <v>264.81</v>
      </c>
      <c r="K1251" s="4" t="n">
        <f aca="false">I1251-J1251</f>
        <v>259.98</v>
      </c>
      <c r="L1251" s="5" t="n">
        <f aca="false">IFERROR(K1251/I1251,0)</f>
        <v>0.495398159263705</v>
      </c>
    </row>
    <row r="1252" customFormat="false" ht="15" hidden="false" customHeight="false" outlineLevel="0" collapsed="false">
      <c r="A1252" s="2" t="s">
        <v>44</v>
      </c>
      <c r="B1252" s="2" t="s">
        <v>46</v>
      </c>
      <c r="C1252" s="2" t="s">
        <v>14</v>
      </c>
      <c r="D1252" s="2" t="s">
        <v>15</v>
      </c>
      <c r="E1252" s="3" t="n">
        <v>46054</v>
      </c>
      <c r="F1252" s="2" t="n">
        <v>9</v>
      </c>
      <c r="G1252" s="4" t="n">
        <v>69.99</v>
      </c>
      <c r="H1252" s="4" t="n">
        <v>33.63</v>
      </c>
      <c r="I1252" s="4" t="n">
        <f aca="false">F1252*G1252</f>
        <v>629.91</v>
      </c>
      <c r="J1252" s="4" t="n">
        <f aca="false">F1252*H1252</f>
        <v>302.67</v>
      </c>
      <c r="K1252" s="4" t="n">
        <f aca="false">I1252-J1252</f>
        <v>327.24</v>
      </c>
      <c r="L1252" s="5" t="n">
        <f aca="false">IFERROR(K1252/I1252,0)</f>
        <v>0.519502786112302</v>
      </c>
    </row>
    <row r="1253" customFormat="false" ht="15" hidden="false" customHeight="false" outlineLevel="0" collapsed="false">
      <c r="A1253" s="2" t="s">
        <v>44</v>
      </c>
      <c r="B1253" s="2" t="s">
        <v>46</v>
      </c>
      <c r="C1253" s="2" t="s">
        <v>14</v>
      </c>
      <c r="D1253" s="2" t="s">
        <v>16</v>
      </c>
      <c r="E1253" s="3" t="n">
        <v>46054</v>
      </c>
      <c r="F1253" s="2" t="n">
        <v>9</v>
      </c>
      <c r="G1253" s="4" t="n">
        <v>19.99</v>
      </c>
      <c r="H1253" s="4" t="n">
        <v>9.06</v>
      </c>
      <c r="I1253" s="4" t="n">
        <f aca="false">F1253*G1253</f>
        <v>179.91</v>
      </c>
      <c r="J1253" s="4" t="n">
        <f aca="false">F1253*H1253</f>
        <v>81.54</v>
      </c>
      <c r="K1253" s="4" t="n">
        <f aca="false">I1253-J1253</f>
        <v>98.37</v>
      </c>
      <c r="L1253" s="5" t="n">
        <f aca="false">IFERROR(K1253/I1253,0)</f>
        <v>0.546773386693347</v>
      </c>
    </row>
    <row r="1254" customFormat="false" ht="15" hidden="false" customHeight="false" outlineLevel="0" collapsed="false">
      <c r="A1254" s="2" t="s">
        <v>44</v>
      </c>
      <c r="B1254" s="2" t="s">
        <v>46</v>
      </c>
      <c r="C1254" s="2" t="s">
        <v>14</v>
      </c>
      <c r="D1254" s="2" t="s">
        <v>17</v>
      </c>
      <c r="E1254" s="3" t="n">
        <v>46054</v>
      </c>
      <c r="F1254" s="2" t="n">
        <v>20</v>
      </c>
      <c r="G1254" s="4" t="n">
        <v>79.99</v>
      </c>
      <c r="H1254" s="4" t="n">
        <v>40.55</v>
      </c>
      <c r="I1254" s="4" t="n">
        <f aca="false">F1254*G1254</f>
        <v>1599.8</v>
      </c>
      <c r="J1254" s="4" t="n">
        <f aca="false">F1254*H1254</f>
        <v>811</v>
      </c>
      <c r="K1254" s="4" t="n">
        <f aca="false">I1254-J1254</f>
        <v>788.8</v>
      </c>
      <c r="L1254" s="5" t="n">
        <f aca="false">IFERROR(K1254/I1254,0)</f>
        <v>0.493061632704088</v>
      </c>
    </row>
    <row r="1255" customFormat="false" ht="15" hidden="false" customHeight="false" outlineLevel="0" collapsed="false">
      <c r="A1255" s="2" t="s">
        <v>44</v>
      </c>
      <c r="B1255" s="2" t="s">
        <v>46</v>
      </c>
      <c r="C1255" s="2" t="s">
        <v>14</v>
      </c>
      <c r="D1255" s="2" t="s">
        <v>18</v>
      </c>
      <c r="E1255" s="3" t="n">
        <v>46054</v>
      </c>
      <c r="F1255" s="2" t="n">
        <v>16</v>
      </c>
      <c r="G1255" s="4" t="n">
        <v>34.99</v>
      </c>
      <c r="H1255" s="4" t="n">
        <v>14.87</v>
      </c>
      <c r="I1255" s="4" t="n">
        <f aca="false">F1255*G1255</f>
        <v>559.84</v>
      </c>
      <c r="J1255" s="4" t="n">
        <f aca="false">F1255*H1255</f>
        <v>237.92</v>
      </c>
      <c r="K1255" s="4" t="n">
        <f aca="false">I1255-J1255</f>
        <v>321.92</v>
      </c>
      <c r="L1255" s="5" t="n">
        <f aca="false">IFERROR(K1255/I1255,0)</f>
        <v>0.575021434695627</v>
      </c>
    </row>
    <row r="1256" customFormat="false" ht="15" hidden="false" customHeight="false" outlineLevel="0" collapsed="false">
      <c r="A1256" s="2" t="s">
        <v>44</v>
      </c>
      <c r="B1256" s="2" t="s">
        <v>46</v>
      </c>
      <c r="C1256" s="2" t="s">
        <v>14</v>
      </c>
      <c r="D1256" s="2" t="s">
        <v>19</v>
      </c>
      <c r="E1256" s="3" t="n">
        <v>46054</v>
      </c>
      <c r="F1256" s="2" t="n">
        <v>6</v>
      </c>
      <c r="G1256" s="4" t="n">
        <v>54.99</v>
      </c>
      <c r="H1256" s="4" t="n">
        <v>23.54</v>
      </c>
      <c r="I1256" s="4" t="n">
        <f aca="false">F1256*G1256</f>
        <v>329.94</v>
      </c>
      <c r="J1256" s="4" t="n">
        <f aca="false">F1256*H1256</f>
        <v>141.24</v>
      </c>
      <c r="K1256" s="4" t="n">
        <f aca="false">I1256-J1256</f>
        <v>188.7</v>
      </c>
      <c r="L1256" s="5" t="n">
        <f aca="false">IFERROR(K1256/I1256,0)</f>
        <v>0.571922167666848</v>
      </c>
    </row>
    <row r="1257" customFormat="false" ht="15" hidden="false" customHeight="false" outlineLevel="0" collapsed="false">
      <c r="A1257" s="2" t="s">
        <v>44</v>
      </c>
      <c r="B1257" s="2" t="s">
        <v>46</v>
      </c>
      <c r="C1257" s="2" t="s">
        <v>20</v>
      </c>
      <c r="D1257" s="2" t="s">
        <v>21</v>
      </c>
      <c r="E1257" s="3" t="n">
        <v>46054</v>
      </c>
      <c r="F1257" s="2" t="n">
        <v>14</v>
      </c>
      <c r="G1257" s="4" t="n">
        <v>44.99</v>
      </c>
      <c r="H1257" s="4" t="n">
        <v>19.83</v>
      </c>
      <c r="I1257" s="4" t="n">
        <f aca="false">F1257*G1257</f>
        <v>629.86</v>
      </c>
      <c r="J1257" s="4" t="n">
        <f aca="false">F1257*H1257</f>
        <v>277.62</v>
      </c>
      <c r="K1257" s="4" t="n">
        <f aca="false">I1257-J1257</f>
        <v>352.24</v>
      </c>
      <c r="L1257" s="5" t="n">
        <f aca="false">IFERROR(K1257/I1257,0)</f>
        <v>0.559235385641254</v>
      </c>
    </row>
    <row r="1258" customFormat="false" ht="15" hidden="false" customHeight="false" outlineLevel="0" collapsed="false">
      <c r="A1258" s="2" t="s">
        <v>44</v>
      </c>
      <c r="B1258" s="2" t="s">
        <v>46</v>
      </c>
      <c r="C1258" s="2" t="s">
        <v>20</v>
      </c>
      <c r="D1258" s="2" t="s">
        <v>22</v>
      </c>
      <c r="E1258" s="3" t="n">
        <v>46054</v>
      </c>
      <c r="F1258" s="2" t="n">
        <v>13</v>
      </c>
      <c r="G1258" s="4" t="n">
        <v>14.99</v>
      </c>
      <c r="H1258" s="4" t="n">
        <v>5.84</v>
      </c>
      <c r="I1258" s="4" t="n">
        <f aca="false">F1258*G1258</f>
        <v>194.87</v>
      </c>
      <c r="J1258" s="4" t="n">
        <f aca="false">F1258*H1258</f>
        <v>75.92</v>
      </c>
      <c r="K1258" s="4" t="n">
        <f aca="false">I1258-J1258</f>
        <v>118.95</v>
      </c>
      <c r="L1258" s="5" t="n">
        <f aca="false">IFERROR(K1258/I1258,0)</f>
        <v>0.610406937958639</v>
      </c>
    </row>
    <row r="1259" customFormat="false" ht="15" hidden="false" customHeight="false" outlineLevel="0" collapsed="false">
      <c r="A1259" s="2" t="s">
        <v>44</v>
      </c>
      <c r="B1259" s="2" t="s">
        <v>46</v>
      </c>
      <c r="C1259" s="2" t="s">
        <v>20</v>
      </c>
      <c r="D1259" s="2" t="s">
        <v>23</v>
      </c>
      <c r="E1259" s="3" t="n">
        <v>46054</v>
      </c>
      <c r="F1259" s="2" t="n">
        <v>10</v>
      </c>
      <c r="G1259" s="4" t="n">
        <v>39.99</v>
      </c>
      <c r="H1259" s="4" t="n">
        <v>16.32</v>
      </c>
      <c r="I1259" s="4" t="n">
        <f aca="false">F1259*G1259</f>
        <v>399.9</v>
      </c>
      <c r="J1259" s="4" t="n">
        <f aca="false">F1259*H1259</f>
        <v>163.2</v>
      </c>
      <c r="K1259" s="4" t="n">
        <f aca="false">I1259-J1259</f>
        <v>236.7</v>
      </c>
      <c r="L1259" s="5" t="n">
        <f aca="false">IFERROR(K1259/I1259,0)</f>
        <v>0.591897974493624</v>
      </c>
    </row>
    <row r="1260" customFormat="false" ht="15" hidden="false" customHeight="false" outlineLevel="0" collapsed="false">
      <c r="A1260" s="2" t="s">
        <v>44</v>
      </c>
      <c r="B1260" s="2" t="s">
        <v>46</v>
      </c>
      <c r="C1260" s="2" t="s">
        <v>20</v>
      </c>
      <c r="D1260" s="2" t="s">
        <v>24</v>
      </c>
      <c r="E1260" s="3" t="n">
        <v>46054</v>
      </c>
      <c r="F1260" s="2" t="n">
        <v>9</v>
      </c>
      <c r="G1260" s="4" t="n">
        <v>18.99</v>
      </c>
      <c r="H1260" s="4" t="n">
        <v>7.67</v>
      </c>
      <c r="I1260" s="4" t="n">
        <f aca="false">F1260*G1260</f>
        <v>170.91</v>
      </c>
      <c r="J1260" s="4" t="n">
        <f aca="false">F1260*H1260</f>
        <v>69.03</v>
      </c>
      <c r="K1260" s="4" t="n">
        <f aca="false">I1260-J1260</f>
        <v>101.88</v>
      </c>
      <c r="L1260" s="5" t="n">
        <f aca="false">IFERROR(K1260/I1260,0)</f>
        <v>0.596103212216956</v>
      </c>
    </row>
    <row r="1261" customFormat="false" ht="15" hidden="false" customHeight="false" outlineLevel="0" collapsed="false">
      <c r="A1261" s="2" t="s">
        <v>44</v>
      </c>
      <c r="B1261" s="2" t="s">
        <v>46</v>
      </c>
      <c r="C1261" s="2" t="s">
        <v>20</v>
      </c>
      <c r="D1261" s="2" t="s">
        <v>25</v>
      </c>
      <c r="E1261" s="3" t="n">
        <v>46054</v>
      </c>
      <c r="F1261" s="2" t="n">
        <v>16</v>
      </c>
      <c r="G1261" s="4" t="n">
        <v>42.99</v>
      </c>
      <c r="H1261" s="4" t="n">
        <v>16.13</v>
      </c>
      <c r="I1261" s="4" t="n">
        <f aca="false">F1261*G1261</f>
        <v>687.84</v>
      </c>
      <c r="J1261" s="4" t="n">
        <f aca="false">F1261*H1261</f>
        <v>258.08</v>
      </c>
      <c r="K1261" s="4" t="n">
        <f aca="false">I1261-J1261</f>
        <v>429.76</v>
      </c>
      <c r="L1261" s="5" t="n">
        <f aca="false">IFERROR(K1261/I1261,0)</f>
        <v>0.624796464294022</v>
      </c>
    </row>
    <row r="1262" customFormat="false" ht="15" hidden="false" customHeight="false" outlineLevel="0" collapsed="false">
      <c r="A1262" s="2" t="s">
        <v>44</v>
      </c>
      <c r="B1262" s="2" t="s">
        <v>46</v>
      </c>
      <c r="C1262" s="2" t="s">
        <v>26</v>
      </c>
      <c r="D1262" s="2" t="s">
        <v>27</v>
      </c>
      <c r="E1262" s="3" t="n">
        <v>46054</v>
      </c>
      <c r="F1262" s="2" t="n">
        <v>9</v>
      </c>
      <c r="G1262" s="4" t="n">
        <v>44.99</v>
      </c>
      <c r="H1262" s="4" t="n">
        <v>27.41</v>
      </c>
      <c r="I1262" s="4" t="n">
        <f aca="false">F1262*G1262</f>
        <v>404.91</v>
      </c>
      <c r="J1262" s="4" t="n">
        <f aca="false">F1262*H1262</f>
        <v>246.69</v>
      </c>
      <c r="K1262" s="4" t="n">
        <f aca="false">I1262-J1262</f>
        <v>158.22</v>
      </c>
      <c r="L1262" s="5" t="n">
        <f aca="false">IFERROR(K1262/I1262,0)</f>
        <v>0.390753500777951</v>
      </c>
    </row>
    <row r="1263" customFormat="false" ht="15" hidden="false" customHeight="false" outlineLevel="0" collapsed="false">
      <c r="A1263" s="2" t="s">
        <v>44</v>
      </c>
      <c r="B1263" s="2" t="s">
        <v>46</v>
      </c>
      <c r="C1263" s="2" t="s">
        <v>26</v>
      </c>
      <c r="D1263" s="2" t="s">
        <v>28</v>
      </c>
      <c r="E1263" s="3" t="n">
        <v>46054</v>
      </c>
      <c r="F1263" s="2" t="n">
        <v>10</v>
      </c>
      <c r="G1263" s="4" t="n">
        <v>34.99</v>
      </c>
      <c r="H1263" s="4" t="n">
        <v>22.88</v>
      </c>
      <c r="I1263" s="4" t="n">
        <f aca="false">F1263*G1263</f>
        <v>349.9</v>
      </c>
      <c r="J1263" s="4" t="n">
        <f aca="false">F1263*H1263</f>
        <v>228.8</v>
      </c>
      <c r="K1263" s="4" t="n">
        <f aca="false">I1263-J1263</f>
        <v>121.1</v>
      </c>
      <c r="L1263" s="5" t="n">
        <f aca="false">IFERROR(K1263/I1263,0)</f>
        <v>0.346098885395828</v>
      </c>
    </row>
    <row r="1264" customFormat="false" ht="15" hidden="false" customHeight="false" outlineLevel="0" collapsed="false">
      <c r="A1264" s="2" t="s">
        <v>44</v>
      </c>
      <c r="B1264" s="2" t="s">
        <v>46</v>
      </c>
      <c r="C1264" s="2" t="s">
        <v>26</v>
      </c>
      <c r="D1264" s="2" t="s">
        <v>29</v>
      </c>
      <c r="E1264" s="3" t="n">
        <v>46054</v>
      </c>
      <c r="F1264" s="2" t="n">
        <v>11</v>
      </c>
      <c r="G1264" s="4" t="n">
        <v>119.99</v>
      </c>
      <c r="H1264" s="4" t="n">
        <v>82.97</v>
      </c>
      <c r="I1264" s="4" t="n">
        <f aca="false">F1264*G1264</f>
        <v>1319.89</v>
      </c>
      <c r="J1264" s="4" t="n">
        <f aca="false">F1264*H1264</f>
        <v>912.67</v>
      </c>
      <c r="K1264" s="4" t="n">
        <f aca="false">I1264-J1264</f>
        <v>407.22</v>
      </c>
      <c r="L1264" s="5" t="n">
        <f aca="false">IFERROR(K1264/I1264,0)</f>
        <v>0.308525710475873</v>
      </c>
    </row>
    <row r="1265" customFormat="false" ht="15" hidden="false" customHeight="false" outlineLevel="0" collapsed="false">
      <c r="A1265" s="2" t="s">
        <v>44</v>
      </c>
      <c r="B1265" s="2" t="s">
        <v>46</v>
      </c>
      <c r="C1265" s="2" t="s">
        <v>26</v>
      </c>
      <c r="D1265" s="2" t="s">
        <v>30</v>
      </c>
      <c r="E1265" s="3" t="n">
        <v>46054</v>
      </c>
      <c r="F1265" s="2" t="n">
        <v>8</v>
      </c>
      <c r="G1265" s="4" t="n">
        <v>24.99</v>
      </c>
      <c r="H1265" s="4" t="n">
        <v>15.18</v>
      </c>
      <c r="I1265" s="4" t="n">
        <f aca="false">F1265*G1265</f>
        <v>199.92</v>
      </c>
      <c r="J1265" s="4" t="n">
        <f aca="false">F1265*H1265</f>
        <v>121.44</v>
      </c>
      <c r="K1265" s="4" t="n">
        <f aca="false">I1265-J1265</f>
        <v>78.48</v>
      </c>
      <c r="L1265" s="5" t="n">
        <f aca="false">IFERROR(K1265/I1265,0)</f>
        <v>0.392557022809124</v>
      </c>
    </row>
    <row r="1266" customFormat="false" ht="15" hidden="false" customHeight="false" outlineLevel="0" collapsed="false">
      <c r="A1266" s="2" t="s">
        <v>44</v>
      </c>
      <c r="B1266" s="2" t="s">
        <v>46</v>
      </c>
      <c r="C1266" s="2" t="s">
        <v>26</v>
      </c>
      <c r="D1266" s="2" t="s">
        <v>31</v>
      </c>
      <c r="E1266" s="3" t="n">
        <v>46054</v>
      </c>
      <c r="F1266" s="2" t="n">
        <v>9</v>
      </c>
      <c r="G1266" s="4" t="n">
        <v>59.99</v>
      </c>
      <c r="H1266" s="4" t="n">
        <v>38.74</v>
      </c>
      <c r="I1266" s="4" t="n">
        <f aca="false">F1266*G1266</f>
        <v>539.91</v>
      </c>
      <c r="J1266" s="4" t="n">
        <f aca="false">F1266*H1266</f>
        <v>348.66</v>
      </c>
      <c r="K1266" s="4" t="n">
        <f aca="false">I1266-J1266</f>
        <v>191.25</v>
      </c>
      <c r="L1266" s="5" t="n">
        <f aca="false">IFERROR(K1266/I1266,0)</f>
        <v>0.354225704284047</v>
      </c>
    </row>
    <row r="1267" customFormat="false" ht="15" hidden="false" customHeight="false" outlineLevel="0" collapsed="false">
      <c r="A1267" s="2" t="s">
        <v>44</v>
      </c>
      <c r="B1267" s="2" t="s">
        <v>46</v>
      </c>
      <c r="C1267" s="2" t="s">
        <v>32</v>
      </c>
      <c r="D1267" s="2" t="s">
        <v>33</v>
      </c>
      <c r="E1267" s="3" t="n">
        <v>46054</v>
      </c>
      <c r="F1267" s="2" t="n">
        <v>9</v>
      </c>
      <c r="G1267" s="4" t="n">
        <v>49.99</v>
      </c>
      <c r="H1267" s="4" t="n">
        <v>36.62</v>
      </c>
      <c r="I1267" s="4" t="n">
        <f aca="false">F1267*G1267</f>
        <v>449.91</v>
      </c>
      <c r="J1267" s="4" t="n">
        <f aca="false">F1267*H1267</f>
        <v>329.58</v>
      </c>
      <c r="K1267" s="4" t="n">
        <f aca="false">I1267-J1267</f>
        <v>120.33</v>
      </c>
      <c r="L1267" s="5" t="n">
        <f aca="false">IFERROR(K1267/I1267,0)</f>
        <v>0.26745349069814</v>
      </c>
    </row>
    <row r="1268" customFormat="false" ht="15" hidden="false" customHeight="false" outlineLevel="0" collapsed="false">
      <c r="A1268" s="2" t="s">
        <v>44</v>
      </c>
      <c r="B1268" s="2" t="s">
        <v>46</v>
      </c>
      <c r="C1268" s="2" t="s">
        <v>32</v>
      </c>
      <c r="D1268" s="2" t="s">
        <v>34</v>
      </c>
      <c r="E1268" s="3" t="n">
        <v>46054</v>
      </c>
      <c r="F1268" s="2" t="n">
        <v>15</v>
      </c>
      <c r="G1268" s="4" t="n">
        <v>27.99</v>
      </c>
      <c r="H1268" s="4" t="n">
        <v>19.63</v>
      </c>
      <c r="I1268" s="4" t="n">
        <f aca="false">F1268*G1268</f>
        <v>419.85</v>
      </c>
      <c r="J1268" s="4" t="n">
        <f aca="false">F1268*H1268</f>
        <v>294.45</v>
      </c>
      <c r="K1268" s="4" t="n">
        <f aca="false">I1268-J1268</f>
        <v>125.4</v>
      </c>
      <c r="L1268" s="5" t="n">
        <f aca="false">IFERROR(K1268/I1268,0)</f>
        <v>0.298678099321186</v>
      </c>
    </row>
    <row r="1269" customFormat="false" ht="15" hidden="false" customHeight="false" outlineLevel="0" collapsed="false">
      <c r="A1269" s="2" t="s">
        <v>44</v>
      </c>
      <c r="B1269" s="2" t="s">
        <v>46</v>
      </c>
      <c r="C1269" s="2" t="s">
        <v>32</v>
      </c>
      <c r="D1269" s="2" t="s">
        <v>35</v>
      </c>
      <c r="E1269" s="3" t="n">
        <v>46054</v>
      </c>
      <c r="F1269" s="2" t="n">
        <v>15</v>
      </c>
      <c r="G1269" s="4" t="n">
        <v>64.99</v>
      </c>
      <c r="H1269" s="4" t="n">
        <v>45.54</v>
      </c>
      <c r="I1269" s="4" t="n">
        <f aca="false">F1269*G1269</f>
        <v>974.85</v>
      </c>
      <c r="J1269" s="4" t="n">
        <f aca="false">F1269*H1269</f>
        <v>683.1</v>
      </c>
      <c r="K1269" s="4" t="n">
        <f aca="false">I1269-J1269</f>
        <v>291.75</v>
      </c>
      <c r="L1269" s="5" t="n">
        <f aca="false">IFERROR(K1269/I1269,0)</f>
        <v>0.299276811817203</v>
      </c>
    </row>
    <row r="1270" customFormat="false" ht="15" hidden="false" customHeight="false" outlineLevel="0" collapsed="false">
      <c r="A1270" s="2" t="s">
        <v>44</v>
      </c>
      <c r="B1270" s="2" t="s">
        <v>46</v>
      </c>
      <c r="C1270" s="2" t="s">
        <v>32</v>
      </c>
      <c r="D1270" s="2" t="s">
        <v>36</v>
      </c>
      <c r="E1270" s="3" t="n">
        <v>46054</v>
      </c>
      <c r="F1270" s="2" t="n">
        <v>12</v>
      </c>
      <c r="G1270" s="4" t="n">
        <v>22.99</v>
      </c>
      <c r="H1270" s="4" t="n">
        <v>16.36</v>
      </c>
      <c r="I1270" s="4" t="n">
        <f aca="false">F1270*G1270</f>
        <v>275.88</v>
      </c>
      <c r="J1270" s="4" t="n">
        <f aca="false">F1270*H1270</f>
        <v>196.32</v>
      </c>
      <c r="K1270" s="4" t="n">
        <f aca="false">I1270-J1270</f>
        <v>79.56</v>
      </c>
      <c r="L1270" s="5" t="n">
        <f aca="false">IFERROR(K1270/I1270,0)</f>
        <v>0.288386254893432</v>
      </c>
    </row>
    <row r="1271" customFormat="false" ht="15" hidden="false" customHeight="false" outlineLevel="0" collapsed="false">
      <c r="A1271" s="2" t="s">
        <v>44</v>
      </c>
      <c r="B1271" s="2" t="s">
        <v>46</v>
      </c>
      <c r="C1271" s="2" t="s">
        <v>32</v>
      </c>
      <c r="D1271" s="2" t="s">
        <v>37</v>
      </c>
      <c r="E1271" s="3" t="n">
        <v>46054</v>
      </c>
      <c r="F1271" s="2" t="n">
        <v>12</v>
      </c>
      <c r="G1271" s="4" t="n">
        <v>29.99</v>
      </c>
      <c r="H1271" s="4" t="n">
        <v>19.8</v>
      </c>
      <c r="I1271" s="4" t="n">
        <f aca="false">F1271*G1271</f>
        <v>359.88</v>
      </c>
      <c r="J1271" s="4" t="n">
        <f aca="false">F1271*H1271</f>
        <v>237.6</v>
      </c>
      <c r="K1271" s="4" t="n">
        <f aca="false">I1271-J1271</f>
        <v>122.28</v>
      </c>
      <c r="L1271" s="5" t="n">
        <f aca="false">IFERROR(K1271/I1271,0)</f>
        <v>0.339779926642214</v>
      </c>
    </row>
    <row r="1272" customFormat="false" ht="15" hidden="false" customHeight="false" outlineLevel="0" collapsed="false">
      <c r="A1272" s="2" t="s">
        <v>44</v>
      </c>
      <c r="B1272" s="2" t="s">
        <v>46</v>
      </c>
      <c r="C1272" s="2" t="s">
        <v>38</v>
      </c>
      <c r="D1272" s="2" t="s">
        <v>39</v>
      </c>
      <c r="E1272" s="3" t="n">
        <v>46054</v>
      </c>
      <c r="F1272" s="2" t="n">
        <v>14</v>
      </c>
      <c r="G1272" s="4" t="n">
        <v>129.99</v>
      </c>
      <c r="H1272" s="4" t="n">
        <v>73.38</v>
      </c>
      <c r="I1272" s="4" t="n">
        <f aca="false">F1272*G1272</f>
        <v>1819.86</v>
      </c>
      <c r="J1272" s="4" t="n">
        <f aca="false">F1272*H1272</f>
        <v>1027.32</v>
      </c>
      <c r="K1272" s="4" t="n">
        <f aca="false">I1272-J1272</f>
        <v>792.54</v>
      </c>
      <c r="L1272" s="5" t="n">
        <f aca="false">IFERROR(K1272/I1272,0)</f>
        <v>0.435495038079852</v>
      </c>
    </row>
    <row r="1273" customFormat="false" ht="15" hidden="false" customHeight="false" outlineLevel="0" collapsed="false">
      <c r="A1273" s="2" t="s">
        <v>44</v>
      </c>
      <c r="B1273" s="2" t="s">
        <v>46</v>
      </c>
      <c r="C1273" s="2" t="s">
        <v>38</v>
      </c>
      <c r="D1273" s="2" t="s">
        <v>40</v>
      </c>
      <c r="E1273" s="3" t="n">
        <v>46054</v>
      </c>
      <c r="F1273" s="2" t="n">
        <v>16</v>
      </c>
      <c r="G1273" s="4" t="n">
        <v>74.99</v>
      </c>
      <c r="H1273" s="4" t="n">
        <v>41.12</v>
      </c>
      <c r="I1273" s="4" t="n">
        <f aca="false">F1273*G1273</f>
        <v>1199.84</v>
      </c>
      <c r="J1273" s="4" t="n">
        <f aca="false">F1273*H1273</f>
        <v>657.92</v>
      </c>
      <c r="K1273" s="4" t="n">
        <f aca="false">I1273-J1273</f>
        <v>541.92</v>
      </c>
      <c r="L1273" s="5" t="n">
        <f aca="false">IFERROR(K1273/I1273,0)</f>
        <v>0.451660221362848</v>
      </c>
    </row>
    <row r="1274" customFormat="false" ht="15" hidden="false" customHeight="false" outlineLevel="0" collapsed="false">
      <c r="A1274" s="2" t="s">
        <v>44</v>
      </c>
      <c r="B1274" s="2" t="s">
        <v>46</v>
      </c>
      <c r="C1274" s="2" t="s">
        <v>38</v>
      </c>
      <c r="D1274" s="2" t="s">
        <v>41</v>
      </c>
      <c r="E1274" s="3" t="n">
        <v>46054</v>
      </c>
      <c r="F1274" s="2" t="n">
        <v>13</v>
      </c>
      <c r="G1274" s="4" t="n">
        <v>19.99</v>
      </c>
      <c r="H1274" s="4" t="n">
        <v>9.78</v>
      </c>
      <c r="I1274" s="4" t="n">
        <f aca="false">F1274*G1274</f>
        <v>259.87</v>
      </c>
      <c r="J1274" s="4" t="n">
        <f aca="false">F1274*H1274</f>
        <v>127.14</v>
      </c>
      <c r="K1274" s="4" t="n">
        <f aca="false">I1274-J1274</f>
        <v>132.73</v>
      </c>
      <c r="L1274" s="5" t="n">
        <f aca="false">IFERROR(K1274/I1274,0)</f>
        <v>0.510755377688845</v>
      </c>
    </row>
    <row r="1275" customFormat="false" ht="15" hidden="false" customHeight="false" outlineLevel="0" collapsed="false">
      <c r="A1275" s="2" t="s">
        <v>44</v>
      </c>
      <c r="B1275" s="2" t="s">
        <v>46</v>
      </c>
      <c r="C1275" s="2" t="s">
        <v>38</v>
      </c>
      <c r="D1275" s="2" t="s">
        <v>42</v>
      </c>
      <c r="E1275" s="3" t="n">
        <v>46054</v>
      </c>
      <c r="F1275" s="2" t="n">
        <v>9</v>
      </c>
      <c r="G1275" s="4" t="n">
        <v>16.99</v>
      </c>
      <c r="H1275" s="4" t="n">
        <v>8.27</v>
      </c>
      <c r="I1275" s="4" t="n">
        <f aca="false">F1275*G1275</f>
        <v>152.91</v>
      </c>
      <c r="J1275" s="4" t="n">
        <f aca="false">F1275*H1275</f>
        <v>74.43</v>
      </c>
      <c r="K1275" s="4" t="n">
        <f aca="false">I1275-J1275</f>
        <v>78.48</v>
      </c>
      <c r="L1275" s="5" t="n">
        <f aca="false">IFERROR(K1275/I1275,0)</f>
        <v>0.513243084167157</v>
      </c>
    </row>
    <row r="1276" customFormat="false" ht="15" hidden="false" customHeight="false" outlineLevel="0" collapsed="false">
      <c r="A1276" s="2" t="s">
        <v>44</v>
      </c>
      <c r="B1276" s="2" t="s">
        <v>46</v>
      </c>
      <c r="C1276" s="2" t="s">
        <v>38</v>
      </c>
      <c r="D1276" s="2" t="s">
        <v>43</v>
      </c>
      <c r="E1276" s="3" t="n">
        <v>46054</v>
      </c>
      <c r="F1276" s="2" t="n">
        <v>9</v>
      </c>
      <c r="G1276" s="4" t="n">
        <v>24.99</v>
      </c>
      <c r="H1276" s="4" t="n">
        <v>12.72</v>
      </c>
      <c r="I1276" s="4" t="n">
        <f aca="false">F1276*G1276</f>
        <v>224.91</v>
      </c>
      <c r="J1276" s="4" t="n">
        <f aca="false">F1276*H1276</f>
        <v>114.48</v>
      </c>
      <c r="K1276" s="4" t="n">
        <f aca="false">I1276-J1276</f>
        <v>110.43</v>
      </c>
      <c r="L1276" s="5" t="n">
        <f aca="false">IFERROR(K1276/I1276,0)</f>
        <v>0.490996398559424</v>
      </c>
    </row>
    <row r="1277" customFormat="false" ht="15" hidden="false" customHeight="false" outlineLevel="0" collapsed="false">
      <c r="A1277" s="2" t="s">
        <v>47</v>
      </c>
      <c r="B1277" s="2" t="s">
        <v>48</v>
      </c>
      <c r="C1277" s="2" t="s">
        <v>14</v>
      </c>
      <c r="D1277" s="2" t="s">
        <v>15</v>
      </c>
      <c r="E1277" s="3" t="n">
        <v>46054</v>
      </c>
      <c r="F1277" s="2" t="n">
        <v>19</v>
      </c>
      <c r="G1277" s="4" t="n">
        <v>69.99</v>
      </c>
      <c r="H1277" s="4" t="n">
        <v>34.13</v>
      </c>
      <c r="I1277" s="4" t="n">
        <f aca="false">F1277*G1277</f>
        <v>1329.81</v>
      </c>
      <c r="J1277" s="4" t="n">
        <f aca="false">F1277*H1277</f>
        <v>648.47</v>
      </c>
      <c r="K1277" s="4" t="n">
        <f aca="false">I1277-J1277</f>
        <v>681.34</v>
      </c>
      <c r="L1277" s="5" t="n">
        <f aca="false">IFERROR(K1277/I1277,0)</f>
        <v>0.512358908415488</v>
      </c>
    </row>
    <row r="1278" customFormat="false" ht="15" hidden="false" customHeight="false" outlineLevel="0" collapsed="false">
      <c r="A1278" s="2" t="s">
        <v>47</v>
      </c>
      <c r="B1278" s="2" t="s">
        <v>48</v>
      </c>
      <c r="C1278" s="2" t="s">
        <v>14</v>
      </c>
      <c r="D1278" s="2" t="s">
        <v>16</v>
      </c>
      <c r="E1278" s="3" t="n">
        <v>46054</v>
      </c>
      <c r="F1278" s="2" t="n">
        <v>17</v>
      </c>
      <c r="G1278" s="4" t="n">
        <v>19.99</v>
      </c>
      <c r="H1278" s="4" t="n">
        <v>8.96</v>
      </c>
      <c r="I1278" s="4" t="n">
        <f aca="false">F1278*G1278</f>
        <v>339.83</v>
      </c>
      <c r="J1278" s="4" t="n">
        <f aca="false">F1278*H1278</f>
        <v>152.32</v>
      </c>
      <c r="K1278" s="4" t="n">
        <f aca="false">I1278-J1278</f>
        <v>187.51</v>
      </c>
      <c r="L1278" s="5" t="n">
        <f aca="false">IFERROR(K1278/I1278,0)</f>
        <v>0.551775887943972</v>
      </c>
    </row>
    <row r="1279" customFormat="false" ht="15" hidden="false" customHeight="false" outlineLevel="0" collapsed="false">
      <c r="A1279" s="2" t="s">
        <v>47</v>
      </c>
      <c r="B1279" s="2" t="s">
        <v>48</v>
      </c>
      <c r="C1279" s="2" t="s">
        <v>14</v>
      </c>
      <c r="D1279" s="2" t="s">
        <v>17</v>
      </c>
      <c r="E1279" s="3" t="n">
        <v>46054</v>
      </c>
      <c r="F1279" s="2" t="n">
        <v>12</v>
      </c>
      <c r="G1279" s="4" t="n">
        <v>79.99</v>
      </c>
      <c r="H1279" s="4" t="n">
        <v>39.43</v>
      </c>
      <c r="I1279" s="4" t="n">
        <f aca="false">F1279*G1279</f>
        <v>959.88</v>
      </c>
      <c r="J1279" s="4" t="n">
        <f aca="false">F1279*H1279</f>
        <v>473.16</v>
      </c>
      <c r="K1279" s="4" t="n">
        <f aca="false">I1279-J1279</f>
        <v>486.72</v>
      </c>
      <c r="L1279" s="5" t="n">
        <f aca="false">IFERROR(K1279/I1279,0)</f>
        <v>0.507063382922865</v>
      </c>
    </row>
    <row r="1280" customFormat="false" ht="15" hidden="false" customHeight="false" outlineLevel="0" collapsed="false">
      <c r="A1280" s="2" t="s">
        <v>47</v>
      </c>
      <c r="B1280" s="2" t="s">
        <v>48</v>
      </c>
      <c r="C1280" s="2" t="s">
        <v>14</v>
      </c>
      <c r="D1280" s="2" t="s">
        <v>18</v>
      </c>
      <c r="E1280" s="3" t="n">
        <v>46054</v>
      </c>
      <c r="F1280" s="2" t="n">
        <v>14</v>
      </c>
      <c r="G1280" s="4" t="n">
        <v>34.99</v>
      </c>
      <c r="H1280" s="4" t="n">
        <v>14.6</v>
      </c>
      <c r="I1280" s="4" t="n">
        <f aca="false">F1280*G1280</f>
        <v>489.86</v>
      </c>
      <c r="J1280" s="4" t="n">
        <f aca="false">F1280*H1280</f>
        <v>204.4</v>
      </c>
      <c r="K1280" s="4" t="n">
        <f aca="false">I1280-J1280</f>
        <v>285.46</v>
      </c>
      <c r="L1280" s="5" t="n">
        <f aca="false">IFERROR(K1280/I1280,0)</f>
        <v>0.582737925121463</v>
      </c>
    </row>
    <row r="1281" customFormat="false" ht="15" hidden="false" customHeight="false" outlineLevel="0" collapsed="false">
      <c r="A1281" s="2" t="s">
        <v>47</v>
      </c>
      <c r="B1281" s="2" t="s">
        <v>48</v>
      </c>
      <c r="C1281" s="2" t="s">
        <v>14</v>
      </c>
      <c r="D1281" s="2" t="s">
        <v>19</v>
      </c>
      <c r="E1281" s="3" t="n">
        <v>46054</v>
      </c>
      <c r="F1281" s="2" t="n">
        <v>12</v>
      </c>
      <c r="G1281" s="4" t="n">
        <v>54.99</v>
      </c>
      <c r="H1281" s="4" t="n">
        <v>24.78</v>
      </c>
      <c r="I1281" s="4" t="n">
        <f aca="false">F1281*G1281</f>
        <v>659.88</v>
      </c>
      <c r="J1281" s="4" t="n">
        <f aca="false">F1281*H1281</f>
        <v>297.36</v>
      </c>
      <c r="K1281" s="4" t="n">
        <f aca="false">I1281-J1281</f>
        <v>362.52</v>
      </c>
      <c r="L1281" s="5" t="n">
        <f aca="false">IFERROR(K1281/I1281,0)</f>
        <v>0.5493726132024</v>
      </c>
    </row>
    <row r="1282" customFormat="false" ht="15" hidden="false" customHeight="false" outlineLevel="0" collapsed="false">
      <c r="A1282" s="2" t="s">
        <v>47</v>
      </c>
      <c r="B1282" s="2" t="s">
        <v>48</v>
      </c>
      <c r="C1282" s="2" t="s">
        <v>20</v>
      </c>
      <c r="D1282" s="2" t="s">
        <v>21</v>
      </c>
      <c r="E1282" s="3" t="n">
        <v>46054</v>
      </c>
      <c r="F1282" s="2" t="n">
        <v>10</v>
      </c>
      <c r="G1282" s="4" t="n">
        <v>44.99</v>
      </c>
      <c r="H1282" s="4" t="n">
        <v>20.08</v>
      </c>
      <c r="I1282" s="4" t="n">
        <f aca="false">F1282*G1282</f>
        <v>449.9</v>
      </c>
      <c r="J1282" s="4" t="n">
        <f aca="false">F1282*H1282</f>
        <v>200.8</v>
      </c>
      <c r="K1282" s="4" t="n">
        <f aca="false">I1282-J1282</f>
        <v>249.1</v>
      </c>
      <c r="L1282" s="5" t="n">
        <f aca="false">IFERROR(K1282/I1282,0)</f>
        <v>0.553678595243388</v>
      </c>
    </row>
    <row r="1283" customFormat="false" ht="15" hidden="false" customHeight="false" outlineLevel="0" collapsed="false">
      <c r="A1283" s="2" t="s">
        <v>47</v>
      </c>
      <c r="B1283" s="2" t="s">
        <v>48</v>
      </c>
      <c r="C1283" s="2" t="s">
        <v>20</v>
      </c>
      <c r="D1283" s="2" t="s">
        <v>22</v>
      </c>
      <c r="E1283" s="3" t="n">
        <v>46054</v>
      </c>
      <c r="F1283" s="2" t="n">
        <v>9</v>
      </c>
      <c r="G1283" s="4" t="n">
        <v>14.99</v>
      </c>
      <c r="H1283" s="4" t="n">
        <v>5.83</v>
      </c>
      <c r="I1283" s="4" t="n">
        <f aca="false">F1283*G1283</f>
        <v>134.91</v>
      </c>
      <c r="J1283" s="4" t="n">
        <f aca="false">F1283*H1283</f>
        <v>52.47</v>
      </c>
      <c r="K1283" s="4" t="n">
        <f aca="false">I1283-J1283</f>
        <v>82.44</v>
      </c>
      <c r="L1283" s="5" t="n">
        <f aca="false">IFERROR(K1283/I1283,0)</f>
        <v>0.611074049366244</v>
      </c>
    </row>
    <row r="1284" customFormat="false" ht="15" hidden="false" customHeight="false" outlineLevel="0" collapsed="false">
      <c r="A1284" s="2" t="s">
        <v>47</v>
      </c>
      <c r="B1284" s="2" t="s">
        <v>48</v>
      </c>
      <c r="C1284" s="2" t="s">
        <v>20</v>
      </c>
      <c r="D1284" s="2" t="s">
        <v>23</v>
      </c>
      <c r="E1284" s="3" t="n">
        <v>46054</v>
      </c>
      <c r="F1284" s="2" t="n">
        <v>15</v>
      </c>
      <c r="G1284" s="4" t="n">
        <v>39.99</v>
      </c>
      <c r="H1284" s="4" t="n">
        <v>17.3</v>
      </c>
      <c r="I1284" s="4" t="n">
        <f aca="false">F1284*G1284</f>
        <v>599.85</v>
      </c>
      <c r="J1284" s="4" t="n">
        <f aca="false">F1284*H1284</f>
        <v>259.5</v>
      </c>
      <c r="K1284" s="4" t="n">
        <f aca="false">I1284-J1284</f>
        <v>340.35</v>
      </c>
      <c r="L1284" s="5" t="n">
        <f aca="false">IFERROR(K1284/I1284,0)</f>
        <v>0.567391847961991</v>
      </c>
    </row>
    <row r="1285" customFormat="false" ht="15" hidden="false" customHeight="false" outlineLevel="0" collapsed="false">
      <c r="A1285" s="2" t="s">
        <v>47</v>
      </c>
      <c r="B1285" s="2" t="s">
        <v>48</v>
      </c>
      <c r="C1285" s="2" t="s">
        <v>20</v>
      </c>
      <c r="D1285" s="2" t="s">
        <v>24</v>
      </c>
      <c r="E1285" s="3" t="n">
        <v>46054</v>
      </c>
      <c r="F1285" s="2" t="n">
        <v>10</v>
      </c>
      <c r="G1285" s="4" t="n">
        <v>18.99</v>
      </c>
      <c r="H1285" s="4" t="n">
        <v>7.59</v>
      </c>
      <c r="I1285" s="4" t="n">
        <f aca="false">F1285*G1285</f>
        <v>189.9</v>
      </c>
      <c r="J1285" s="4" t="n">
        <f aca="false">F1285*H1285</f>
        <v>75.9</v>
      </c>
      <c r="K1285" s="4" t="n">
        <f aca="false">I1285-J1285</f>
        <v>114</v>
      </c>
      <c r="L1285" s="5" t="n">
        <f aca="false">IFERROR(K1285/I1285,0)</f>
        <v>0.600315955766193</v>
      </c>
    </row>
    <row r="1286" customFormat="false" ht="15" hidden="false" customHeight="false" outlineLevel="0" collapsed="false">
      <c r="A1286" s="2" t="s">
        <v>47</v>
      </c>
      <c r="B1286" s="2" t="s">
        <v>48</v>
      </c>
      <c r="C1286" s="2" t="s">
        <v>20</v>
      </c>
      <c r="D1286" s="2" t="s">
        <v>25</v>
      </c>
      <c r="E1286" s="3" t="n">
        <v>46054</v>
      </c>
      <c r="F1286" s="2" t="n">
        <v>12</v>
      </c>
      <c r="G1286" s="4" t="n">
        <v>42.99</v>
      </c>
      <c r="H1286" s="4" t="n">
        <v>15.78</v>
      </c>
      <c r="I1286" s="4" t="n">
        <f aca="false">F1286*G1286</f>
        <v>515.88</v>
      </c>
      <c r="J1286" s="4" t="n">
        <f aca="false">F1286*H1286</f>
        <v>189.36</v>
      </c>
      <c r="K1286" s="4" t="n">
        <f aca="false">I1286-J1286</f>
        <v>326.52</v>
      </c>
      <c r="L1286" s="5" t="n">
        <f aca="false">IFERROR(K1286/I1286,0)</f>
        <v>0.632937892533147</v>
      </c>
    </row>
    <row r="1287" customFormat="false" ht="15" hidden="false" customHeight="false" outlineLevel="0" collapsed="false">
      <c r="A1287" s="2" t="s">
        <v>47</v>
      </c>
      <c r="B1287" s="2" t="s">
        <v>48</v>
      </c>
      <c r="C1287" s="2" t="s">
        <v>26</v>
      </c>
      <c r="D1287" s="2" t="s">
        <v>27</v>
      </c>
      <c r="E1287" s="3" t="n">
        <v>46054</v>
      </c>
      <c r="F1287" s="2" t="n">
        <v>11</v>
      </c>
      <c r="G1287" s="4" t="n">
        <v>44.99</v>
      </c>
      <c r="H1287" s="4" t="n">
        <v>27.98</v>
      </c>
      <c r="I1287" s="4" t="n">
        <f aca="false">F1287*G1287</f>
        <v>494.89</v>
      </c>
      <c r="J1287" s="4" t="n">
        <f aca="false">F1287*H1287</f>
        <v>307.78</v>
      </c>
      <c r="K1287" s="4" t="n">
        <f aca="false">I1287-J1287</f>
        <v>187.11</v>
      </c>
      <c r="L1287" s="5" t="n">
        <f aca="false">IFERROR(K1287/I1287,0)</f>
        <v>0.378084018670816</v>
      </c>
    </row>
    <row r="1288" customFormat="false" ht="15" hidden="false" customHeight="false" outlineLevel="0" collapsed="false">
      <c r="A1288" s="2" t="s">
        <v>47</v>
      </c>
      <c r="B1288" s="2" t="s">
        <v>48</v>
      </c>
      <c r="C1288" s="2" t="s">
        <v>26</v>
      </c>
      <c r="D1288" s="2" t="s">
        <v>28</v>
      </c>
      <c r="E1288" s="3" t="n">
        <v>46054</v>
      </c>
      <c r="F1288" s="2" t="n">
        <v>14</v>
      </c>
      <c r="G1288" s="4" t="n">
        <v>34.99</v>
      </c>
      <c r="H1288" s="4" t="n">
        <v>22.47</v>
      </c>
      <c r="I1288" s="4" t="n">
        <f aca="false">F1288*G1288</f>
        <v>489.86</v>
      </c>
      <c r="J1288" s="4" t="n">
        <f aca="false">F1288*H1288</f>
        <v>314.58</v>
      </c>
      <c r="K1288" s="4" t="n">
        <f aca="false">I1288-J1288</f>
        <v>175.28</v>
      </c>
      <c r="L1288" s="5" t="n">
        <f aca="false">IFERROR(K1288/I1288,0)</f>
        <v>0.35781651900543</v>
      </c>
    </row>
    <row r="1289" customFormat="false" ht="15" hidden="false" customHeight="false" outlineLevel="0" collapsed="false">
      <c r="A1289" s="2" t="s">
        <v>47</v>
      </c>
      <c r="B1289" s="2" t="s">
        <v>48</v>
      </c>
      <c r="C1289" s="2" t="s">
        <v>26</v>
      </c>
      <c r="D1289" s="2" t="s">
        <v>29</v>
      </c>
      <c r="E1289" s="3" t="n">
        <v>46054</v>
      </c>
      <c r="F1289" s="2" t="n">
        <v>17</v>
      </c>
      <c r="G1289" s="4" t="n">
        <v>119.99</v>
      </c>
      <c r="H1289" s="4" t="n">
        <v>82.47</v>
      </c>
      <c r="I1289" s="4" t="n">
        <f aca="false">F1289*G1289</f>
        <v>2039.83</v>
      </c>
      <c r="J1289" s="4" t="n">
        <f aca="false">F1289*H1289</f>
        <v>1401.99</v>
      </c>
      <c r="K1289" s="4" t="n">
        <f aca="false">I1289-J1289</f>
        <v>637.84</v>
      </c>
      <c r="L1289" s="5" t="n">
        <f aca="false">IFERROR(K1289/I1289,0)</f>
        <v>0.312692724393699</v>
      </c>
    </row>
    <row r="1290" customFormat="false" ht="15" hidden="false" customHeight="false" outlineLevel="0" collapsed="false">
      <c r="A1290" s="2" t="s">
        <v>47</v>
      </c>
      <c r="B1290" s="2" t="s">
        <v>48</v>
      </c>
      <c r="C1290" s="2" t="s">
        <v>26</v>
      </c>
      <c r="D1290" s="2" t="s">
        <v>30</v>
      </c>
      <c r="E1290" s="3" t="n">
        <v>46054</v>
      </c>
      <c r="F1290" s="2" t="n">
        <v>17</v>
      </c>
      <c r="G1290" s="4" t="n">
        <v>24.99</v>
      </c>
      <c r="H1290" s="4" t="n">
        <v>15.29</v>
      </c>
      <c r="I1290" s="4" t="n">
        <f aca="false">F1290*G1290</f>
        <v>424.83</v>
      </c>
      <c r="J1290" s="4" t="n">
        <f aca="false">F1290*H1290</f>
        <v>259.93</v>
      </c>
      <c r="K1290" s="4" t="n">
        <f aca="false">I1290-J1290</f>
        <v>164.9</v>
      </c>
      <c r="L1290" s="5" t="n">
        <f aca="false">IFERROR(K1290/I1290,0)</f>
        <v>0.388155262104842</v>
      </c>
    </row>
    <row r="1291" customFormat="false" ht="15" hidden="false" customHeight="false" outlineLevel="0" collapsed="false">
      <c r="A1291" s="2" t="s">
        <v>47</v>
      </c>
      <c r="B1291" s="2" t="s">
        <v>48</v>
      </c>
      <c r="C1291" s="2" t="s">
        <v>26</v>
      </c>
      <c r="D1291" s="2" t="s">
        <v>31</v>
      </c>
      <c r="E1291" s="3" t="n">
        <v>46054</v>
      </c>
      <c r="F1291" s="2" t="n">
        <v>11</v>
      </c>
      <c r="G1291" s="4" t="n">
        <v>59.99</v>
      </c>
      <c r="H1291" s="4" t="n">
        <v>39.1</v>
      </c>
      <c r="I1291" s="4" t="n">
        <f aca="false">F1291*G1291</f>
        <v>659.89</v>
      </c>
      <c r="J1291" s="4" t="n">
        <f aca="false">F1291*H1291</f>
        <v>430.1</v>
      </c>
      <c r="K1291" s="4" t="n">
        <f aca="false">I1291-J1291</f>
        <v>229.79</v>
      </c>
      <c r="L1291" s="5" t="n">
        <f aca="false">IFERROR(K1291/I1291,0)</f>
        <v>0.348224704117353</v>
      </c>
    </row>
    <row r="1292" customFormat="false" ht="15" hidden="false" customHeight="false" outlineLevel="0" collapsed="false">
      <c r="A1292" s="2" t="s">
        <v>47</v>
      </c>
      <c r="B1292" s="2" t="s">
        <v>48</v>
      </c>
      <c r="C1292" s="2" t="s">
        <v>32</v>
      </c>
      <c r="D1292" s="2" t="s">
        <v>33</v>
      </c>
      <c r="E1292" s="3" t="n">
        <v>46054</v>
      </c>
      <c r="F1292" s="2" t="n">
        <v>23</v>
      </c>
      <c r="G1292" s="4" t="n">
        <v>49.99</v>
      </c>
      <c r="H1292" s="4" t="n">
        <v>36.09</v>
      </c>
      <c r="I1292" s="4" t="n">
        <f aca="false">F1292*G1292</f>
        <v>1149.77</v>
      </c>
      <c r="J1292" s="4" t="n">
        <f aca="false">F1292*H1292</f>
        <v>830.07</v>
      </c>
      <c r="K1292" s="4" t="n">
        <f aca="false">I1292-J1292</f>
        <v>319.7</v>
      </c>
      <c r="L1292" s="5" t="n">
        <f aca="false">IFERROR(K1292/I1292,0)</f>
        <v>0.278055611122224</v>
      </c>
    </row>
    <row r="1293" customFormat="false" ht="15" hidden="false" customHeight="false" outlineLevel="0" collapsed="false">
      <c r="A1293" s="2" t="s">
        <v>47</v>
      </c>
      <c r="B1293" s="2" t="s">
        <v>48</v>
      </c>
      <c r="C1293" s="2" t="s">
        <v>32</v>
      </c>
      <c r="D1293" s="2" t="s">
        <v>34</v>
      </c>
      <c r="E1293" s="3" t="n">
        <v>46054</v>
      </c>
      <c r="F1293" s="2" t="n">
        <v>12</v>
      </c>
      <c r="G1293" s="4" t="n">
        <v>27.99</v>
      </c>
      <c r="H1293" s="4" t="n">
        <v>19.91</v>
      </c>
      <c r="I1293" s="4" t="n">
        <f aca="false">F1293*G1293</f>
        <v>335.88</v>
      </c>
      <c r="J1293" s="4" t="n">
        <f aca="false">F1293*H1293</f>
        <v>238.92</v>
      </c>
      <c r="K1293" s="4" t="n">
        <f aca="false">I1293-J1293</f>
        <v>96.96</v>
      </c>
      <c r="L1293" s="5" t="n">
        <f aca="false">IFERROR(K1293/I1293,0)</f>
        <v>0.288674526616649</v>
      </c>
    </row>
    <row r="1294" customFormat="false" ht="15" hidden="false" customHeight="false" outlineLevel="0" collapsed="false">
      <c r="A1294" s="2" t="s">
        <v>47</v>
      </c>
      <c r="B1294" s="2" t="s">
        <v>48</v>
      </c>
      <c r="C1294" s="2" t="s">
        <v>32</v>
      </c>
      <c r="D1294" s="2" t="s">
        <v>35</v>
      </c>
      <c r="E1294" s="3" t="n">
        <v>46054</v>
      </c>
      <c r="F1294" s="2" t="n">
        <v>15</v>
      </c>
      <c r="G1294" s="4" t="n">
        <v>64.99</v>
      </c>
      <c r="H1294" s="4" t="n">
        <v>46.6</v>
      </c>
      <c r="I1294" s="4" t="n">
        <f aca="false">F1294*G1294</f>
        <v>974.85</v>
      </c>
      <c r="J1294" s="4" t="n">
        <f aca="false">F1294*H1294</f>
        <v>699</v>
      </c>
      <c r="K1294" s="4" t="n">
        <f aca="false">I1294-J1294</f>
        <v>275.85</v>
      </c>
      <c r="L1294" s="5" t="n">
        <f aca="false">IFERROR(K1294/I1294,0)</f>
        <v>0.28296661024773</v>
      </c>
    </row>
    <row r="1295" customFormat="false" ht="15" hidden="false" customHeight="false" outlineLevel="0" collapsed="false">
      <c r="A1295" s="2" t="s">
        <v>47</v>
      </c>
      <c r="B1295" s="2" t="s">
        <v>48</v>
      </c>
      <c r="C1295" s="2" t="s">
        <v>32</v>
      </c>
      <c r="D1295" s="2" t="s">
        <v>36</v>
      </c>
      <c r="E1295" s="3" t="n">
        <v>46054</v>
      </c>
      <c r="F1295" s="2" t="n">
        <v>12</v>
      </c>
      <c r="G1295" s="4" t="n">
        <v>22.99</v>
      </c>
      <c r="H1295" s="4" t="n">
        <v>17.19</v>
      </c>
      <c r="I1295" s="4" t="n">
        <f aca="false">F1295*G1295</f>
        <v>275.88</v>
      </c>
      <c r="J1295" s="4" t="n">
        <f aca="false">F1295*H1295</f>
        <v>206.28</v>
      </c>
      <c r="K1295" s="4" t="n">
        <f aca="false">I1295-J1295</f>
        <v>69.6</v>
      </c>
      <c r="L1295" s="5" t="n">
        <f aca="false">IFERROR(K1295/I1295,0)</f>
        <v>0.252283601565898</v>
      </c>
    </row>
    <row r="1296" customFormat="false" ht="15" hidden="false" customHeight="false" outlineLevel="0" collapsed="false">
      <c r="A1296" s="2" t="s">
        <v>47</v>
      </c>
      <c r="B1296" s="2" t="s">
        <v>48</v>
      </c>
      <c r="C1296" s="2" t="s">
        <v>32</v>
      </c>
      <c r="D1296" s="2" t="s">
        <v>37</v>
      </c>
      <c r="E1296" s="3" t="n">
        <v>46054</v>
      </c>
      <c r="F1296" s="2" t="n">
        <v>12</v>
      </c>
      <c r="G1296" s="4" t="n">
        <v>29.99</v>
      </c>
      <c r="H1296" s="4" t="n">
        <v>20.82</v>
      </c>
      <c r="I1296" s="4" t="n">
        <f aca="false">F1296*G1296</f>
        <v>359.88</v>
      </c>
      <c r="J1296" s="4" t="n">
        <f aca="false">F1296*H1296</f>
        <v>249.84</v>
      </c>
      <c r="K1296" s="4" t="n">
        <f aca="false">I1296-J1296</f>
        <v>110.04</v>
      </c>
      <c r="L1296" s="5" t="n">
        <f aca="false">IFERROR(K1296/I1296,0)</f>
        <v>0.305768589529843</v>
      </c>
    </row>
    <row r="1297" customFormat="false" ht="15" hidden="false" customHeight="false" outlineLevel="0" collapsed="false">
      <c r="A1297" s="2" t="s">
        <v>47</v>
      </c>
      <c r="B1297" s="2" t="s">
        <v>48</v>
      </c>
      <c r="C1297" s="2" t="s">
        <v>38</v>
      </c>
      <c r="D1297" s="2" t="s">
        <v>39</v>
      </c>
      <c r="E1297" s="3" t="n">
        <v>46054</v>
      </c>
      <c r="F1297" s="2" t="n">
        <v>14</v>
      </c>
      <c r="G1297" s="4" t="n">
        <v>129.99</v>
      </c>
      <c r="H1297" s="4" t="n">
        <v>76.27</v>
      </c>
      <c r="I1297" s="4" t="n">
        <f aca="false">F1297*G1297</f>
        <v>1819.86</v>
      </c>
      <c r="J1297" s="4" t="n">
        <f aca="false">F1297*H1297</f>
        <v>1067.78</v>
      </c>
      <c r="K1297" s="4" t="n">
        <f aca="false">I1297-J1297</f>
        <v>752.08</v>
      </c>
      <c r="L1297" s="5" t="n">
        <f aca="false">IFERROR(K1297/I1297,0)</f>
        <v>0.413262558658358</v>
      </c>
    </row>
    <row r="1298" customFormat="false" ht="15" hidden="false" customHeight="false" outlineLevel="0" collapsed="false">
      <c r="A1298" s="2" t="s">
        <v>47</v>
      </c>
      <c r="B1298" s="2" t="s">
        <v>48</v>
      </c>
      <c r="C1298" s="2" t="s">
        <v>38</v>
      </c>
      <c r="D1298" s="2" t="s">
        <v>40</v>
      </c>
      <c r="E1298" s="3" t="n">
        <v>46054</v>
      </c>
      <c r="F1298" s="2" t="n">
        <v>5</v>
      </c>
      <c r="G1298" s="4" t="n">
        <v>74.99</v>
      </c>
      <c r="H1298" s="4" t="n">
        <v>40.4</v>
      </c>
      <c r="I1298" s="4" t="n">
        <f aca="false">F1298*G1298</f>
        <v>374.95</v>
      </c>
      <c r="J1298" s="4" t="n">
        <f aca="false">F1298*H1298</f>
        <v>202</v>
      </c>
      <c r="K1298" s="4" t="n">
        <f aca="false">I1298-J1298</f>
        <v>172.95</v>
      </c>
      <c r="L1298" s="5" t="n">
        <f aca="false">IFERROR(K1298/I1298,0)</f>
        <v>0.461261501533538</v>
      </c>
    </row>
    <row r="1299" customFormat="false" ht="15" hidden="false" customHeight="false" outlineLevel="0" collapsed="false">
      <c r="A1299" s="2" t="s">
        <v>47</v>
      </c>
      <c r="B1299" s="2" t="s">
        <v>48</v>
      </c>
      <c r="C1299" s="2" t="s">
        <v>38</v>
      </c>
      <c r="D1299" s="2" t="s">
        <v>41</v>
      </c>
      <c r="E1299" s="3" t="n">
        <v>46054</v>
      </c>
      <c r="F1299" s="2" t="n">
        <v>13</v>
      </c>
      <c r="G1299" s="4" t="n">
        <v>19.99</v>
      </c>
      <c r="H1299" s="4" t="n">
        <v>9.59</v>
      </c>
      <c r="I1299" s="4" t="n">
        <f aca="false">F1299*G1299</f>
        <v>259.87</v>
      </c>
      <c r="J1299" s="4" t="n">
        <f aca="false">F1299*H1299</f>
        <v>124.67</v>
      </c>
      <c r="K1299" s="4" t="n">
        <f aca="false">I1299-J1299</f>
        <v>135.2</v>
      </c>
      <c r="L1299" s="5" t="n">
        <f aca="false">IFERROR(K1299/I1299,0)</f>
        <v>0.520260130065033</v>
      </c>
    </row>
    <row r="1300" customFormat="false" ht="15" hidden="false" customHeight="false" outlineLevel="0" collapsed="false">
      <c r="A1300" s="2" t="s">
        <v>47</v>
      </c>
      <c r="B1300" s="2" t="s">
        <v>48</v>
      </c>
      <c r="C1300" s="2" t="s">
        <v>38</v>
      </c>
      <c r="D1300" s="2" t="s">
        <v>42</v>
      </c>
      <c r="E1300" s="3" t="n">
        <v>46054</v>
      </c>
      <c r="F1300" s="2" t="n">
        <v>16</v>
      </c>
      <c r="G1300" s="4" t="n">
        <v>16.99</v>
      </c>
      <c r="H1300" s="4" t="n">
        <v>8.54</v>
      </c>
      <c r="I1300" s="4" t="n">
        <f aca="false">F1300*G1300</f>
        <v>271.84</v>
      </c>
      <c r="J1300" s="4" t="n">
        <f aca="false">F1300*H1300</f>
        <v>136.64</v>
      </c>
      <c r="K1300" s="4" t="n">
        <f aca="false">I1300-J1300</f>
        <v>135.2</v>
      </c>
      <c r="L1300" s="5" t="n">
        <f aca="false">IFERROR(K1300/I1300,0)</f>
        <v>0.497351383166569</v>
      </c>
    </row>
    <row r="1301" customFormat="false" ht="15" hidden="false" customHeight="false" outlineLevel="0" collapsed="false">
      <c r="A1301" s="2" t="s">
        <v>47</v>
      </c>
      <c r="B1301" s="2" t="s">
        <v>48</v>
      </c>
      <c r="C1301" s="2" t="s">
        <v>38</v>
      </c>
      <c r="D1301" s="2" t="s">
        <v>43</v>
      </c>
      <c r="E1301" s="3" t="n">
        <v>46054</v>
      </c>
      <c r="F1301" s="2" t="n">
        <v>10</v>
      </c>
      <c r="G1301" s="4" t="n">
        <v>24.99</v>
      </c>
      <c r="H1301" s="4" t="n">
        <v>12.83</v>
      </c>
      <c r="I1301" s="4" t="n">
        <f aca="false">F1301*G1301</f>
        <v>249.9</v>
      </c>
      <c r="J1301" s="4" t="n">
        <f aca="false">F1301*H1301</f>
        <v>128.3</v>
      </c>
      <c r="K1301" s="4" t="n">
        <f aca="false">I1301-J1301</f>
        <v>121.6</v>
      </c>
      <c r="L1301" s="5" t="n">
        <f aca="false">IFERROR(K1301/I1301,0)</f>
        <v>0.486594637855142</v>
      </c>
    </row>
    <row r="1302" customFormat="false" ht="15" hidden="false" customHeight="false" outlineLevel="0" collapsed="false">
      <c r="A1302" s="2" t="s">
        <v>47</v>
      </c>
      <c r="B1302" s="2" t="s">
        <v>49</v>
      </c>
      <c r="C1302" s="2" t="s">
        <v>14</v>
      </c>
      <c r="D1302" s="2" t="s">
        <v>15</v>
      </c>
      <c r="E1302" s="3" t="n">
        <v>46054</v>
      </c>
      <c r="F1302" s="2" t="n">
        <v>18</v>
      </c>
      <c r="G1302" s="4" t="n">
        <v>69.99</v>
      </c>
      <c r="H1302" s="4" t="n">
        <v>32.65</v>
      </c>
      <c r="I1302" s="4" t="n">
        <f aca="false">F1302*G1302</f>
        <v>1259.82</v>
      </c>
      <c r="J1302" s="4" t="n">
        <f aca="false">F1302*H1302</f>
        <v>587.7</v>
      </c>
      <c r="K1302" s="4" t="n">
        <f aca="false">I1302-J1302</f>
        <v>672.12</v>
      </c>
      <c r="L1302" s="5" t="n">
        <f aca="false">IFERROR(K1302/I1302,0)</f>
        <v>0.533504786398057</v>
      </c>
    </row>
    <row r="1303" customFormat="false" ht="15" hidden="false" customHeight="false" outlineLevel="0" collapsed="false">
      <c r="A1303" s="2" t="s">
        <v>47</v>
      </c>
      <c r="B1303" s="2" t="s">
        <v>49</v>
      </c>
      <c r="C1303" s="2" t="s">
        <v>14</v>
      </c>
      <c r="D1303" s="2" t="s">
        <v>16</v>
      </c>
      <c r="E1303" s="3" t="n">
        <v>46054</v>
      </c>
      <c r="F1303" s="2" t="n">
        <v>13</v>
      </c>
      <c r="G1303" s="4" t="n">
        <v>19.99</v>
      </c>
      <c r="H1303" s="4" t="n">
        <v>8.77</v>
      </c>
      <c r="I1303" s="4" t="n">
        <f aca="false">F1303*G1303</f>
        <v>259.87</v>
      </c>
      <c r="J1303" s="4" t="n">
        <f aca="false">F1303*H1303</f>
        <v>114.01</v>
      </c>
      <c r="K1303" s="4" t="n">
        <f aca="false">I1303-J1303</f>
        <v>145.86</v>
      </c>
      <c r="L1303" s="5" t="n">
        <f aca="false">IFERROR(K1303/I1303,0)</f>
        <v>0.56128064032016</v>
      </c>
    </row>
    <row r="1304" customFormat="false" ht="15" hidden="false" customHeight="false" outlineLevel="0" collapsed="false">
      <c r="A1304" s="2" t="s">
        <v>47</v>
      </c>
      <c r="B1304" s="2" t="s">
        <v>49</v>
      </c>
      <c r="C1304" s="2" t="s">
        <v>14</v>
      </c>
      <c r="D1304" s="2" t="s">
        <v>17</v>
      </c>
      <c r="E1304" s="3" t="n">
        <v>46054</v>
      </c>
      <c r="F1304" s="2" t="n">
        <v>12</v>
      </c>
      <c r="G1304" s="4" t="n">
        <v>79.99</v>
      </c>
      <c r="H1304" s="4" t="n">
        <v>39.22</v>
      </c>
      <c r="I1304" s="4" t="n">
        <f aca="false">F1304*G1304</f>
        <v>959.88</v>
      </c>
      <c r="J1304" s="4" t="n">
        <f aca="false">F1304*H1304</f>
        <v>470.64</v>
      </c>
      <c r="K1304" s="4" t="n">
        <f aca="false">I1304-J1304</f>
        <v>489.24</v>
      </c>
      <c r="L1304" s="5" t="n">
        <f aca="false">IFERROR(K1304/I1304,0)</f>
        <v>0.509688711088886</v>
      </c>
    </row>
    <row r="1305" customFormat="false" ht="15" hidden="false" customHeight="false" outlineLevel="0" collapsed="false">
      <c r="A1305" s="2" t="s">
        <v>47</v>
      </c>
      <c r="B1305" s="2" t="s">
        <v>49</v>
      </c>
      <c r="C1305" s="2" t="s">
        <v>14</v>
      </c>
      <c r="D1305" s="2" t="s">
        <v>18</v>
      </c>
      <c r="E1305" s="3" t="n">
        <v>46054</v>
      </c>
      <c r="F1305" s="2" t="n">
        <v>13</v>
      </c>
      <c r="G1305" s="4" t="n">
        <v>34.99</v>
      </c>
      <c r="H1305" s="4" t="n">
        <v>14.4</v>
      </c>
      <c r="I1305" s="4" t="n">
        <f aca="false">F1305*G1305</f>
        <v>454.87</v>
      </c>
      <c r="J1305" s="4" t="n">
        <f aca="false">F1305*H1305</f>
        <v>187.2</v>
      </c>
      <c r="K1305" s="4" t="n">
        <f aca="false">I1305-J1305</f>
        <v>267.67</v>
      </c>
      <c r="L1305" s="5" t="n">
        <f aca="false">IFERROR(K1305/I1305,0)</f>
        <v>0.588453843955416</v>
      </c>
    </row>
    <row r="1306" customFormat="false" ht="15" hidden="false" customHeight="false" outlineLevel="0" collapsed="false">
      <c r="A1306" s="2" t="s">
        <v>47</v>
      </c>
      <c r="B1306" s="2" t="s">
        <v>49</v>
      </c>
      <c r="C1306" s="2" t="s">
        <v>14</v>
      </c>
      <c r="D1306" s="2" t="s">
        <v>19</v>
      </c>
      <c r="E1306" s="3" t="n">
        <v>46054</v>
      </c>
      <c r="F1306" s="2" t="n">
        <v>14</v>
      </c>
      <c r="G1306" s="4" t="n">
        <v>54.99</v>
      </c>
      <c r="H1306" s="4" t="n">
        <v>23.61</v>
      </c>
      <c r="I1306" s="4" t="n">
        <f aca="false">F1306*G1306</f>
        <v>769.86</v>
      </c>
      <c r="J1306" s="4" t="n">
        <f aca="false">F1306*H1306</f>
        <v>330.54</v>
      </c>
      <c r="K1306" s="4" t="n">
        <f aca="false">I1306-J1306</f>
        <v>439.32</v>
      </c>
      <c r="L1306" s="5" t="n">
        <f aca="false">IFERROR(K1306/I1306,0)</f>
        <v>0.570649208947081</v>
      </c>
    </row>
    <row r="1307" customFormat="false" ht="15" hidden="false" customHeight="false" outlineLevel="0" collapsed="false">
      <c r="A1307" s="2" t="s">
        <v>47</v>
      </c>
      <c r="B1307" s="2" t="s">
        <v>49</v>
      </c>
      <c r="C1307" s="2" t="s">
        <v>20</v>
      </c>
      <c r="D1307" s="2" t="s">
        <v>21</v>
      </c>
      <c r="E1307" s="3" t="n">
        <v>46054</v>
      </c>
      <c r="F1307" s="2" t="n">
        <v>14</v>
      </c>
      <c r="G1307" s="4" t="n">
        <v>44.99</v>
      </c>
      <c r="H1307" s="4" t="n">
        <v>19.94</v>
      </c>
      <c r="I1307" s="4" t="n">
        <f aca="false">F1307*G1307</f>
        <v>629.86</v>
      </c>
      <c r="J1307" s="4" t="n">
        <f aca="false">F1307*H1307</f>
        <v>279.16</v>
      </c>
      <c r="K1307" s="4" t="n">
        <f aca="false">I1307-J1307</f>
        <v>350.7</v>
      </c>
      <c r="L1307" s="5" t="n">
        <f aca="false">IFERROR(K1307/I1307,0)</f>
        <v>0.556790397866192</v>
      </c>
    </row>
    <row r="1308" customFormat="false" ht="15" hidden="false" customHeight="false" outlineLevel="0" collapsed="false">
      <c r="A1308" s="2" t="s">
        <v>47</v>
      </c>
      <c r="B1308" s="2" t="s">
        <v>49</v>
      </c>
      <c r="C1308" s="2" t="s">
        <v>20</v>
      </c>
      <c r="D1308" s="2" t="s">
        <v>22</v>
      </c>
      <c r="E1308" s="3" t="n">
        <v>46054</v>
      </c>
      <c r="F1308" s="2" t="n">
        <v>15</v>
      </c>
      <c r="G1308" s="4" t="n">
        <v>14.99</v>
      </c>
      <c r="H1308" s="4" t="n">
        <v>5.61</v>
      </c>
      <c r="I1308" s="4" t="n">
        <f aca="false">F1308*G1308</f>
        <v>224.85</v>
      </c>
      <c r="J1308" s="4" t="n">
        <f aca="false">F1308*H1308</f>
        <v>84.15</v>
      </c>
      <c r="K1308" s="4" t="n">
        <f aca="false">I1308-J1308</f>
        <v>140.7</v>
      </c>
      <c r="L1308" s="5" t="n">
        <f aca="false">IFERROR(K1308/I1308,0)</f>
        <v>0.625750500333556</v>
      </c>
    </row>
    <row r="1309" customFormat="false" ht="15" hidden="false" customHeight="false" outlineLevel="0" collapsed="false">
      <c r="A1309" s="2" t="s">
        <v>47</v>
      </c>
      <c r="B1309" s="2" t="s">
        <v>49</v>
      </c>
      <c r="C1309" s="2" t="s">
        <v>20</v>
      </c>
      <c r="D1309" s="2" t="s">
        <v>23</v>
      </c>
      <c r="E1309" s="3" t="n">
        <v>46054</v>
      </c>
      <c r="F1309" s="2" t="n">
        <v>12</v>
      </c>
      <c r="G1309" s="4" t="n">
        <v>39.99</v>
      </c>
      <c r="H1309" s="4" t="n">
        <v>16.91</v>
      </c>
      <c r="I1309" s="4" t="n">
        <f aca="false">F1309*G1309</f>
        <v>479.88</v>
      </c>
      <c r="J1309" s="4" t="n">
        <f aca="false">F1309*H1309</f>
        <v>202.92</v>
      </c>
      <c r="K1309" s="4" t="n">
        <f aca="false">I1309-J1309</f>
        <v>276.96</v>
      </c>
      <c r="L1309" s="5" t="n">
        <f aca="false">IFERROR(K1309/I1309,0)</f>
        <v>0.577144286071518</v>
      </c>
    </row>
    <row r="1310" customFormat="false" ht="15" hidden="false" customHeight="false" outlineLevel="0" collapsed="false">
      <c r="A1310" s="2" t="s">
        <v>47</v>
      </c>
      <c r="B1310" s="2" t="s">
        <v>49</v>
      </c>
      <c r="C1310" s="2" t="s">
        <v>20</v>
      </c>
      <c r="D1310" s="2" t="s">
        <v>24</v>
      </c>
      <c r="E1310" s="3" t="n">
        <v>46054</v>
      </c>
      <c r="F1310" s="2" t="n">
        <v>14</v>
      </c>
      <c r="G1310" s="4" t="n">
        <v>18.99</v>
      </c>
      <c r="H1310" s="4" t="n">
        <v>7.77</v>
      </c>
      <c r="I1310" s="4" t="n">
        <f aca="false">F1310*G1310</f>
        <v>265.86</v>
      </c>
      <c r="J1310" s="4" t="n">
        <f aca="false">F1310*H1310</f>
        <v>108.78</v>
      </c>
      <c r="K1310" s="4" t="n">
        <f aca="false">I1310-J1310</f>
        <v>157.08</v>
      </c>
      <c r="L1310" s="5" t="n">
        <f aca="false">IFERROR(K1310/I1310,0)</f>
        <v>0.590837282780411</v>
      </c>
    </row>
    <row r="1311" customFormat="false" ht="15" hidden="false" customHeight="false" outlineLevel="0" collapsed="false">
      <c r="A1311" s="2" t="s">
        <v>47</v>
      </c>
      <c r="B1311" s="2" t="s">
        <v>49</v>
      </c>
      <c r="C1311" s="2" t="s">
        <v>20</v>
      </c>
      <c r="D1311" s="2" t="s">
        <v>25</v>
      </c>
      <c r="E1311" s="3" t="n">
        <v>46054</v>
      </c>
      <c r="F1311" s="2" t="n">
        <v>16</v>
      </c>
      <c r="G1311" s="4" t="n">
        <v>42.99</v>
      </c>
      <c r="H1311" s="4" t="n">
        <v>16.11</v>
      </c>
      <c r="I1311" s="4" t="n">
        <f aca="false">F1311*G1311</f>
        <v>687.84</v>
      </c>
      <c r="J1311" s="4" t="n">
        <f aca="false">F1311*H1311</f>
        <v>257.76</v>
      </c>
      <c r="K1311" s="4" t="n">
        <f aca="false">I1311-J1311</f>
        <v>430.08</v>
      </c>
      <c r="L1311" s="5" t="n">
        <f aca="false">IFERROR(K1311/I1311,0)</f>
        <v>0.625261688764829</v>
      </c>
    </row>
    <row r="1312" customFormat="false" ht="15" hidden="false" customHeight="false" outlineLevel="0" collapsed="false">
      <c r="A1312" s="2" t="s">
        <v>47</v>
      </c>
      <c r="B1312" s="2" t="s">
        <v>49</v>
      </c>
      <c r="C1312" s="2" t="s">
        <v>26</v>
      </c>
      <c r="D1312" s="2" t="s">
        <v>27</v>
      </c>
      <c r="E1312" s="3" t="n">
        <v>46054</v>
      </c>
      <c r="F1312" s="2" t="n">
        <v>11</v>
      </c>
      <c r="G1312" s="4" t="n">
        <v>44.99</v>
      </c>
      <c r="H1312" s="4" t="n">
        <v>28.3</v>
      </c>
      <c r="I1312" s="4" t="n">
        <f aca="false">F1312*G1312</f>
        <v>494.89</v>
      </c>
      <c r="J1312" s="4" t="n">
        <f aca="false">F1312*H1312</f>
        <v>311.3</v>
      </c>
      <c r="K1312" s="4" t="n">
        <f aca="false">I1312-J1312</f>
        <v>183.59</v>
      </c>
      <c r="L1312" s="5" t="n">
        <f aca="false">IFERROR(K1312/I1312,0)</f>
        <v>0.370971326961547</v>
      </c>
    </row>
    <row r="1313" customFormat="false" ht="15" hidden="false" customHeight="false" outlineLevel="0" collapsed="false">
      <c r="A1313" s="2" t="s">
        <v>47</v>
      </c>
      <c r="B1313" s="2" t="s">
        <v>49</v>
      </c>
      <c r="C1313" s="2" t="s">
        <v>26</v>
      </c>
      <c r="D1313" s="2" t="s">
        <v>28</v>
      </c>
      <c r="E1313" s="3" t="n">
        <v>46054</v>
      </c>
      <c r="F1313" s="2" t="n">
        <v>18</v>
      </c>
      <c r="G1313" s="4" t="n">
        <v>34.99</v>
      </c>
      <c r="H1313" s="4" t="n">
        <v>22.74</v>
      </c>
      <c r="I1313" s="4" t="n">
        <f aca="false">F1313*G1313</f>
        <v>629.82</v>
      </c>
      <c r="J1313" s="4" t="n">
        <f aca="false">F1313*H1313</f>
        <v>409.32</v>
      </c>
      <c r="K1313" s="4" t="n">
        <f aca="false">I1313-J1313</f>
        <v>220.5</v>
      </c>
      <c r="L1313" s="5" t="n">
        <f aca="false">IFERROR(K1313/I1313,0)</f>
        <v>0.350100028579594</v>
      </c>
    </row>
    <row r="1314" customFormat="false" ht="15" hidden="false" customHeight="false" outlineLevel="0" collapsed="false">
      <c r="A1314" s="2" t="s">
        <v>47</v>
      </c>
      <c r="B1314" s="2" t="s">
        <v>49</v>
      </c>
      <c r="C1314" s="2" t="s">
        <v>26</v>
      </c>
      <c r="D1314" s="2" t="s">
        <v>29</v>
      </c>
      <c r="E1314" s="3" t="n">
        <v>46054</v>
      </c>
      <c r="F1314" s="2" t="n">
        <v>16</v>
      </c>
      <c r="G1314" s="4" t="n">
        <v>119.99</v>
      </c>
      <c r="H1314" s="4" t="n">
        <v>82.32</v>
      </c>
      <c r="I1314" s="4" t="n">
        <f aca="false">F1314*G1314</f>
        <v>1919.84</v>
      </c>
      <c r="J1314" s="4" t="n">
        <f aca="false">F1314*H1314</f>
        <v>1317.12</v>
      </c>
      <c r="K1314" s="4" t="n">
        <f aca="false">I1314-J1314</f>
        <v>602.72</v>
      </c>
      <c r="L1314" s="5" t="n">
        <f aca="false">IFERROR(K1314/I1314,0)</f>
        <v>0.313942828569047</v>
      </c>
    </row>
    <row r="1315" customFormat="false" ht="15" hidden="false" customHeight="false" outlineLevel="0" collapsed="false">
      <c r="A1315" s="2" t="s">
        <v>47</v>
      </c>
      <c r="B1315" s="2" t="s">
        <v>49</v>
      </c>
      <c r="C1315" s="2" t="s">
        <v>26</v>
      </c>
      <c r="D1315" s="2" t="s">
        <v>30</v>
      </c>
      <c r="E1315" s="3" t="n">
        <v>46054</v>
      </c>
      <c r="F1315" s="2" t="n">
        <v>15</v>
      </c>
      <c r="G1315" s="4" t="n">
        <v>24.99</v>
      </c>
      <c r="H1315" s="4" t="n">
        <v>15.2</v>
      </c>
      <c r="I1315" s="4" t="n">
        <f aca="false">F1315*G1315</f>
        <v>374.85</v>
      </c>
      <c r="J1315" s="4" t="n">
        <f aca="false">F1315*H1315</f>
        <v>228</v>
      </c>
      <c r="K1315" s="4" t="n">
        <f aca="false">I1315-J1315</f>
        <v>146.85</v>
      </c>
      <c r="L1315" s="5" t="n">
        <f aca="false">IFERROR(K1315/I1315,0)</f>
        <v>0.391756702681072</v>
      </c>
    </row>
    <row r="1316" customFormat="false" ht="15" hidden="false" customHeight="false" outlineLevel="0" collapsed="false">
      <c r="A1316" s="2" t="s">
        <v>47</v>
      </c>
      <c r="B1316" s="2" t="s">
        <v>49</v>
      </c>
      <c r="C1316" s="2" t="s">
        <v>26</v>
      </c>
      <c r="D1316" s="2" t="s">
        <v>31</v>
      </c>
      <c r="E1316" s="3" t="n">
        <v>46054</v>
      </c>
      <c r="F1316" s="2" t="n">
        <v>15</v>
      </c>
      <c r="G1316" s="4" t="n">
        <v>59.99</v>
      </c>
      <c r="H1316" s="4" t="n">
        <v>37.88</v>
      </c>
      <c r="I1316" s="4" t="n">
        <f aca="false">F1316*G1316</f>
        <v>899.85</v>
      </c>
      <c r="J1316" s="4" t="n">
        <f aca="false">F1316*H1316</f>
        <v>568.2</v>
      </c>
      <c r="K1316" s="4" t="n">
        <f aca="false">I1316-J1316</f>
        <v>331.65</v>
      </c>
      <c r="L1316" s="5" t="n">
        <f aca="false">IFERROR(K1316/I1316,0)</f>
        <v>0.368561426904484</v>
      </c>
    </row>
    <row r="1317" customFormat="false" ht="15" hidden="false" customHeight="false" outlineLevel="0" collapsed="false">
      <c r="A1317" s="2" t="s">
        <v>47</v>
      </c>
      <c r="B1317" s="2" t="s">
        <v>49</v>
      </c>
      <c r="C1317" s="2" t="s">
        <v>32</v>
      </c>
      <c r="D1317" s="2" t="s">
        <v>33</v>
      </c>
      <c r="E1317" s="3" t="n">
        <v>46054</v>
      </c>
      <c r="F1317" s="2" t="n">
        <v>14</v>
      </c>
      <c r="G1317" s="4" t="n">
        <v>49.99</v>
      </c>
      <c r="H1317" s="4" t="n">
        <v>35.27</v>
      </c>
      <c r="I1317" s="4" t="n">
        <f aca="false">F1317*G1317</f>
        <v>699.86</v>
      </c>
      <c r="J1317" s="4" t="n">
        <f aca="false">F1317*H1317</f>
        <v>493.78</v>
      </c>
      <c r="K1317" s="4" t="n">
        <f aca="false">I1317-J1317</f>
        <v>206.08</v>
      </c>
      <c r="L1317" s="5" t="n">
        <f aca="false">IFERROR(K1317/I1317,0)</f>
        <v>0.294458891778356</v>
      </c>
    </row>
    <row r="1318" customFormat="false" ht="15" hidden="false" customHeight="false" outlineLevel="0" collapsed="false">
      <c r="A1318" s="2" t="s">
        <v>47</v>
      </c>
      <c r="B1318" s="2" t="s">
        <v>49</v>
      </c>
      <c r="C1318" s="2" t="s">
        <v>32</v>
      </c>
      <c r="D1318" s="2" t="s">
        <v>34</v>
      </c>
      <c r="E1318" s="3" t="n">
        <v>46054</v>
      </c>
      <c r="F1318" s="2" t="n">
        <v>15</v>
      </c>
      <c r="G1318" s="4" t="n">
        <v>27.99</v>
      </c>
      <c r="H1318" s="4" t="n">
        <v>20.24</v>
      </c>
      <c r="I1318" s="4" t="n">
        <f aca="false">F1318*G1318</f>
        <v>419.85</v>
      </c>
      <c r="J1318" s="4" t="n">
        <f aca="false">F1318*H1318</f>
        <v>303.6</v>
      </c>
      <c r="K1318" s="4" t="n">
        <f aca="false">I1318-J1318</f>
        <v>116.25</v>
      </c>
      <c r="L1318" s="5" t="n">
        <f aca="false">IFERROR(K1318/I1318,0)</f>
        <v>0.276884601643444</v>
      </c>
    </row>
    <row r="1319" customFormat="false" ht="15" hidden="false" customHeight="false" outlineLevel="0" collapsed="false">
      <c r="A1319" s="2" t="s">
        <v>47</v>
      </c>
      <c r="B1319" s="2" t="s">
        <v>49</v>
      </c>
      <c r="C1319" s="2" t="s">
        <v>32</v>
      </c>
      <c r="D1319" s="2" t="s">
        <v>35</v>
      </c>
      <c r="E1319" s="3" t="n">
        <v>46054</v>
      </c>
      <c r="F1319" s="2" t="n">
        <v>13</v>
      </c>
      <c r="G1319" s="4" t="n">
        <v>64.99</v>
      </c>
      <c r="H1319" s="4" t="n">
        <v>46.05</v>
      </c>
      <c r="I1319" s="4" t="n">
        <f aca="false">F1319*G1319</f>
        <v>844.87</v>
      </c>
      <c r="J1319" s="4" t="n">
        <f aca="false">F1319*H1319</f>
        <v>598.65</v>
      </c>
      <c r="K1319" s="4" t="n">
        <f aca="false">I1319-J1319</f>
        <v>246.22</v>
      </c>
      <c r="L1319" s="5" t="n">
        <f aca="false">IFERROR(K1319/I1319,0)</f>
        <v>0.291429450684721</v>
      </c>
    </row>
    <row r="1320" customFormat="false" ht="15" hidden="false" customHeight="false" outlineLevel="0" collapsed="false">
      <c r="A1320" s="2" t="s">
        <v>47</v>
      </c>
      <c r="B1320" s="2" t="s">
        <v>49</v>
      </c>
      <c r="C1320" s="2" t="s">
        <v>32</v>
      </c>
      <c r="D1320" s="2" t="s">
        <v>36</v>
      </c>
      <c r="E1320" s="3" t="n">
        <v>46054</v>
      </c>
      <c r="F1320" s="2" t="n">
        <v>22</v>
      </c>
      <c r="G1320" s="4" t="n">
        <v>22.99</v>
      </c>
      <c r="H1320" s="4" t="n">
        <v>16.58</v>
      </c>
      <c r="I1320" s="4" t="n">
        <f aca="false">F1320*G1320</f>
        <v>505.78</v>
      </c>
      <c r="J1320" s="4" t="n">
        <f aca="false">F1320*H1320</f>
        <v>364.76</v>
      </c>
      <c r="K1320" s="4" t="n">
        <f aca="false">I1320-J1320</f>
        <v>141.02</v>
      </c>
      <c r="L1320" s="5" t="n">
        <f aca="false">IFERROR(K1320/I1320,0)</f>
        <v>0.278816876903001</v>
      </c>
    </row>
    <row r="1321" customFormat="false" ht="15" hidden="false" customHeight="false" outlineLevel="0" collapsed="false">
      <c r="A1321" s="2" t="s">
        <v>47</v>
      </c>
      <c r="B1321" s="2" t="s">
        <v>49</v>
      </c>
      <c r="C1321" s="2" t="s">
        <v>32</v>
      </c>
      <c r="D1321" s="2" t="s">
        <v>37</v>
      </c>
      <c r="E1321" s="3" t="n">
        <v>46054</v>
      </c>
      <c r="F1321" s="2" t="n">
        <v>11</v>
      </c>
      <c r="G1321" s="4" t="n">
        <v>29.99</v>
      </c>
      <c r="H1321" s="4" t="n">
        <v>20.92</v>
      </c>
      <c r="I1321" s="4" t="n">
        <f aca="false">F1321*G1321</f>
        <v>329.89</v>
      </c>
      <c r="J1321" s="4" t="n">
        <f aca="false">F1321*H1321</f>
        <v>230.12</v>
      </c>
      <c r="K1321" s="4" t="n">
        <f aca="false">I1321-J1321</f>
        <v>99.77</v>
      </c>
      <c r="L1321" s="5" t="n">
        <f aca="false">IFERROR(K1321/I1321,0)</f>
        <v>0.302434144714905</v>
      </c>
    </row>
    <row r="1322" customFormat="false" ht="15" hidden="false" customHeight="false" outlineLevel="0" collapsed="false">
      <c r="A1322" s="2" t="s">
        <v>47</v>
      </c>
      <c r="B1322" s="2" t="s">
        <v>49</v>
      </c>
      <c r="C1322" s="2" t="s">
        <v>38</v>
      </c>
      <c r="D1322" s="2" t="s">
        <v>39</v>
      </c>
      <c r="E1322" s="3" t="n">
        <v>46054</v>
      </c>
      <c r="F1322" s="2" t="n">
        <v>13</v>
      </c>
      <c r="G1322" s="4" t="n">
        <v>129.99</v>
      </c>
      <c r="H1322" s="4" t="n">
        <v>75.12</v>
      </c>
      <c r="I1322" s="4" t="n">
        <f aca="false">F1322*G1322</f>
        <v>1689.87</v>
      </c>
      <c r="J1322" s="4" t="n">
        <f aca="false">F1322*H1322</f>
        <v>976.56</v>
      </c>
      <c r="K1322" s="4" t="n">
        <f aca="false">I1322-J1322</f>
        <v>713.31</v>
      </c>
      <c r="L1322" s="5" t="n">
        <f aca="false">IFERROR(K1322/I1322,0)</f>
        <v>0.422109393030233</v>
      </c>
    </row>
    <row r="1323" customFormat="false" ht="15" hidden="false" customHeight="false" outlineLevel="0" collapsed="false">
      <c r="A1323" s="2" t="s">
        <v>47</v>
      </c>
      <c r="B1323" s="2" t="s">
        <v>49</v>
      </c>
      <c r="C1323" s="2" t="s">
        <v>38</v>
      </c>
      <c r="D1323" s="2" t="s">
        <v>40</v>
      </c>
      <c r="E1323" s="3" t="n">
        <v>46054</v>
      </c>
      <c r="F1323" s="2" t="n">
        <v>14</v>
      </c>
      <c r="G1323" s="4" t="n">
        <v>74.99</v>
      </c>
      <c r="H1323" s="4" t="n">
        <v>40.74</v>
      </c>
      <c r="I1323" s="4" t="n">
        <f aca="false">F1323*G1323</f>
        <v>1049.86</v>
      </c>
      <c r="J1323" s="4" t="n">
        <f aca="false">F1323*H1323</f>
        <v>570.36</v>
      </c>
      <c r="K1323" s="4" t="n">
        <f aca="false">I1323-J1323</f>
        <v>479.5</v>
      </c>
      <c r="L1323" s="5" t="n">
        <f aca="false">IFERROR(K1323/I1323,0)</f>
        <v>0.456727563675157</v>
      </c>
    </row>
    <row r="1324" customFormat="false" ht="15" hidden="false" customHeight="false" outlineLevel="0" collapsed="false">
      <c r="A1324" s="2" t="s">
        <v>47</v>
      </c>
      <c r="B1324" s="2" t="s">
        <v>49</v>
      </c>
      <c r="C1324" s="2" t="s">
        <v>38</v>
      </c>
      <c r="D1324" s="2" t="s">
        <v>41</v>
      </c>
      <c r="E1324" s="3" t="n">
        <v>46054</v>
      </c>
      <c r="F1324" s="2" t="n">
        <v>14</v>
      </c>
      <c r="G1324" s="4" t="n">
        <v>19.99</v>
      </c>
      <c r="H1324" s="4" t="n">
        <v>9.82</v>
      </c>
      <c r="I1324" s="4" t="n">
        <f aca="false">F1324*G1324</f>
        <v>279.86</v>
      </c>
      <c r="J1324" s="4" t="n">
        <f aca="false">F1324*H1324</f>
        <v>137.48</v>
      </c>
      <c r="K1324" s="4" t="n">
        <f aca="false">I1324-J1324</f>
        <v>142.38</v>
      </c>
      <c r="L1324" s="5" t="n">
        <f aca="false">IFERROR(K1324/I1324,0)</f>
        <v>0.508754377188594</v>
      </c>
    </row>
    <row r="1325" customFormat="false" ht="15" hidden="false" customHeight="false" outlineLevel="0" collapsed="false">
      <c r="A1325" s="2" t="s">
        <v>47</v>
      </c>
      <c r="B1325" s="2" t="s">
        <v>49</v>
      </c>
      <c r="C1325" s="2" t="s">
        <v>38</v>
      </c>
      <c r="D1325" s="2" t="s">
        <v>42</v>
      </c>
      <c r="E1325" s="3" t="n">
        <v>46054</v>
      </c>
      <c r="F1325" s="2" t="n">
        <v>17</v>
      </c>
      <c r="G1325" s="4" t="n">
        <v>16.99</v>
      </c>
      <c r="H1325" s="4" t="n">
        <v>8.75</v>
      </c>
      <c r="I1325" s="4" t="n">
        <f aca="false">F1325*G1325</f>
        <v>288.83</v>
      </c>
      <c r="J1325" s="4" t="n">
        <f aca="false">F1325*H1325</f>
        <v>148.75</v>
      </c>
      <c r="K1325" s="4" t="n">
        <f aca="false">I1325-J1325</f>
        <v>140.08</v>
      </c>
      <c r="L1325" s="5" t="n">
        <f aca="false">IFERROR(K1325/I1325,0)</f>
        <v>0.484991171277222</v>
      </c>
    </row>
    <row r="1326" customFormat="false" ht="15" hidden="false" customHeight="false" outlineLevel="0" collapsed="false">
      <c r="A1326" s="2" t="s">
        <v>47</v>
      </c>
      <c r="B1326" s="2" t="s">
        <v>49</v>
      </c>
      <c r="C1326" s="2" t="s">
        <v>38</v>
      </c>
      <c r="D1326" s="2" t="s">
        <v>43</v>
      </c>
      <c r="E1326" s="3" t="n">
        <v>46054</v>
      </c>
      <c r="F1326" s="2" t="n">
        <v>10</v>
      </c>
      <c r="G1326" s="4" t="n">
        <v>24.99</v>
      </c>
      <c r="H1326" s="4" t="n">
        <v>12.86</v>
      </c>
      <c r="I1326" s="4" t="n">
        <f aca="false">F1326*G1326</f>
        <v>249.9</v>
      </c>
      <c r="J1326" s="4" t="n">
        <f aca="false">F1326*H1326</f>
        <v>128.6</v>
      </c>
      <c r="K1326" s="4" t="n">
        <f aca="false">I1326-J1326</f>
        <v>121.3</v>
      </c>
      <c r="L1326" s="5" t="n">
        <f aca="false">IFERROR(K1326/I1326,0)</f>
        <v>0.485394157663065</v>
      </c>
    </row>
    <row r="1327" customFormat="false" ht="15" hidden="false" customHeight="false" outlineLevel="0" collapsed="false">
      <c r="A1327" s="2" t="s">
        <v>50</v>
      </c>
      <c r="B1327" s="2" t="s">
        <v>51</v>
      </c>
      <c r="C1327" s="2" t="s">
        <v>14</v>
      </c>
      <c r="D1327" s="2" t="s">
        <v>15</v>
      </c>
      <c r="E1327" s="3" t="n">
        <v>46054</v>
      </c>
      <c r="F1327" s="2" t="n">
        <v>10</v>
      </c>
      <c r="G1327" s="4" t="n">
        <v>69.99</v>
      </c>
      <c r="H1327" s="4" t="n">
        <v>33.15</v>
      </c>
      <c r="I1327" s="4" t="n">
        <f aca="false">F1327*G1327</f>
        <v>699.9</v>
      </c>
      <c r="J1327" s="4" t="n">
        <f aca="false">F1327*H1327</f>
        <v>331.5</v>
      </c>
      <c r="K1327" s="4" t="n">
        <f aca="false">I1327-J1327</f>
        <v>368.4</v>
      </c>
      <c r="L1327" s="5" t="n">
        <f aca="false">IFERROR(K1327/I1327,0)</f>
        <v>0.526360908701243</v>
      </c>
    </row>
    <row r="1328" customFormat="false" ht="15" hidden="false" customHeight="false" outlineLevel="0" collapsed="false">
      <c r="A1328" s="2" t="s">
        <v>50</v>
      </c>
      <c r="B1328" s="2" t="s">
        <v>51</v>
      </c>
      <c r="C1328" s="2" t="s">
        <v>14</v>
      </c>
      <c r="D1328" s="2" t="s">
        <v>16</v>
      </c>
      <c r="E1328" s="3" t="n">
        <v>46054</v>
      </c>
      <c r="F1328" s="2" t="n">
        <v>14</v>
      </c>
      <c r="G1328" s="4" t="n">
        <v>19.99</v>
      </c>
      <c r="H1328" s="4" t="n">
        <v>8.96</v>
      </c>
      <c r="I1328" s="4" t="n">
        <f aca="false">F1328*G1328</f>
        <v>279.86</v>
      </c>
      <c r="J1328" s="4" t="n">
        <f aca="false">F1328*H1328</f>
        <v>125.44</v>
      </c>
      <c r="K1328" s="4" t="n">
        <f aca="false">I1328-J1328</f>
        <v>154.42</v>
      </c>
      <c r="L1328" s="5" t="n">
        <f aca="false">IFERROR(K1328/I1328,0)</f>
        <v>0.551775887943972</v>
      </c>
    </row>
    <row r="1329" customFormat="false" ht="15" hidden="false" customHeight="false" outlineLevel="0" collapsed="false">
      <c r="A1329" s="2" t="s">
        <v>50</v>
      </c>
      <c r="B1329" s="2" t="s">
        <v>51</v>
      </c>
      <c r="C1329" s="2" t="s">
        <v>14</v>
      </c>
      <c r="D1329" s="2" t="s">
        <v>17</v>
      </c>
      <c r="E1329" s="3" t="n">
        <v>46054</v>
      </c>
      <c r="F1329" s="2" t="n">
        <v>5</v>
      </c>
      <c r="G1329" s="4" t="n">
        <v>79.99</v>
      </c>
      <c r="H1329" s="4" t="n">
        <v>40.49</v>
      </c>
      <c r="I1329" s="4" t="n">
        <f aca="false">F1329*G1329</f>
        <v>399.95</v>
      </c>
      <c r="J1329" s="4" t="n">
        <f aca="false">F1329*H1329</f>
        <v>202.45</v>
      </c>
      <c r="K1329" s="4" t="n">
        <f aca="false">I1329-J1329</f>
        <v>197.5</v>
      </c>
      <c r="L1329" s="5" t="n">
        <f aca="false">IFERROR(K1329/I1329,0)</f>
        <v>0.493811726465808</v>
      </c>
    </row>
    <row r="1330" customFormat="false" ht="15" hidden="false" customHeight="false" outlineLevel="0" collapsed="false">
      <c r="A1330" s="2" t="s">
        <v>50</v>
      </c>
      <c r="B1330" s="2" t="s">
        <v>51</v>
      </c>
      <c r="C1330" s="2" t="s">
        <v>14</v>
      </c>
      <c r="D1330" s="2" t="s">
        <v>18</v>
      </c>
      <c r="E1330" s="3" t="n">
        <v>46054</v>
      </c>
      <c r="F1330" s="2" t="n">
        <v>12</v>
      </c>
      <c r="G1330" s="4" t="n">
        <v>34.99</v>
      </c>
      <c r="H1330" s="4" t="n">
        <v>15.07</v>
      </c>
      <c r="I1330" s="4" t="n">
        <f aca="false">F1330*G1330</f>
        <v>419.88</v>
      </c>
      <c r="J1330" s="4" t="n">
        <f aca="false">F1330*H1330</f>
        <v>180.84</v>
      </c>
      <c r="K1330" s="4" t="n">
        <f aca="false">I1330-J1330</f>
        <v>239.04</v>
      </c>
      <c r="L1330" s="5" t="n">
        <f aca="false">IFERROR(K1330/I1330,0)</f>
        <v>0.569305515861675</v>
      </c>
    </row>
    <row r="1331" customFormat="false" ht="15" hidden="false" customHeight="false" outlineLevel="0" collapsed="false">
      <c r="A1331" s="2" t="s">
        <v>50</v>
      </c>
      <c r="B1331" s="2" t="s">
        <v>51</v>
      </c>
      <c r="C1331" s="2" t="s">
        <v>14</v>
      </c>
      <c r="D1331" s="2" t="s">
        <v>19</v>
      </c>
      <c r="E1331" s="3" t="n">
        <v>46054</v>
      </c>
      <c r="F1331" s="2" t="n">
        <v>14</v>
      </c>
      <c r="G1331" s="4" t="n">
        <v>54.99</v>
      </c>
      <c r="H1331" s="4" t="n">
        <v>23.63</v>
      </c>
      <c r="I1331" s="4" t="n">
        <f aca="false">F1331*G1331</f>
        <v>769.86</v>
      </c>
      <c r="J1331" s="4" t="n">
        <f aca="false">F1331*H1331</f>
        <v>330.82</v>
      </c>
      <c r="K1331" s="4" t="n">
        <f aca="false">I1331-J1331</f>
        <v>439.04</v>
      </c>
      <c r="L1331" s="5" t="n">
        <f aca="false">IFERROR(K1331/I1331,0)</f>
        <v>0.570285506455719</v>
      </c>
    </row>
    <row r="1332" customFormat="false" ht="15" hidden="false" customHeight="false" outlineLevel="0" collapsed="false">
      <c r="A1332" s="2" t="s">
        <v>50</v>
      </c>
      <c r="B1332" s="2" t="s">
        <v>51</v>
      </c>
      <c r="C1332" s="2" t="s">
        <v>20</v>
      </c>
      <c r="D1332" s="2" t="s">
        <v>21</v>
      </c>
      <c r="E1332" s="3" t="n">
        <v>46054</v>
      </c>
      <c r="F1332" s="2" t="n">
        <v>15</v>
      </c>
      <c r="G1332" s="4" t="n">
        <v>44.99</v>
      </c>
      <c r="H1332" s="4" t="n">
        <v>20.21</v>
      </c>
      <c r="I1332" s="4" t="n">
        <f aca="false">F1332*G1332</f>
        <v>674.85</v>
      </c>
      <c r="J1332" s="4" t="n">
        <f aca="false">F1332*H1332</f>
        <v>303.15</v>
      </c>
      <c r="K1332" s="4" t="n">
        <f aca="false">I1332-J1332</f>
        <v>371.7</v>
      </c>
      <c r="L1332" s="5" t="n">
        <f aca="false">IFERROR(K1332/I1332,0)</f>
        <v>0.550789064236497</v>
      </c>
    </row>
    <row r="1333" customFormat="false" ht="15" hidden="false" customHeight="false" outlineLevel="0" collapsed="false">
      <c r="A1333" s="2" t="s">
        <v>50</v>
      </c>
      <c r="B1333" s="2" t="s">
        <v>51</v>
      </c>
      <c r="C1333" s="2" t="s">
        <v>20</v>
      </c>
      <c r="D1333" s="2" t="s">
        <v>22</v>
      </c>
      <c r="E1333" s="3" t="n">
        <v>46054</v>
      </c>
      <c r="F1333" s="2" t="n">
        <v>24</v>
      </c>
      <c r="G1333" s="4" t="n">
        <v>14.99</v>
      </c>
      <c r="H1333" s="4" t="n">
        <v>5.56</v>
      </c>
      <c r="I1333" s="4" t="n">
        <f aca="false">F1333*G1333</f>
        <v>359.76</v>
      </c>
      <c r="J1333" s="4" t="n">
        <f aca="false">F1333*H1333</f>
        <v>133.44</v>
      </c>
      <c r="K1333" s="4" t="n">
        <f aca="false">I1333-J1333</f>
        <v>226.32</v>
      </c>
      <c r="L1333" s="5" t="n">
        <f aca="false">IFERROR(K1333/I1333,0)</f>
        <v>0.629086057371581</v>
      </c>
    </row>
    <row r="1334" customFormat="false" ht="15" hidden="false" customHeight="false" outlineLevel="0" collapsed="false">
      <c r="A1334" s="2" t="s">
        <v>50</v>
      </c>
      <c r="B1334" s="2" t="s">
        <v>51</v>
      </c>
      <c r="C1334" s="2" t="s">
        <v>20</v>
      </c>
      <c r="D1334" s="2" t="s">
        <v>23</v>
      </c>
      <c r="E1334" s="3" t="n">
        <v>46054</v>
      </c>
      <c r="F1334" s="2" t="n">
        <v>14</v>
      </c>
      <c r="G1334" s="4" t="n">
        <v>39.99</v>
      </c>
      <c r="H1334" s="4" t="n">
        <v>17.3</v>
      </c>
      <c r="I1334" s="4" t="n">
        <f aca="false">F1334*G1334</f>
        <v>559.86</v>
      </c>
      <c r="J1334" s="4" t="n">
        <f aca="false">F1334*H1334</f>
        <v>242.2</v>
      </c>
      <c r="K1334" s="4" t="n">
        <f aca="false">I1334-J1334</f>
        <v>317.66</v>
      </c>
      <c r="L1334" s="5" t="n">
        <f aca="false">IFERROR(K1334/I1334,0)</f>
        <v>0.56739184796199</v>
      </c>
    </row>
    <row r="1335" customFormat="false" ht="15" hidden="false" customHeight="false" outlineLevel="0" collapsed="false">
      <c r="A1335" s="2" t="s">
        <v>50</v>
      </c>
      <c r="B1335" s="2" t="s">
        <v>51</v>
      </c>
      <c r="C1335" s="2" t="s">
        <v>20</v>
      </c>
      <c r="D1335" s="2" t="s">
        <v>24</v>
      </c>
      <c r="E1335" s="3" t="n">
        <v>46054</v>
      </c>
      <c r="F1335" s="2" t="n">
        <v>11</v>
      </c>
      <c r="G1335" s="4" t="n">
        <v>18.99</v>
      </c>
      <c r="H1335" s="4" t="n">
        <v>7.55</v>
      </c>
      <c r="I1335" s="4" t="n">
        <f aca="false">F1335*G1335</f>
        <v>208.89</v>
      </c>
      <c r="J1335" s="4" t="n">
        <f aca="false">F1335*H1335</f>
        <v>83.05</v>
      </c>
      <c r="K1335" s="4" t="n">
        <f aca="false">I1335-J1335</f>
        <v>125.84</v>
      </c>
      <c r="L1335" s="5" t="n">
        <f aca="false">IFERROR(K1335/I1335,0)</f>
        <v>0.602422327540811</v>
      </c>
    </row>
    <row r="1336" customFormat="false" ht="15" hidden="false" customHeight="false" outlineLevel="0" collapsed="false">
      <c r="A1336" s="2" t="s">
        <v>50</v>
      </c>
      <c r="B1336" s="2" t="s">
        <v>51</v>
      </c>
      <c r="C1336" s="2" t="s">
        <v>20</v>
      </c>
      <c r="D1336" s="2" t="s">
        <v>25</v>
      </c>
      <c r="E1336" s="3" t="n">
        <v>46054</v>
      </c>
      <c r="F1336" s="2" t="n">
        <v>16</v>
      </c>
      <c r="G1336" s="4" t="n">
        <v>42.99</v>
      </c>
      <c r="H1336" s="4" t="n">
        <v>16.09</v>
      </c>
      <c r="I1336" s="4" t="n">
        <f aca="false">F1336*G1336</f>
        <v>687.84</v>
      </c>
      <c r="J1336" s="4" t="n">
        <f aca="false">F1336*H1336</f>
        <v>257.44</v>
      </c>
      <c r="K1336" s="4" t="n">
        <f aca="false">I1336-J1336</f>
        <v>430.4</v>
      </c>
      <c r="L1336" s="5" t="n">
        <f aca="false">IFERROR(K1336/I1336,0)</f>
        <v>0.625726913235636</v>
      </c>
    </row>
    <row r="1337" customFormat="false" ht="15" hidden="false" customHeight="false" outlineLevel="0" collapsed="false">
      <c r="A1337" s="2" t="s">
        <v>50</v>
      </c>
      <c r="B1337" s="2" t="s">
        <v>51</v>
      </c>
      <c r="C1337" s="2" t="s">
        <v>26</v>
      </c>
      <c r="D1337" s="2" t="s">
        <v>27</v>
      </c>
      <c r="E1337" s="3" t="n">
        <v>46054</v>
      </c>
      <c r="F1337" s="2" t="n">
        <v>10</v>
      </c>
      <c r="G1337" s="4" t="n">
        <v>44.99</v>
      </c>
      <c r="H1337" s="4" t="n">
        <v>27.84</v>
      </c>
      <c r="I1337" s="4" t="n">
        <f aca="false">F1337*G1337</f>
        <v>449.9</v>
      </c>
      <c r="J1337" s="4" t="n">
        <f aca="false">F1337*H1337</f>
        <v>278.4</v>
      </c>
      <c r="K1337" s="4" t="n">
        <f aca="false">I1337-J1337</f>
        <v>171.5</v>
      </c>
      <c r="L1337" s="5" t="n">
        <f aca="false">IFERROR(K1337/I1337,0)</f>
        <v>0.381195821293621</v>
      </c>
    </row>
    <row r="1338" customFormat="false" ht="15" hidden="false" customHeight="false" outlineLevel="0" collapsed="false">
      <c r="A1338" s="2" t="s">
        <v>50</v>
      </c>
      <c r="B1338" s="2" t="s">
        <v>51</v>
      </c>
      <c r="C1338" s="2" t="s">
        <v>26</v>
      </c>
      <c r="D1338" s="2" t="s">
        <v>28</v>
      </c>
      <c r="E1338" s="3" t="n">
        <v>46054</v>
      </c>
      <c r="F1338" s="2" t="n">
        <v>15</v>
      </c>
      <c r="G1338" s="4" t="n">
        <v>34.99</v>
      </c>
      <c r="H1338" s="4" t="n">
        <v>22.2</v>
      </c>
      <c r="I1338" s="4" t="n">
        <f aca="false">F1338*G1338</f>
        <v>524.85</v>
      </c>
      <c r="J1338" s="4" t="n">
        <f aca="false">F1338*H1338</f>
        <v>333</v>
      </c>
      <c r="K1338" s="4" t="n">
        <f aca="false">I1338-J1338</f>
        <v>191.85</v>
      </c>
      <c r="L1338" s="5" t="n">
        <f aca="false">IFERROR(K1338/I1338,0)</f>
        <v>0.365533009431266</v>
      </c>
    </row>
    <row r="1339" customFormat="false" ht="15" hidden="false" customHeight="false" outlineLevel="0" collapsed="false">
      <c r="A1339" s="2" t="s">
        <v>50</v>
      </c>
      <c r="B1339" s="2" t="s">
        <v>51</v>
      </c>
      <c r="C1339" s="2" t="s">
        <v>26</v>
      </c>
      <c r="D1339" s="2" t="s">
        <v>29</v>
      </c>
      <c r="E1339" s="3" t="n">
        <v>46054</v>
      </c>
      <c r="F1339" s="2" t="n">
        <v>8</v>
      </c>
      <c r="G1339" s="4" t="n">
        <v>119.99</v>
      </c>
      <c r="H1339" s="4" t="n">
        <v>82.16</v>
      </c>
      <c r="I1339" s="4" t="n">
        <f aca="false">F1339*G1339</f>
        <v>959.92</v>
      </c>
      <c r="J1339" s="4" t="n">
        <f aca="false">F1339*H1339</f>
        <v>657.28</v>
      </c>
      <c r="K1339" s="4" t="n">
        <f aca="false">I1339-J1339</f>
        <v>302.64</v>
      </c>
      <c r="L1339" s="5" t="n">
        <f aca="false">IFERROR(K1339/I1339,0)</f>
        <v>0.315276273022752</v>
      </c>
    </row>
    <row r="1340" customFormat="false" ht="15" hidden="false" customHeight="false" outlineLevel="0" collapsed="false">
      <c r="A1340" s="2" t="s">
        <v>50</v>
      </c>
      <c r="B1340" s="2" t="s">
        <v>51</v>
      </c>
      <c r="C1340" s="2" t="s">
        <v>26</v>
      </c>
      <c r="D1340" s="2" t="s">
        <v>30</v>
      </c>
      <c r="E1340" s="3" t="n">
        <v>46054</v>
      </c>
      <c r="F1340" s="2" t="n">
        <v>17</v>
      </c>
      <c r="G1340" s="4" t="n">
        <v>24.99</v>
      </c>
      <c r="H1340" s="4" t="n">
        <v>14.82</v>
      </c>
      <c r="I1340" s="4" t="n">
        <f aca="false">F1340*G1340</f>
        <v>424.83</v>
      </c>
      <c r="J1340" s="4" t="n">
        <f aca="false">F1340*H1340</f>
        <v>251.94</v>
      </c>
      <c r="K1340" s="4" t="n">
        <f aca="false">I1340-J1340</f>
        <v>172.89</v>
      </c>
      <c r="L1340" s="5" t="n">
        <f aca="false">IFERROR(K1340/I1340,0)</f>
        <v>0.406962785114046</v>
      </c>
    </row>
    <row r="1341" customFormat="false" ht="15" hidden="false" customHeight="false" outlineLevel="0" collapsed="false">
      <c r="A1341" s="2" t="s">
        <v>50</v>
      </c>
      <c r="B1341" s="2" t="s">
        <v>51</v>
      </c>
      <c r="C1341" s="2" t="s">
        <v>26</v>
      </c>
      <c r="D1341" s="2" t="s">
        <v>31</v>
      </c>
      <c r="E1341" s="3" t="n">
        <v>46054</v>
      </c>
      <c r="F1341" s="2" t="n">
        <v>23</v>
      </c>
      <c r="G1341" s="4" t="n">
        <v>59.99</v>
      </c>
      <c r="H1341" s="4" t="n">
        <v>39.93</v>
      </c>
      <c r="I1341" s="4" t="n">
        <f aca="false">F1341*G1341</f>
        <v>1379.77</v>
      </c>
      <c r="J1341" s="4" t="n">
        <f aca="false">F1341*H1341</f>
        <v>918.39</v>
      </c>
      <c r="K1341" s="4" t="n">
        <f aca="false">I1341-J1341</f>
        <v>461.38</v>
      </c>
      <c r="L1341" s="5" t="n">
        <f aca="false">IFERROR(K1341/I1341,0)</f>
        <v>0.334389064844141</v>
      </c>
    </row>
    <row r="1342" customFormat="false" ht="15" hidden="false" customHeight="false" outlineLevel="0" collapsed="false">
      <c r="A1342" s="2" t="s">
        <v>50</v>
      </c>
      <c r="B1342" s="2" t="s">
        <v>51</v>
      </c>
      <c r="C1342" s="2" t="s">
        <v>32</v>
      </c>
      <c r="D1342" s="2" t="s">
        <v>33</v>
      </c>
      <c r="E1342" s="3" t="n">
        <v>46054</v>
      </c>
      <c r="F1342" s="2" t="n">
        <v>8</v>
      </c>
      <c r="G1342" s="4" t="n">
        <v>49.99</v>
      </c>
      <c r="H1342" s="4" t="n">
        <v>36.83</v>
      </c>
      <c r="I1342" s="4" t="n">
        <f aca="false">F1342*G1342</f>
        <v>399.92</v>
      </c>
      <c r="J1342" s="4" t="n">
        <f aca="false">F1342*H1342</f>
        <v>294.64</v>
      </c>
      <c r="K1342" s="4" t="n">
        <f aca="false">I1342-J1342</f>
        <v>105.28</v>
      </c>
      <c r="L1342" s="5" t="n">
        <f aca="false">IFERROR(K1342/I1342,0)</f>
        <v>0.263252650530106</v>
      </c>
    </row>
    <row r="1343" customFormat="false" ht="15" hidden="false" customHeight="false" outlineLevel="0" collapsed="false">
      <c r="A1343" s="2" t="s">
        <v>50</v>
      </c>
      <c r="B1343" s="2" t="s">
        <v>51</v>
      </c>
      <c r="C1343" s="2" t="s">
        <v>32</v>
      </c>
      <c r="D1343" s="2" t="s">
        <v>34</v>
      </c>
      <c r="E1343" s="3" t="n">
        <v>46054</v>
      </c>
      <c r="F1343" s="2" t="n">
        <v>12</v>
      </c>
      <c r="G1343" s="4" t="n">
        <v>27.99</v>
      </c>
      <c r="H1343" s="4" t="n">
        <v>19.77</v>
      </c>
      <c r="I1343" s="4" t="n">
        <f aca="false">F1343*G1343</f>
        <v>335.88</v>
      </c>
      <c r="J1343" s="4" t="n">
        <f aca="false">F1343*H1343</f>
        <v>237.24</v>
      </c>
      <c r="K1343" s="4" t="n">
        <f aca="false">I1343-J1343</f>
        <v>98.64</v>
      </c>
      <c r="L1343" s="5" t="n">
        <f aca="false">IFERROR(K1343/I1343,0)</f>
        <v>0.293676312968917</v>
      </c>
    </row>
    <row r="1344" customFormat="false" ht="15" hidden="false" customHeight="false" outlineLevel="0" collapsed="false">
      <c r="A1344" s="2" t="s">
        <v>50</v>
      </c>
      <c r="B1344" s="2" t="s">
        <v>51</v>
      </c>
      <c r="C1344" s="2" t="s">
        <v>32</v>
      </c>
      <c r="D1344" s="2" t="s">
        <v>35</v>
      </c>
      <c r="E1344" s="3" t="n">
        <v>46054</v>
      </c>
      <c r="F1344" s="2" t="n">
        <v>16</v>
      </c>
      <c r="G1344" s="4" t="n">
        <v>64.99</v>
      </c>
      <c r="H1344" s="4" t="n">
        <v>45.33</v>
      </c>
      <c r="I1344" s="4" t="n">
        <f aca="false">F1344*G1344</f>
        <v>1039.84</v>
      </c>
      <c r="J1344" s="4" t="n">
        <f aca="false">F1344*H1344</f>
        <v>725.28</v>
      </c>
      <c r="K1344" s="4" t="n">
        <f aca="false">I1344-J1344</f>
        <v>314.56</v>
      </c>
      <c r="L1344" s="5" t="n">
        <f aca="false">IFERROR(K1344/I1344,0)</f>
        <v>0.302508078165872</v>
      </c>
    </row>
    <row r="1345" customFormat="false" ht="15" hidden="false" customHeight="false" outlineLevel="0" collapsed="false">
      <c r="A1345" s="2" t="s">
        <v>50</v>
      </c>
      <c r="B1345" s="2" t="s">
        <v>51</v>
      </c>
      <c r="C1345" s="2" t="s">
        <v>32</v>
      </c>
      <c r="D1345" s="2" t="s">
        <v>36</v>
      </c>
      <c r="E1345" s="3" t="n">
        <v>46054</v>
      </c>
      <c r="F1345" s="2" t="n">
        <v>13</v>
      </c>
      <c r="G1345" s="4" t="n">
        <v>22.99</v>
      </c>
      <c r="H1345" s="4" t="n">
        <v>16.29</v>
      </c>
      <c r="I1345" s="4" t="n">
        <f aca="false">F1345*G1345</f>
        <v>298.87</v>
      </c>
      <c r="J1345" s="4" t="n">
        <f aca="false">F1345*H1345</f>
        <v>211.77</v>
      </c>
      <c r="K1345" s="4" t="n">
        <f aca="false">I1345-J1345</f>
        <v>87.1</v>
      </c>
      <c r="L1345" s="5" t="n">
        <f aca="false">IFERROR(K1345/I1345,0)</f>
        <v>0.291431056981296</v>
      </c>
    </row>
    <row r="1346" customFormat="false" ht="15" hidden="false" customHeight="false" outlineLevel="0" collapsed="false">
      <c r="A1346" s="2" t="s">
        <v>50</v>
      </c>
      <c r="B1346" s="2" t="s">
        <v>51</v>
      </c>
      <c r="C1346" s="2" t="s">
        <v>32</v>
      </c>
      <c r="D1346" s="2" t="s">
        <v>37</v>
      </c>
      <c r="E1346" s="3" t="n">
        <v>46054</v>
      </c>
      <c r="F1346" s="2" t="n">
        <v>27</v>
      </c>
      <c r="G1346" s="4" t="n">
        <v>29.99</v>
      </c>
      <c r="H1346" s="4" t="n">
        <v>19.97</v>
      </c>
      <c r="I1346" s="4" t="n">
        <f aca="false">F1346*G1346</f>
        <v>809.73</v>
      </c>
      <c r="J1346" s="4" t="n">
        <f aca="false">F1346*H1346</f>
        <v>539.19</v>
      </c>
      <c r="K1346" s="4" t="n">
        <f aca="false">I1346-J1346</f>
        <v>270.54</v>
      </c>
      <c r="L1346" s="5" t="n">
        <f aca="false">IFERROR(K1346/I1346,0)</f>
        <v>0.334111370456819</v>
      </c>
    </row>
    <row r="1347" customFormat="false" ht="15" hidden="false" customHeight="false" outlineLevel="0" collapsed="false">
      <c r="A1347" s="2" t="s">
        <v>50</v>
      </c>
      <c r="B1347" s="2" t="s">
        <v>51</v>
      </c>
      <c r="C1347" s="2" t="s">
        <v>38</v>
      </c>
      <c r="D1347" s="2" t="s">
        <v>39</v>
      </c>
      <c r="E1347" s="3" t="n">
        <v>46054</v>
      </c>
      <c r="F1347" s="2" t="n">
        <v>6</v>
      </c>
      <c r="G1347" s="4" t="n">
        <v>129.99</v>
      </c>
      <c r="H1347" s="4" t="n">
        <v>73.8</v>
      </c>
      <c r="I1347" s="4" t="n">
        <f aca="false">F1347*G1347</f>
        <v>779.94</v>
      </c>
      <c r="J1347" s="4" t="n">
        <f aca="false">F1347*H1347</f>
        <v>442.8</v>
      </c>
      <c r="K1347" s="4" t="n">
        <f aca="false">I1347-J1347</f>
        <v>337.14</v>
      </c>
      <c r="L1347" s="5" t="n">
        <f aca="false">IFERROR(K1347/I1347,0)</f>
        <v>0.432264020309255</v>
      </c>
    </row>
    <row r="1348" customFormat="false" ht="15" hidden="false" customHeight="false" outlineLevel="0" collapsed="false">
      <c r="A1348" s="2" t="s">
        <v>50</v>
      </c>
      <c r="B1348" s="2" t="s">
        <v>51</v>
      </c>
      <c r="C1348" s="2" t="s">
        <v>38</v>
      </c>
      <c r="D1348" s="2" t="s">
        <v>40</v>
      </c>
      <c r="E1348" s="3" t="n">
        <v>46054</v>
      </c>
      <c r="F1348" s="2" t="n">
        <v>6</v>
      </c>
      <c r="G1348" s="4" t="n">
        <v>74.99</v>
      </c>
      <c r="H1348" s="4" t="n">
        <v>41.14</v>
      </c>
      <c r="I1348" s="4" t="n">
        <f aca="false">F1348*G1348</f>
        <v>449.94</v>
      </c>
      <c r="J1348" s="4" t="n">
        <f aca="false">F1348*H1348</f>
        <v>246.84</v>
      </c>
      <c r="K1348" s="4" t="n">
        <f aca="false">I1348-J1348</f>
        <v>203.1</v>
      </c>
      <c r="L1348" s="5" t="n">
        <f aca="false">IFERROR(K1348/I1348,0)</f>
        <v>0.451393519135885</v>
      </c>
    </row>
    <row r="1349" customFormat="false" ht="15" hidden="false" customHeight="false" outlineLevel="0" collapsed="false">
      <c r="A1349" s="2" t="s">
        <v>50</v>
      </c>
      <c r="B1349" s="2" t="s">
        <v>51</v>
      </c>
      <c r="C1349" s="2" t="s">
        <v>38</v>
      </c>
      <c r="D1349" s="2" t="s">
        <v>41</v>
      </c>
      <c r="E1349" s="3" t="n">
        <v>46054</v>
      </c>
      <c r="F1349" s="2" t="n">
        <v>7</v>
      </c>
      <c r="G1349" s="4" t="n">
        <v>19.99</v>
      </c>
      <c r="H1349" s="4" t="n">
        <v>9.41</v>
      </c>
      <c r="I1349" s="4" t="n">
        <f aca="false">F1349*G1349</f>
        <v>139.93</v>
      </c>
      <c r="J1349" s="4" t="n">
        <f aca="false">F1349*H1349</f>
        <v>65.87</v>
      </c>
      <c r="K1349" s="4" t="n">
        <f aca="false">I1349-J1349</f>
        <v>74.06</v>
      </c>
      <c r="L1349" s="5" t="n">
        <f aca="false">IFERROR(K1349/I1349,0)</f>
        <v>0.529264632316158</v>
      </c>
    </row>
    <row r="1350" customFormat="false" ht="15" hidden="false" customHeight="false" outlineLevel="0" collapsed="false">
      <c r="A1350" s="2" t="s">
        <v>50</v>
      </c>
      <c r="B1350" s="2" t="s">
        <v>51</v>
      </c>
      <c r="C1350" s="2" t="s">
        <v>38</v>
      </c>
      <c r="D1350" s="2" t="s">
        <v>42</v>
      </c>
      <c r="E1350" s="3" t="n">
        <v>46054</v>
      </c>
      <c r="F1350" s="2" t="n">
        <v>5</v>
      </c>
      <c r="G1350" s="4" t="n">
        <v>16.99</v>
      </c>
      <c r="H1350" s="4" t="n">
        <v>8.36</v>
      </c>
      <c r="I1350" s="4" t="n">
        <f aca="false">F1350*G1350</f>
        <v>84.95</v>
      </c>
      <c r="J1350" s="4" t="n">
        <f aca="false">F1350*H1350</f>
        <v>41.8</v>
      </c>
      <c r="K1350" s="4" t="n">
        <f aca="false">I1350-J1350</f>
        <v>43.15</v>
      </c>
      <c r="L1350" s="5" t="n">
        <f aca="false">IFERROR(K1350/I1350,0)</f>
        <v>0.507945850500294</v>
      </c>
    </row>
    <row r="1351" customFormat="false" ht="15" hidden="false" customHeight="false" outlineLevel="0" collapsed="false">
      <c r="A1351" s="2" t="s">
        <v>50</v>
      </c>
      <c r="B1351" s="2" t="s">
        <v>51</v>
      </c>
      <c r="C1351" s="2" t="s">
        <v>38</v>
      </c>
      <c r="D1351" s="2" t="s">
        <v>43</v>
      </c>
      <c r="E1351" s="3" t="n">
        <v>46054</v>
      </c>
      <c r="F1351" s="2" t="n">
        <v>5</v>
      </c>
      <c r="G1351" s="4" t="n">
        <v>24.99</v>
      </c>
      <c r="H1351" s="4" t="n">
        <v>12.86</v>
      </c>
      <c r="I1351" s="4" t="n">
        <f aca="false">F1351*G1351</f>
        <v>124.95</v>
      </c>
      <c r="J1351" s="4" t="n">
        <f aca="false">F1351*H1351</f>
        <v>64.3</v>
      </c>
      <c r="K1351" s="4" t="n">
        <f aca="false">I1351-J1351</f>
        <v>60.65</v>
      </c>
      <c r="L1351" s="5" t="n">
        <f aca="false">IFERROR(K1351/I1351,0)</f>
        <v>0.485394157663065</v>
      </c>
    </row>
    <row r="1352" customFormat="false" ht="15" hidden="false" customHeight="false" outlineLevel="0" collapsed="false">
      <c r="A1352" s="2" t="s">
        <v>52</v>
      </c>
      <c r="B1352" s="2" t="s">
        <v>53</v>
      </c>
      <c r="C1352" s="2" t="s">
        <v>14</v>
      </c>
      <c r="D1352" s="2" t="s">
        <v>15</v>
      </c>
      <c r="E1352" s="3" t="n">
        <v>46054</v>
      </c>
      <c r="F1352" s="2" t="n">
        <v>11</v>
      </c>
      <c r="G1352" s="4" t="n">
        <v>69.99</v>
      </c>
      <c r="H1352" s="4" t="n">
        <v>34.52</v>
      </c>
      <c r="I1352" s="4" t="n">
        <f aca="false">F1352*G1352</f>
        <v>769.89</v>
      </c>
      <c r="J1352" s="4" t="n">
        <f aca="false">F1352*H1352</f>
        <v>379.72</v>
      </c>
      <c r="K1352" s="4" t="n">
        <f aca="false">I1352-J1352</f>
        <v>390.17</v>
      </c>
      <c r="L1352" s="5" t="n">
        <f aca="false">IFERROR(K1352/I1352,0)</f>
        <v>0.506786683811973</v>
      </c>
    </row>
    <row r="1353" customFormat="false" ht="15" hidden="false" customHeight="false" outlineLevel="0" collapsed="false">
      <c r="A1353" s="2" t="s">
        <v>52</v>
      </c>
      <c r="B1353" s="2" t="s">
        <v>53</v>
      </c>
      <c r="C1353" s="2" t="s">
        <v>14</v>
      </c>
      <c r="D1353" s="2" t="s">
        <v>16</v>
      </c>
      <c r="E1353" s="3" t="n">
        <v>46054</v>
      </c>
      <c r="F1353" s="2" t="n">
        <v>15</v>
      </c>
      <c r="G1353" s="4" t="n">
        <v>19.99</v>
      </c>
      <c r="H1353" s="4" t="n">
        <v>9.06</v>
      </c>
      <c r="I1353" s="4" t="n">
        <f aca="false">F1353*G1353</f>
        <v>299.85</v>
      </c>
      <c r="J1353" s="4" t="n">
        <f aca="false">F1353*H1353</f>
        <v>135.9</v>
      </c>
      <c r="K1353" s="4" t="n">
        <f aca="false">I1353-J1353</f>
        <v>163.95</v>
      </c>
      <c r="L1353" s="5" t="n">
        <f aca="false">IFERROR(K1353/I1353,0)</f>
        <v>0.546773386693347</v>
      </c>
    </row>
    <row r="1354" customFormat="false" ht="15" hidden="false" customHeight="false" outlineLevel="0" collapsed="false">
      <c r="A1354" s="2" t="s">
        <v>52</v>
      </c>
      <c r="B1354" s="2" t="s">
        <v>53</v>
      </c>
      <c r="C1354" s="2" t="s">
        <v>14</v>
      </c>
      <c r="D1354" s="2" t="s">
        <v>17</v>
      </c>
      <c r="E1354" s="3" t="n">
        <v>46054</v>
      </c>
      <c r="F1354" s="2" t="n">
        <v>24</v>
      </c>
      <c r="G1354" s="4" t="n">
        <v>79.99</v>
      </c>
      <c r="H1354" s="4" t="n">
        <v>41.13</v>
      </c>
      <c r="I1354" s="4" t="n">
        <f aca="false">F1354*G1354</f>
        <v>1919.76</v>
      </c>
      <c r="J1354" s="4" t="n">
        <f aca="false">F1354*H1354</f>
        <v>987.12</v>
      </c>
      <c r="K1354" s="4" t="n">
        <f aca="false">I1354-J1354</f>
        <v>932.64</v>
      </c>
      <c r="L1354" s="5" t="n">
        <f aca="false">IFERROR(K1354/I1354,0)</f>
        <v>0.485810726340793</v>
      </c>
    </row>
    <row r="1355" customFormat="false" ht="15" hidden="false" customHeight="false" outlineLevel="0" collapsed="false">
      <c r="A1355" s="2" t="s">
        <v>52</v>
      </c>
      <c r="B1355" s="2" t="s">
        <v>53</v>
      </c>
      <c r="C1355" s="2" t="s">
        <v>14</v>
      </c>
      <c r="D1355" s="2" t="s">
        <v>18</v>
      </c>
      <c r="E1355" s="3" t="n">
        <v>46054</v>
      </c>
      <c r="F1355" s="2" t="n">
        <v>8</v>
      </c>
      <c r="G1355" s="4" t="n">
        <v>34.99</v>
      </c>
      <c r="H1355" s="4" t="n">
        <v>14.81</v>
      </c>
      <c r="I1355" s="4" t="n">
        <f aca="false">F1355*G1355</f>
        <v>279.92</v>
      </c>
      <c r="J1355" s="4" t="n">
        <f aca="false">F1355*H1355</f>
        <v>118.48</v>
      </c>
      <c r="K1355" s="4" t="n">
        <f aca="false">I1355-J1355</f>
        <v>161.44</v>
      </c>
      <c r="L1355" s="5" t="n">
        <f aca="false">IFERROR(K1355/I1355,0)</f>
        <v>0.576736210345813</v>
      </c>
    </row>
    <row r="1356" customFormat="false" ht="15" hidden="false" customHeight="false" outlineLevel="0" collapsed="false">
      <c r="A1356" s="2" t="s">
        <v>52</v>
      </c>
      <c r="B1356" s="2" t="s">
        <v>53</v>
      </c>
      <c r="C1356" s="2" t="s">
        <v>14</v>
      </c>
      <c r="D1356" s="2" t="s">
        <v>19</v>
      </c>
      <c r="E1356" s="3" t="n">
        <v>46054</v>
      </c>
      <c r="F1356" s="2" t="n">
        <v>10</v>
      </c>
      <c r="G1356" s="4" t="n">
        <v>54.99</v>
      </c>
      <c r="H1356" s="4" t="n">
        <v>23.76</v>
      </c>
      <c r="I1356" s="4" t="n">
        <f aca="false">F1356*G1356</f>
        <v>549.9</v>
      </c>
      <c r="J1356" s="4" t="n">
        <f aca="false">F1356*H1356</f>
        <v>237.6</v>
      </c>
      <c r="K1356" s="4" t="n">
        <f aca="false">I1356-J1356</f>
        <v>312.3</v>
      </c>
      <c r="L1356" s="5" t="n">
        <f aca="false">IFERROR(K1356/I1356,0)</f>
        <v>0.567921440261866</v>
      </c>
    </row>
    <row r="1357" customFormat="false" ht="15" hidden="false" customHeight="false" outlineLevel="0" collapsed="false">
      <c r="A1357" s="2" t="s">
        <v>52</v>
      </c>
      <c r="B1357" s="2" t="s">
        <v>53</v>
      </c>
      <c r="C1357" s="2" t="s">
        <v>20</v>
      </c>
      <c r="D1357" s="2" t="s">
        <v>21</v>
      </c>
      <c r="E1357" s="3" t="n">
        <v>46054</v>
      </c>
      <c r="F1357" s="2" t="n">
        <v>15</v>
      </c>
      <c r="G1357" s="4" t="n">
        <v>44.99</v>
      </c>
      <c r="H1357" s="4" t="n">
        <v>20.28</v>
      </c>
      <c r="I1357" s="4" t="n">
        <f aca="false">F1357*G1357</f>
        <v>674.85</v>
      </c>
      <c r="J1357" s="4" t="n">
        <f aca="false">F1357*H1357</f>
        <v>304.2</v>
      </c>
      <c r="K1357" s="4" t="n">
        <f aca="false">I1357-J1357</f>
        <v>370.65</v>
      </c>
      <c r="L1357" s="5" t="n">
        <f aca="false">IFERROR(K1357/I1357,0)</f>
        <v>0.549233162925094</v>
      </c>
    </row>
    <row r="1358" customFormat="false" ht="15" hidden="false" customHeight="false" outlineLevel="0" collapsed="false">
      <c r="A1358" s="2" t="s">
        <v>52</v>
      </c>
      <c r="B1358" s="2" t="s">
        <v>53</v>
      </c>
      <c r="C1358" s="2" t="s">
        <v>20</v>
      </c>
      <c r="D1358" s="2" t="s">
        <v>22</v>
      </c>
      <c r="E1358" s="3" t="n">
        <v>46054</v>
      </c>
      <c r="F1358" s="2" t="n">
        <v>14</v>
      </c>
      <c r="G1358" s="4" t="n">
        <v>14.99</v>
      </c>
      <c r="H1358" s="4" t="n">
        <v>5.68</v>
      </c>
      <c r="I1358" s="4" t="n">
        <f aca="false">F1358*G1358</f>
        <v>209.86</v>
      </c>
      <c r="J1358" s="4" t="n">
        <f aca="false">F1358*H1358</f>
        <v>79.52</v>
      </c>
      <c r="K1358" s="4" t="n">
        <f aca="false">I1358-J1358</f>
        <v>130.34</v>
      </c>
      <c r="L1358" s="5" t="n">
        <f aca="false">IFERROR(K1358/I1358,0)</f>
        <v>0.62108072048032</v>
      </c>
    </row>
    <row r="1359" customFormat="false" ht="15" hidden="false" customHeight="false" outlineLevel="0" collapsed="false">
      <c r="A1359" s="2" t="s">
        <v>52</v>
      </c>
      <c r="B1359" s="2" t="s">
        <v>53</v>
      </c>
      <c r="C1359" s="2" t="s">
        <v>20</v>
      </c>
      <c r="D1359" s="2" t="s">
        <v>23</v>
      </c>
      <c r="E1359" s="3" t="n">
        <v>46054</v>
      </c>
      <c r="F1359" s="2" t="n">
        <v>12</v>
      </c>
      <c r="G1359" s="4" t="n">
        <v>39.99</v>
      </c>
      <c r="H1359" s="4" t="n">
        <v>17.17</v>
      </c>
      <c r="I1359" s="4" t="n">
        <f aca="false">F1359*G1359</f>
        <v>479.88</v>
      </c>
      <c r="J1359" s="4" t="n">
        <f aca="false">F1359*H1359</f>
        <v>206.04</v>
      </c>
      <c r="K1359" s="4" t="n">
        <f aca="false">I1359-J1359</f>
        <v>273.84</v>
      </c>
      <c r="L1359" s="5" t="n">
        <f aca="false">IFERROR(K1359/I1359,0)</f>
        <v>0.570642660665166</v>
      </c>
    </row>
    <row r="1360" customFormat="false" ht="15" hidden="false" customHeight="false" outlineLevel="0" collapsed="false">
      <c r="A1360" s="2" t="s">
        <v>52</v>
      </c>
      <c r="B1360" s="2" t="s">
        <v>53</v>
      </c>
      <c r="C1360" s="2" t="s">
        <v>20</v>
      </c>
      <c r="D1360" s="2" t="s">
        <v>24</v>
      </c>
      <c r="E1360" s="3" t="n">
        <v>46054</v>
      </c>
      <c r="F1360" s="2" t="n">
        <v>15</v>
      </c>
      <c r="G1360" s="4" t="n">
        <v>18.99</v>
      </c>
      <c r="H1360" s="4" t="n">
        <v>7.69</v>
      </c>
      <c r="I1360" s="4" t="n">
        <f aca="false">F1360*G1360</f>
        <v>284.85</v>
      </c>
      <c r="J1360" s="4" t="n">
        <f aca="false">F1360*H1360</f>
        <v>115.35</v>
      </c>
      <c r="K1360" s="4" t="n">
        <f aca="false">I1360-J1360</f>
        <v>169.5</v>
      </c>
      <c r="L1360" s="5" t="n">
        <f aca="false">IFERROR(K1360/I1360,0)</f>
        <v>0.595050026329647</v>
      </c>
    </row>
    <row r="1361" customFormat="false" ht="15" hidden="false" customHeight="false" outlineLevel="0" collapsed="false">
      <c r="A1361" s="2" t="s">
        <v>52</v>
      </c>
      <c r="B1361" s="2" t="s">
        <v>53</v>
      </c>
      <c r="C1361" s="2" t="s">
        <v>20</v>
      </c>
      <c r="D1361" s="2" t="s">
        <v>25</v>
      </c>
      <c r="E1361" s="3" t="n">
        <v>46054</v>
      </c>
      <c r="F1361" s="2" t="n">
        <v>14</v>
      </c>
      <c r="G1361" s="4" t="n">
        <v>42.99</v>
      </c>
      <c r="H1361" s="4" t="n">
        <v>16.26</v>
      </c>
      <c r="I1361" s="4" t="n">
        <f aca="false">F1361*G1361</f>
        <v>601.86</v>
      </c>
      <c r="J1361" s="4" t="n">
        <f aca="false">F1361*H1361</f>
        <v>227.64</v>
      </c>
      <c r="K1361" s="4" t="n">
        <f aca="false">I1361-J1361</f>
        <v>374.22</v>
      </c>
      <c r="L1361" s="5" t="n">
        <f aca="false">IFERROR(K1361/I1361,0)</f>
        <v>0.621772505233775</v>
      </c>
    </row>
    <row r="1362" customFormat="false" ht="15" hidden="false" customHeight="false" outlineLevel="0" collapsed="false">
      <c r="A1362" s="2" t="s">
        <v>52</v>
      </c>
      <c r="B1362" s="2" t="s">
        <v>53</v>
      </c>
      <c r="C1362" s="2" t="s">
        <v>26</v>
      </c>
      <c r="D1362" s="2" t="s">
        <v>27</v>
      </c>
      <c r="E1362" s="3" t="n">
        <v>46054</v>
      </c>
      <c r="F1362" s="2" t="n">
        <v>17</v>
      </c>
      <c r="G1362" s="4" t="n">
        <v>44.99</v>
      </c>
      <c r="H1362" s="4" t="n">
        <v>27.35</v>
      </c>
      <c r="I1362" s="4" t="n">
        <f aca="false">F1362*G1362</f>
        <v>764.83</v>
      </c>
      <c r="J1362" s="4" t="n">
        <f aca="false">F1362*H1362</f>
        <v>464.95</v>
      </c>
      <c r="K1362" s="4" t="n">
        <f aca="false">I1362-J1362</f>
        <v>299.88</v>
      </c>
      <c r="L1362" s="5" t="n">
        <f aca="false">IFERROR(K1362/I1362,0)</f>
        <v>0.392087130473439</v>
      </c>
    </row>
    <row r="1363" customFormat="false" ht="15" hidden="false" customHeight="false" outlineLevel="0" collapsed="false">
      <c r="A1363" s="2" t="s">
        <v>52</v>
      </c>
      <c r="B1363" s="2" t="s">
        <v>53</v>
      </c>
      <c r="C1363" s="2" t="s">
        <v>26</v>
      </c>
      <c r="D1363" s="2" t="s">
        <v>28</v>
      </c>
      <c r="E1363" s="3" t="n">
        <v>46054</v>
      </c>
      <c r="F1363" s="2" t="n">
        <v>14</v>
      </c>
      <c r="G1363" s="4" t="n">
        <v>34.99</v>
      </c>
      <c r="H1363" s="4" t="n">
        <v>22.76</v>
      </c>
      <c r="I1363" s="4" t="n">
        <f aca="false">F1363*G1363</f>
        <v>489.86</v>
      </c>
      <c r="J1363" s="4" t="n">
        <f aca="false">F1363*H1363</f>
        <v>318.64</v>
      </c>
      <c r="K1363" s="4" t="n">
        <f aca="false">I1363-J1363</f>
        <v>171.22</v>
      </c>
      <c r="L1363" s="5" t="n">
        <f aca="false">IFERROR(K1363/I1363,0)</f>
        <v>0.349528436696199</v>
      </c>
    </row>
    <row r="1364" customFormat="false" ht="15" hidden="false" customHeight="false" outlineLevel="0" collapsed="false">
      <c r="A1364" s="2" t="s">
        <v>52</v>
      </c>
      <c r="B1364" s="2" t="s">
        <v>53</v>
      </c>
      <c r="C1364" s="2" t="s">
        <v>26</v>
      </c>
      <c r="D1364" s="2" t="s">
        <v>29</v>
      </c>
      <c r="E1364" s="3" t="n">
        <v>46054</v>
      </c>
      <c r="F1364" s="2" t="n">
        <v>12</v>
      </c>
      <c r="G1364" s="4" t="n">
        <v>119.99</v>
      </c>
      <c r="H1364" s="4" t="n">
        <v>83.69</v>
      </c>
      <c r="I1364" s="4" t="n">
        <f aca="false">F1364*G1364</f>
        <v>1439.88</v>
      </c>
      <c r="J1364" s="4" t="n">
        <f aca="false">F1364*H1364</f>
        <v>1004.28</v>
      </c>
      <c r="K1364" s="4" t="n">
        <f aca="false">I1364-J1364</f>
        <v>435.6</v>
      </c>
      <c r="L1364" s="5" t="n">
        <f aca="false">IFERROR(K1364/I1364,0)</f>
        <v>0.302525210434203</v>
      </c>
    </row>
    <row r="1365" customFormat="false" ht="15" hidden="false" customHeight="false" outlineLevel="0" collapsed="false">
      <c r="A1365" s="2" t="s">
        <v>52</v>
      </c>
      <c r="B1365" s="2" t="s">
        <v>53</v>
      </c>
      <c r="C1365" s="2" t="s">
        <v>26</v>
      </c>
      <c r="D1365" s="2" t="s">
        <v>30</v>
      </c>
      <c r="E1365" s="3" t="n">
        <v>46054</v>
      </c>
      <c r="F1365" s="2" t="n">
        <v>14</v>
      </c>
      <c r="G1365" s="4" t="n">
        <v>24.99</v>
      </c>
      <c r="H1365" s="4" t="n">
        <v>14.61</v>
      </c>
      <c r="I1365" s="4" t="n">
        <f aca="false">F1365*G1365</f>
        <v>349.86</v>
      </c>
      <c r="J1365" s="4" t="n">
        <f aca="false">F1365*H1365</f>
        <v>204.54</v>
      </c>
      <c r="K1365" s="4" t="n">
        <f aca="false">I1365-J1365</f>
        <v>145.32</v>
      </c>
      <c r="L1365" s="5" t="n">
        <f aca="false">IFERROR(K1365/I1365,0)</f>
        <v>0.415366146458583</v>
      </c>
    </row>
    <row r="1366" customFormat="false" ht="15" hidden="false" customHeight="false" outlineLevel="0" collapsed="false">
      <c r="A1366" s="2" t="s">
        <v>52</v>
      </c>
      <c r="B1366" s="2" t="s">
        <v>53</v>
      </c>
      <c r="C1366" s="2" t="s">
        <v>26</v>
      </c>
      <c r="D1366" s="2" t="s">
        <v>31</v>
      </c>
      <c r="E1366" s="3" t="n">
        <v>46054</v>
      </c>
      <c r="F1366" s="2" t="n">
        <v>13</v>
      </c>
      <c r="G1366" s="4" t="n">
        <v>59.99</v>
      </c>
      <c r="H1366" s="4" t="n">
        <v>40</v>
      </c>
      <c r="I1366" s="4" t="n">
        <f aca="false">F1366*G1366</f>
        <v>779.87</v>
      </c>
      <c r="J1366" s="4" t="n">
        <f aca="false">F1366*H1366</f>
        <v>520</v>
      </c>
      <c r="K1366" s="4" t="n">
        <f aca="false">I1366-J1366</f>
        <v>259.87</v>
      </c>
      <c r="L1366" s="5" t="n">
        <f aca="false">IFERROR(K1366/I1366,0)</f>
        <v>0.333222203700617</v>
      </c>
    </row>
    <row r="1367" customFormat="false" ht="15" hidden="false" customHeight="false" outlineLevel="0" collapsed="false">
      <c r="A1367" s="2" t="s">
        <v>52</v>
      </c>
      <c r="B1367" s="2" t="s">
        <v>53</v>
      </c>
      <c r="C1367" s="2" t="s">
        <v>32</v>
      </c>
      <c r="D1367" s="2" t="s">
        <v>33</v>
      </c>
      <c r="E1367" s="3" t="n">
        <v>46054</v>
      </c>
      <c r="F1367" s="2" t="n">
        <v>12</v>
      </c>
      <c r="G1367" s="4" t="n">
        <v>49.99</v>
      </c>
      <c r="H1367" s="4" t="n">
        <v>35.31</v>
      </c>
      <c r="I1367" s="4" t="n">
        <f aca="false">F1367*G1367</f>
        <v>599.88</v>
      </c>
      <c r="J1367" s="4" t="n">
        <f aca="false">F1367*H1367</f>
        <v>423.72</v>
      </c>
      <c r="K1367" s="4" t="n">
        <f aca="false">I1367-J1367</f>
        <v>176.16</v>
      </c>
      <c r="L1367" s="5" t="n">
        <f aca="false">IFERROR(K1367/I1367,0)</f>
        <v>0.293658731746349</v>
      </c>
    </row>
    <row r="1368" customFormat="false" ht="15" hidden="false" customHeight="false" outlineLevel="0" collapsed="false">
      <c r="A1368" s="2" t="s">
        <v>52</v>
      </c>
      <c r="B1368" s="2" t="s">
        <v>53</v>
      </c>
      <c r="C1368" s="2" t="s">
        <v>32</v>
      </c>
      <c r="D1368" s="2" t="s">
        <v>34</v>
      </c>
      <c r="E1368" s="3" t="n">
        <v>46054</v>
      </c>
      <c r="F1368" s="2" t="n">
        <v>23</v>
      </c>
      <c r="G1368" s="4" t="n">
        <v>27.99</v>
      </c>
      <c r="H1368" s="4" t="n">
        <v>19.72</v>
      </c>
      <c r="I1368" s="4" t="n">
        <f aca="false">F1368*G1368</f>
        <v>643.77</v>
      </c>
      <c r="J1368" s="4" t="n">
        <f aca="false">F1368*H1368</f>
        <v>453.56</v>
      </c>
      <c r="K1368" s="4" t="n">
        <f aca="false">I1368-J1368</f>
        <v>190.21</v>
      </c>
      <c r="L1368" s="5" t="n">
        <f aca="false">IFERROR(K1368/I1368,0)</f>
        <v>0.295462665237585</v>
      </c>
    </row>
    <row r="1369" customFormat="false" ht="15" hidden="false" customHeight="false" outlineLevel="0" collapsed="false">
      <c r="A1369" s="2" t="s">
        <v>52</v>
      </c>
      <c r="B1369" s="2" t="s">
        <v>53</v>
      </c>
      <c r="C1369" s="2" t="s">
        <v>32</v>
      </c>
      <c r="D1369" s="2" t="s">
        <v>35</v>
      </c>
      <c r="E1369" s="3" t="n">
        <v>46054</v>
      </c>
      <c r="F1369" s="2" t="n">
        <v>13</v>
      </c>
      <c r="G1369" s="4" t="n">
        <v>64.99</v>
      </c>
      <c r="H1369" s="4" t="n">
        <v>44.54</v>
      </c>
      <c r="I1369" s="4" t="n">
        <f aca="false">F1369*G1369</f>
        <v>844.87</v>
      </c>
      <c r="J1369" s="4" t="n">
        <f aca="false">F1369*H1369</f>
        <v>579.02</v>
      </c>
      <c r="K1369" s="4" t="n">
        <f aca="false">I1369-J1369</f>
        <v>265.85</v>
      </c>
      <c r="L1369" s="5" t="n">
        <f aca="false">IFERROR(K1369/I1369,0)</f>
        <v>0.314663794429912</v>
      </c>
    </row>
    <row r="1370" customFormat="false" ht="15" hidden="false" customHeight="false" outlineLevel="0" collapsed="false">
      <c r="A1370" s="2" t="s">
        <v>52</v>
      </c>
      <c r="B1370" s="2" t="s">
        <v>53</v>
      </c>
      <c r="C1370" s="2" t="s">
        <v>32</v>
      </c>
      <c r="D1370" s="2" t="s">
        <v>36</v>
      </c>
      <c r="E1370" s="3" t="n">
        <v>46054</v>
      </c>
      <c r="F1370" s="2" t="n">
        <v>11</v>
      </c>
      <c r="G1370" s="4" t="n">
        <v>22.99</v>
      </c>
      <c r="H1370" s="4" t="n">
        <v>16.8</v>
      </c>
      <c r="I1370" s="4" t="n">
        <f aca="false">F1370*G1370</f>
        <v>252.89</v>
      </c>
      <c r="J1370" s="4" t="n">
        <f aca="false">F1370*H1370</f>
        <v>184.8</v>
      </c>
      <c r="K1370" s="4" t="n">
        <f aca="false">I1370-J1370</f>
        <v>68.09</v>
      </c>
      <c r="L1370" s="5" t="n">
        <f aca="false">IFERROR(K1370/I1370,0)</f>
        <v>0.269247498912571</v>
      </c>
    </row>
    <row r="1371" customFormat="false" ht="15" hidden="false" customHeight="false" outlineLevel="0" collapsed="false">
      <c r="A1371" s="2" t="s">
        <v>52</v>
      </c>
      <c r="B1371" s="2" t="s">
        <v>53</v>
      </c>
      <c r="C1371" s="2" t="s">
        <v>32</v>
      </c>
      <c r="D1371" s="2" t="s">
        <v>37</v>
      </c>
      <c r="E1371" s="3" t="n">
        <v>46054</v>
      </c>
      <c r="F1371" s="2" t="n">
        <v>8</v>
      </c>
      <c r="G1371" s="4" t="n">
        <v>29.99</v>
      </c>
      <c r="H1371" s="4" t="n">
        <v>20.63</v>
      </c>
      <c r="I1371" s="4" t="n">
        <f aca="false">F1371*G1371</f>
        <v>239.92</v>
      </c>
      <c r="J1371" s="4" t="n">
        <f aca="false">F1371*H1371</f>
        <v>165.04</v>
      </c>
      <c r="K1371" s="4" t="n">
        <f aca="false">I1371-J1371</f>
        <v>74.88</v>
      </c>
      <c r="L1371" s="5" t="n">
        <f aca="false">IFERROR(K1371/I1371,0)</f>
        <v>0.312104034678226</v>
      </c>
    </row>
    <row r="1372" customFormat="false" ht="15" hidden="false" customHeight="false" outlineLevel="0" collapsed="false">
      <c r="A1372" s="2" t="s">
        <v>52</v>
      </c>
      <c r="B1372" s="2" t="s">
        <v>53</v>
      </c>
      <c r="C1372" s="2" t="s">
        <v>38</v>
      </c>
      <c r="D1372" s="2" t="s">
        <v>39</v>
      </c>
      <c r="E1372" s="3" t="n">
        <v>46054</v>
      </c>
      <c r="F1372" s="2" t="n">
        <v>9</v>
      </c>
      <c r="G1372" s="4" t="n">
        <v>129.99</v>
      </c>
      <c r="H1372" s="4" t="n">
        <v>77.06</v>
      </c>
      <c r="I1372" s="4" t="n">
        <f aca="false">F1372*G1372</f>
        <v>1169.91</v>
      </c>
      <c r="J1372" s="4" t="n">
        <f aca="false">F1372*H1372</f>
        <v>693.54</v>
      </c>
      <c r="K1372" s="4" t="n">
        <f aca="false">I1372-J1372</f>
        <v>476.37</v>
      </c>
      <c r="L1372" s="5" t="n">
        <f aca="false">IFERROR(K1372/I1372,0)</f>
        <v>0.407185168089853</v>
      </c>
    </row>
    <row r="1373" customFormat="false" ht="15" hidden="false" customHeight="false" outlineLevel="0" collapsed="false">
      <c r="A1373" s="2" t="s">
        <v>52</v>
      </c>
      <c r="B1373" s="2" t="s">
        <v>53</v>
      </c>
      <c r="C1373" s="2" t="s">
        <v>38</v>
      </c>
      <c r="D1373" s="2" t="s">
        <v>40</v>
      </c>
      <c r="E1373" s="3" t="n">
        <v>46054</v>
      </c>
      <c r="F1373" s="2" t="n">
        <v>13</v>
      </c>
      <c r="G1373" s="4" t="n">
        <v>74.99</v>
      </c>
      <c r="H1373" s="4" t="n">
        <v>41.49</v>
      </c>
      <c r="I1373" s="4" t="n">
        <f aca="false">F1373*G1373</f>
        <v>974.87</v>
      </c>
      <c r="J1373" s="4" t="n">
        <f aca="false">F1373*H1373</f>
        <v>539.37</v>
      </c>
      <c r="K1373" s="4" t="n">
        <f aca="false">I1373-J1373</f>
        <v>435.5</v>
      </c>
      <c r="L1373" s="5" t="n">
        <f aca="false">IFERROR(K1373/I1373,0)</f>
        <v>0.446726230164022</v>
      </c>
    </row>
    <row r="1374" customFormat="false" ht="15" hidden="false" customHeight="false" outlineLevel="0" collapsed="false">
      <c r="A1374" s="2" t="s">
        <v>52</v>
      </c>
      <c r="B1374" s="2" t="s">
        <v>53</v>
      </c>
      <c r="C1374" s="2" t="s">
        <v>38</v>
      </c>
      <c r="D1374" s="2" t="s">
        <v>41</v>
      </c>
      <c r="E1374" s="3" t="n">
        <v>46054</v>
      </c>
      <c r="F1374" s="2" t="n">
        <v>24</v>
      </c>
      <c r="G1374" s="4" t="n">
        <v>19.99</v>
      </c>
      <c r="H1374" s="4" t="n">
        <v>9.68</v>
      </c>
      <c r="I1374" s="4" t="n">
        <f aca="false">F1374*G1374</f>
        <v>479.76</v>
      </c>
      <c r="J1374" s="4" t="n">
        <f aca="false">F1374*H1374</f>
        <v>232.32</v>
      </c>
      <c r="K1374" s="4" t="n">
        <f aca="false">I1374-J1374</f>
        <v>247.44</v>
      </c>
      <c r="L1374" s="5" t="n">
        <f aca="false">IFERROR(K1374/I1374,0)</f>
        <v>0.51575787893947</v>
      </c>
    </row>
    <row r="1375" customFormat="false" ht="15" hidden="false" customHeight="false" outlineLevel="0" collapsed="false">
      <c r="A1375" s="2" t="s">
        <v>52</v>
      </c>
      <c r="B1375" s="2" t="s">
        <v>53</v>
      </c>
      <c r="C1375" s="2" t="s">
        <v>38</v>
      </c>
      <c r="D1375" s="2" t="s">
        <v>42</v>
      </c>
      <c r="E1375" s="3" t="n">
        <v>46054</v>
      </c>
      <c r="F1375" s="2" t="n">
        <v>11</v>
      </c>
      <c r="G1375" s="4" t="n">
        <v>16.99</v>
      </c>
      <c r="H1375" s="4" t="n">
        <v>8.3</v>
      </c>
      <c r="I1375" s="4" t="n">
        <f aca="false">F1375*G1375</f>
        <v>186.89</v>
      </c>
      <c r="J1375" s="4" t="n">
        <f aca="false">F1375*H1375</f>
        <v>91.3</v>
      </c>
      <c r="K1375" s="4" t="n">
        <f aca="false">I1375-J1375</f>
        <v>95.59</v>
      </c>
      <c r="L1375" s="5" t="n">
        <f aca="false">IFERROR(K1375/I1375,0)</f>
        <v>0.511477339611536</v>
      </c>
    </row>
    <row r="1376" customFormat="false" ht="15" hidden="false" customHeight="false" outlineLevel="0" collapsed="false">
      <c r="A1376" s="2" t="s">
        <v>52</v>
      </c>
      <c r="B1376" s="2" t="s">
        <v>53</v>
      </c>
      <c r="C1376" s="2" t="s">
        <v>38</v>
      </c>
      <c r="D1376" s="2" t="s">
        <v>43</v>
      </c>
      <c r="E1376" s="3" t="n">
        <v>46054</v>
      </c>
      <c r="F1376" s="2" t="n">
        <v>17</v>
      </c>
      <c r="G1376" s="4" t="n">
        <v>24.99</v>
      </c>
      <c r="H1376" s="4" t="n">
        <v>13.16</v>
      </c>
      <c r="I1376" s="4" t="n">
        <f aca="false">F1376*G1376</f>
        <v>424.83</v>
      </c>
      <c r="J1376" s="4" t="n">
        <f aca="false">F1376*H1376</f>
        <v>223.72</v>
      </c>
      <c r="K1376" s="4" t="n">
        <f aca="false">I1376-J1376</f>
        <v>201.11</v>
      </c>
      <c r="L1376" s="5" t="n">
        <f aca="false">IFERROR(K1376/I1376,0)</f>
        <v>0.473389355742297</v>
      </c>
    </row>
    <row r="1377" customFormat="false" ht="15" hidden="false" customHeight="false" outlineLevel="0" collapsed="false">
      <c r="A1377" s="2" t="s">
        <v>52</v>
      </c>
      <c r="B1377" s="2" t="s">
        <v>54</v>
      </c>
      <c r="C1377" s="2" t="s">
        <v>14</v>
      </c>
      <c r="D1377" s="2" t="s">
        <v>15</v>
      </c>
      <c r="E1377" s="3" t="n">
        <v>46054</v>
      </c>
      <c r="F1377" s="2" t="n">
        <v>20</v>
      </c>
      <c r="G1377" s="4" t="n">
        <v>69.99</v>
      </c>
      <c r="H1377" s="4" t="n">
        <v>34.12</v>
      </c>
      <c r="I1377" s="4" t="n">
        <f aca="false">F1377*G1377</f>
        <v>1399.8</v>
      </c>
      <c r="J1377" s="4" t="n">
        <f aca="false">F1377*H1377</f>
        <v>682.4</v>
      </c>
      <c r="K1377" s="4" t="n">
        <f aca="false">I1377-J1377</f>
        <v>717.4</v>
      </c>
      <c r="L1377" s="5" t="n">
        <f aca="false">IFERROR(K1377/I1377,0)</f>
        <v>0.512501785969424</v>
      </c>
    </row>
    <row r="1378" customFormat="false" ht="15" hidden="false" customHeight="false" outlineLevel="0" collapsed="false">
      <c r="A1378" s="2" t="s">
        <v>52</v>
      </c>
      <c r="B1378" s="2" t="s">
        <v>54</v>
      </c>
      <c r="C1378" s="2" t="s">
        <v>14</v>
      </c>
      <c r="D1378" s="2" t="s">
        <v>16</v>
      </c>
      <c r="E1378" s="3" t="n">
        <v>46054</v>
      </c>
      <c r="F1378" s="2" t="n">
        <v>11</v>
      </c>
      <c r="G1378" s="4" t="n">
        <v>19.99</v>
      </c>
      <c r="H1378" s="4" t="n">
        <v>8.93</v>
      </c>
      <c r="I1378" s="4" t="n">
        <f aca="false">F1378*G1378</f>
        <v>219.89</v>
      </c>
      <c r="J1378" s="4" t="n">
        <f aca="false">F1378*H1378</f>
        <v>98.23</v>
      </c>
      <c r="K1378" s="4" t="n">
        <f aca="false">I1378-J1378</f>
        <v>121.66</v>
      </c>
      <c r="L1378" s="5" t="n">
        <f aca="false">IFERROR(K1378/I1378,0)</f>
        <v>0.55327663831916</v>
      </c>
    </row>
    <row r="1379" customFormat="false" ht="15" hidden="false" customHeight="false" outlineLevel="0" collapsed="false">
      <c r="A1379" s="2" t="s">
        <v>52</v>
      </c>
      <c r="B1379" s="2" t="s">
        <v>54</v>
      </c>
      <c r="C1379" s="2" t="s">
        <v>14</v>
      </c>
      <c r="D1379" s="2" t="s">
        <v>17</v>
      </c>
      <c r="E1379" s="3" t="n">
        <v>46054</v>
      </c>
      <c r="F1379" s="2" t="n">
        <v>10</v>
      </c>
      <c r="G1379" s="4" t="n">
        <v>79.99</v>
      </c>
      <c r="H1379" s="4" t="n">
        <v>39.63</v>
      </c>
      <c r="I1379" s="4" t="n">
        <f aca="false">F1379*G1379</f>
        <v>799.9</v>
      </c>
      <c r="J1379" s="4" t="n">
        <f aca="false">F1379*H1379</f>
        <v>396.3</v>
      </c>
      <c r="K1379" s="4" t="n">
        <f aca="false">I1379-J1379</f>
        <v>403.6</v>
      </c>
      <c r="L1379" s="5" t="n">
        <f aca="false">IFERROR(K1379/I1379,0)</f>
        <v>0.504563070383798</v>
      </c>
    </row>
    <row r="1380" customFormat="false" ht="15" hidden="false" customHeight="false" outlineLevel="0" collapsed="false">
      <c r="A1380" s="2" t="s">
        <v>52</v>
      </c>
      <c r="B1380" s="2" t="s">
        <v>54</v>
      </c>
      <c r="C1380" s="2" t="s">
        <v>14</v>
      </c>
      <c r="D1380" s="2" t="s">
        <v>18</v>
      </c>
      <c r="E1380" s="3" t="n">
        <v>46054</v>
      </c>
      <c r="F1380" s="2" t="n">
        <v>17</v>
      </c>
      <c r="G1380" s="4" t="n">
        <v>34.99</v>
      </c>
      <c r="H1380" s="4" t="n">
        <v>14.52</v>
      </c>
      <c r="I1380" s="4" t="n">
        <f aca="false">F1380*G1380</f>
        <v>594.83</v>
      </c>
      <c r="J1380" s="4" t="n">
        <f aca="false">F1380*H1380</f>
        <v>246.84</v>
      </c>
      <c r="K1380" s="4" t="n">
        <f aca="false">I1380-J1380</f>
        <v>347.99</v>
      </c>
      <c r="L1380" s="5" t="n">
        <f aca="false">IFERROR(K1380/I1380,0)</f>
        <v>0.585024292655044</v>
      </c>
    </row>
    <row r="1381" customFormat="false" ht="15" hidden="false" customHeight="false" outlineLevel="0" collapsed="false">
      <c r="A1381" s="2" t="s">
        <v>52</v>
      </c>
      <c r="B1381" s="2" t="s">
        <v>54</v>
      </c>
      <c r="C1381" s="2" t="s">
        <v>14</v>
      </c>
      <c r="D1381" s="2" t="s">
        <v>19</v>
      </c>
      <c r="E1381" s="3" t="n">
        <v>46054</v>
      </c>
      <c r="F1381" s="2" t="n">
        <v>16</v>
      </c>
      <c r="G1381" s="4" t="n">
        <v>54.99</v>
      </c>
      <c r="H1381" s="4" t="n">
        <v>23.75</v>
      </c>
      <c r="I1381" s="4" t="n">
        <f aca="false">F1381*G1381</f>
        <v>879.84</v>
      </c>
      <c r="J1381" s="4" t="n">
        <f aca="false">F1381*H1381</f>
        <v>380</v>
      </c>
      <c r="K1381" s="4" t="n">
        <f aca="false">I1381-J1381</f>
        <v>499.84</v>
      </c>
      <c r="L1381" s="5" t="n">
        <f aca="false">IFERROR(K1381/I1381,0)</f>
        <v>0.568103291507547</v>
      </c>
    </row>
    <row r="1382" customFormat="false" ht="15" hidden="false" customHeight="false" outlineLevel="0" collapsed="false">
      <c r="A1382" s="2" t="s">
        <v>52</v>
      </c>
      <c r="B1382" s="2" t="s">
        <v>54</v>
      </c>
      <c r="C1382" s="2" t="s">
        <v>20</v>
      </c>
      <c r="D1382" s="2" t="s">
        <v>21</v>
      </c>
      <c r="E1382" s="3" t="n">
        <v>46054</v>
      </c>
      <c r="F1382" s="2" t="n">
        <v>16</v>
      </c>
      <c r="G1382" s="4" t="n">
        <v>44.99</v>
      </c>
      <c r="H1382" s="4" t="n">
        <v>19.74</v>
      </c>
      <c r="I1382" s="4" t="n">
        <f aca="false">F1382*G1382</f>
        <v>719.84</v>
      </c>
      <c r="J1382" s="4" t="n">
        <f aca="false">F1382*H1382</f>
        <v>315.84</v>
      </c>
      <c r="K1382" s="4" t="n">
        <f aca="false">I1382-J1382</f>
        <v>404</v>
      </c>
      <c r="L1382" s="5" t="n">
        <f aca="false">IFERROR(K1382/I1382,0)</f>
        <v>0.561235830184486</v>
      </c>
    </row>
    <row r="1383" customFormat="false" ht="15" hidden="false" customHeight="false" outlineLevel="0" collapsed="false">
      <c r="A1383" s="2" t="s">
        <v>52</v>
      </c>
      <c r="B1383" s="2" t="s">
        <v>54</v>
      </c>
      <c r="C1383" s="2" t="s">
        <v>20</v>
      </c>
      <c r="D1383" s="2" t="s">
        <v>22</v>
      </c>
      <c r="E1383" s="3" t="n">
        <v>46054</v>
      </c>
      <c r="F1383" s="2" t="n">
        <v>24</v>
      </c>
      <c r="G1383" s="4" t="n">
        <v>14.99</v>
      </c>
      <c r="H1383" s="4" t="n">
        <v>5.82</v>
      </c>
      <c r="I1383" s="4" t="n">
        <f aca="false">F1383*G1383</f>
        <v>359.76</v>
      </c>
      <c r="J1383" s="4" t="n">
        <f aca="false">F1383*H1383</f>
        <v>139.68</v>
      </c>
      <c r="K1383" s="4" t="n">
        <f aca="false">I1383-J1383</f>
        <v>220.08</v>
      </c>
      <c r="L1383" s="5" t="n">
        <f aca="false">IFERROR(K1383/I1383,0)</f>
        <v>0.611741160773849</v>
      </c>
    </row>
    <row r="1384" customFormat="false" ht="15" hidden="false" customHeight="false" outlineLevel="0" collapsed="false">
      <c r="A1384" s="2" t="s">
        <v>52</v>
      </c>
      <c r="B1384" s="2" t="s">
        <v>54</v>
      </c>
      <c r="C1384" s="2" t="s">
        <v>20</v>
      </c>
      <c r="D1384" s="2" t="s">
        <v>23</v>
      </c>
      <c r="E1384" s="3" t="n">
        <v>46054</v>
      </c>
      <c r="F1384" s="2" t="n">
        <v>20</v>
      </c>
      <c r="G1384" s="4" t="n">
        <v>39.99</v>
      </c>
      <c r="H1384" s="4" t="n">
        <v>17.11</v>
      </c>
      <c r="I1384" s="4" t="n">
        <f aca="false">F1384*G1384</f>
        <v>799.8</v>
      </c>
      <c r="J1384" s="4" t="n">
        <f aca="false">F1384*H1384</f>
        <v>342.2</v>
      </c>
      <c r="K1384" s="4" t="n">
        <f aca="false">I1384-J1384</f>
        <v>457.6</v>
      </c>
      <c r="L1384" s="5" t="n">
        <f aca="false">IFERROR(K1384/I1384,0)</f>
        <v>0.57214303575894</v>
      </c>
    </row>
    <row r="1385" customFormat="false" ht="15" hidden="false" customHeight="false" outlineLevel="0" collapsed="false">
      <c r="A1385" s="2" t="s">
        <v>52</v>
      </c>
      <c r="B1385" s="2" t="s">
        <v>54</v>
      </c>
      <c r="C1385" s="2" t="s">
        <v>20</v>
      </c>
      <c r="D1385" s="2" t="s">
        <v>24</v>
      </c>
      <c r="E1385" s="3" t="n">
        <v>46054</v>
      </c>
      <c r="F1385" s="2" t="n">
        <v>10</v>
      </c>
      <c r="G1385" s="4" t="n">
        <v>18.99</v>
      </c>
      <c r="H1385" s="4" t="n">
        <v>7.69</v>
      </c>
      <c r="I1385" s="4" t="n">
        <f aca="false">F1385*G1385</f>
        <v>189.9</v>
      </c>
      <c r="J1385" s="4" t="n">
        <f aca="false">F1385*H1385</f>
        <v>76.9</v>
      </c>
      <c r="K1385" s="4" t="n">
        <f aca="false">I1385-J1385</f>
        <v>113</v>
      </c>
      <c r="L1385" s="5" t="n">
        <f aca="false">IFERROR(K1385/I1385,0)</f>
        <v>0.595050026329647</v>
      </c>
    </row>
    <row r="1386" customFormat="false" ht="15" hidden="false" customHeight="false" outlineLevel="0" collapsed="false">
      <c r="A1386" s="2" t="s">
        <v>52</v>
      </c>
      <c r="B1386" s="2" t="s">
        <v>54</v>
      </c>
      <c r="C1386" s="2" t="s">
        <v>20</v>
      </c>
      <c r="D1386" s="2" t="s">
        <v>25</v>
      </c>
      <c r="E1386" s="3" t="n">
        <v>46054</v>
      </c>
      <c r="F1386" s="2" t="n">
        <v>12</v>
      </c>
      <c r="G1386" s="4" t="n">
        <v>42.99</v>
      </c>
      <c r="H1386" s="4" t="n">
        <v>16.14</v>
      </c>
      <c r="I1386" s="4" t="n">
        <f aca="false">F1386*G1386</f>
        <v>515.88</v>
      </c>
      <c r="J1386" s="4" t="n">
        <f aca="false">F1386*H1386</f>
        <v>193.68</v>
      </c>
      <c r="K1386" s="4" t="n">
        <f aca="false">I1386-J1386</f>
        <v>322.2</v>
      </c>
      <c r="L1386" s="5" t="n">
        <f aca="false">IFERROR(K1386/I1386,0)</f>
        <v>0.624563852058618</v>
      </c>
    </row>
    <row r="1387" customFormat="false" ht="15" hidden="false" customHeight="false" outlineLevel="0" collapsed="false">
      <c r="A1387" s="2" t="s">
        <v>52</v>
      </c>
      <c r="B1387" s="2" t="s">
        <v>54</v>
      </c>
      <c r="C1387" s="2" t="s">
        <v>26</v>
      </c>
      <c r="D1387" s="2" t="s">
        <v>27</v>
      </c>
      <c r="E1387" s="3" t="n">
        <v>46054</v>
      </c>
      <c r="F1387" s="2" t="n">
        <v>15</v>
      </c>
      <c r="G1387" s="4" t="n">
        <v>44.99</v>
      </c>
      <c r="H1387" s="4" t="n">
        <v>27.11</v>
      </c>
      <c r="I1387" s="4" t="n">
        <f aca="false">F1387*G1387</f>
        <v>674.85</v>
      </c>
      <c r="J1387" s="4" t="n">
        <f aca="false">F1387*H1387</f>
        <v>406.65</v>
      </c>
      <c r="K1387" s="4" t="n">
        <f aca="false">I1387-J1387</f>
        <v>268.2</v>
      </c>
      <c r="L1387" s="5" t="n">
        <f aca="false">IFERROR(K1387/I1387,0)</f>
        <v>0.39742164925539</v>
      </c>
    </row>
    <row r="1388" customFormat="false" ht="15" hidden="false" customHeight="false" outlineLevel="0" collapsed="false">
      <c r="A1388" s="2" t="s">
        <v>52</v>
      </c>
      <c r="B1388" s="2" t="s">
        <v>54</v>
      </c>
      <c r="C1388" s="2" t="s">
        <v>26</v>
      </c>
      <c r="D1388" s="2" t="s">
        <v>28</v>
      </c>
      <c r="E1388" s="3" t="n">
        <v>46054</v>
      </c>
      <c r="F1388" s="2" t="n">
        <v>9</v>
      </c>
      <c r="G1388" s="4" t="n">
        <v>34.99</v>
      </c>
      <c r="H1388" s="4" t="n">
        <v>22.66</v>
      </c>
      <c r="I1388" s="4" t="n">
        <f aca="false">F1388*G1388</f>
        <v>314.91</v>
      </c>
      <c r="J1388" s="4" t="n">
        <f aca="false">F1388*H1388</f>
        <v>203.94</v>
      </c>
      <c r="K1388" s="4" t="n">
        <f aca="false">I1388-J1388</f>
        <v>110.97</v>
      </c>
      <c r="L1388" s="5" t="n">
        <f aca="false">IFERROR(K1388/I1388,0)</f>
        <v>0.352386396113175</v>
      </c>
    </row>
    <row r="1389" customFormat="false" ht="15" hidden="false" customHeight="false" outlineLevel="0" collapsed="false">
      <c r="A1389" s="2" t="s">
        <v>52</v>
      </c>
      <c r="B1389" s="2" t="s">
        <v>54</v>
      </c>
      <c r="C1389" s="2" t="s">
        <v>26</v>
      </c>
      <c r="D1389" s="2" t="s">
        <v>29</v>
      </c>
      <c r="E1389" s="3" t="n">
        <v>46054</v>
      </c>
      <c r="F1389" s="2" t="n">
        <v>8</v>
      </c>
      <c r="G1389" s="4" t="n">
        <v>119.99</v>
      </c>
      <c r="H1389" s="4" t="n">
        <v>79.87</v>
      </c>
      <c r="I1389" s="4" t="n">
        <f aca="false">F1389*G1389</f>
        <v>959.92</v>
      </c>
      <c r="J1389" s="4" t="n">
        <f aca="false">F1389*H1389</f>
        <v>638.96</v>
      </c>
      <c r="K1389" s="4" t="n">
        <f aca="false">I1389-J1389</f>
        <v>320.96</v>
      </c>
      <c r="L1389" s="5" t="n">
        <f aca="false">IFERROR(K1389/I1389,0)</f>
        <v>0.334361196766397</v>
      </c>
    </row>
    <row r="1390" customFormat="false" ht="15" hidden="false" customHeight="false" outlineLevel="0" collapsed="false">
      <c r="A1390" s="2" t="s">
        <v>52</v>
      </c>
      <c r="B1390" s="2" t="s">
        <v>54</v>
      </c>
      <c r="C1390" s="2" t="s">
        <v>26</v>
      </c>
      <c r="D1390" s="2" t="s">
        <v>30</v>
      </c>
      <c r="E1390" s="3" t="n">
        <v>46054</v>
      </c>
      <c r="F1390" s="2" t="n">
        <v>15</v>
      </c>
      <c r="G1390" s="4" t="n">
        <v>24.99</v>
      </c>
      <c r="H1390" s="4" t="n">
        <v>15.19</v>
      </c>
      <c r="I1390" s="4" t="n">
        <f aca="false">F1390*G1390</f>
        <v>374.85</v>
      </c>
      <c r="J1390" s="4" t="n">
        <f aca="false">F1390*H1390</f>
        <v>227.85</v>
      </c>
      <c r="K1390" s="4" t="n">
        <f aca="false">I1390-J1390</f>
        <v>147</v>
      </c>
      <c r="L1390" s="5" t="n">
        <f aca="false">IFERROR(K1390/I1390,0)</f>
        <v>0.392156862745098</v>
      </c>
    </row>
    <row r="1391" customFormat="false" ht="15" hidden="false" customHeight="false" outlineLevel="0" collapsed="false">
      <c r="A1391" s="2" t="s">
        <v>52</v>
      </c>
      <c r="B1391" s="2" t="s">
        <v>54</v>
      </c>
      <c r="C1391" s="2" t="s">
        <v>26</v>
      </c>
      <c r="D1391" s="2" t="s">
        <v>31</v>
      </c>
      <c r="E1391" s="3" t="n">
        <v>46054</v>
      </c>
      <c r="F1391" s="2" t="n">
        <v>13</v>
      </c>
      <c r="G1391" s="4" t="n">
        <v>59.99</v>
      </c>
      <c r="H1391" s="4" t="n">
        <v>39.96</v>
      </c>
      <c r="I1391" s="4" t="n">
        <f aca="false">F1391*G1391</f>
        <v>779.87</v>
      </c>
      <c r="J1391" s="4" t="n">
        <f aca="false">F1391*H1391</f>
        <v>519.48</v>
      </c>
      <c r="K1391" s="4" t="n">
        <f aca="false">I1391-J1391</f>
        <v>260.39</v>
      </c>
      <c r="L1391" s="5" t="n">
        <f aca="false">IFERROR(K1391/I1391,0)</f>
        <v>0.333888981496916</v>
      </c>
    </row>
    <row r="1392" customFormat="false" ht="15" hidden="false" customHeight="false" outlineLevel="0" collapsed="false">
      <c r="A1392" s="2" t="s">
        <v>52</v>
      </c>
      <c r="B1392" s="2" t="s">
        <v>54</v>
      </c>
      <c r="C1392" s="2" t="s">
        <v>32</v>
      </c>
      <c r="D1392" s="2" t="s">
        <v>33</v>
      </c>
      <c r="E1392" s="3" t="n">
        <v>46054</v>
      </c>
      <c r="F1392" s="2" t="n">
        <v>17</v>
      </c>
      <c r="G1392" s="4" t="n">
        <v>49.99</v>
      </c>
      <c r="H1392" s="4" t="n">
        <v>37.01</v>
      </c>
      <c r="I1392" s="4" t="n">
        <f aca="false">F1392*G1392</f>
        <v>849.83</v>
      </c>
      <c r="J1392" s="4" t="n">
        <f aca="false">F1392*H1392</f>
        <v>629.17</v>
      </c>
      <c r="K1392" s="4" t="n">
        <f aca="false">I1392-J1392</f>
        <v>220.66</v>
      </c>
      <c r="L1392" s="5" t="n">
        <f aca="false">IFERROR(K1392/I1392,0)</f>
        <v>0.259651930386077</v>
      </c>
    </row>
    <row r="1393" customFormat="false" ht="15" hidden="false" customHeight="false" outlineLevel="0" collapsed="false">
      <c r="A1393" s="2" t="s">
        <v>52</v>
      </c>
      <c r="B1393" s="2" t="s">
        <v>54</v>
      </c>
      <c r="C1393" s="2" t="s">
        <v>32</v>
      </c>
      <c r="D1393" s="2" t="s">
        <v>34</v>
      </c>
      <c r="E1393" s="3" t="n">
        <v>46054</v>
      </c>
      <c r="F1393" s="2" t="n">
        <v>10</v>
      </c>
      <c r="G1393" s="4" t="n">
        <v>27.99</v>
      </c>
      <c r="H1393" s="4" t="n">
        <v>19.73</v>
      </c>
      <c r="I1393" s="4" t="n">
        <f aca="false">F1393*G1393</f>
        <v>279.9</v>
      </c>
      <c r="J1393" s="4" t="n">
        <f aca="false">F1393*H1393</f>
        <v>197.3</v>
      </c>
      <c r="K1393" s="4" t="n">
        <f aca="false">I1393-J1393</f>
        <v>82.6</v>
      </c>
      <c r="L1393" s="5" t="n">
        <f aca="false">IFERROR(K1393/I1393,0)</f>
        <v>0.295105394783851</v>
      </c>
    </row>
    <row r="1394" customFormat="false" ht="15" hidden="false" customHeight="false" outlineLevel="0" collapsed="false">
      <c r="A1394" s="2" t="s">
        <v>52</v>
      </c>
      <c r="B1394" s="2" t="s">
        <v>54</v>
      </c>
      <c r="C1394" s="2" t="s">
        <v>32</v>
      </c>
      <c r="D1394" s="2" t="s">
        <v>35</v>
      </c>
      <c r="E1394" s="3" t="n">
        <v>46054</v>
      </c>
      <c r="F1394" s="2" t="n">
        <v>25</v>
      </c>
      <c r="G1394" s="4" t="n">
        <v>64.99</v>
      </c>
      <c r="H1394" s="4" t="n">
        <v>46.33</v>
      </c>
      <c r="I1394" s="4" t="n">
        <f aca="false">F1394*G1394</f>
        <v>1624.75</v>
      </c>
      <c r="J1394" s="4" t="n">
        <f aca="false">F1394*H1394</f>
        <v>1158.25</v>
      </c>
      <c r="K1394" s="4" t="n">
        <f aca="false">I1394-J1394</f>
        <v>466.5</v>
      </c>
      <c r="L1394" s="5" t="n">
        <f aca="false">IFERROR(K1394/I1394,0)</f>
        <v>0.287121095553162</v>
      </c>
    </row>
    <row r="1395" customFormat="false" ht="15" hidden="false" customHeight="false" outlineLevel="0" collapsed="false">
      <c r="A1395" s="2" t="s">
        <v>52</v>
      </c>
      <c r="B1395" s="2" t="s">
        <v>54</v>
      </c>
      <c r="C1395" s="2" t="s">
        <v>32</v>
      </c>
      <c r="D1395" s="2" t="s">
        <v>36</v>
      </c>
      <c r="E1395" s="3" t="n">
        <v>46054</v>
      </c>
      <c r="F1395" s="2" t="n">
        <v>21</v>
      </c>
      <c r="G1395" s="4" t="n">
        <v>22.99</v>
      </c>
      <c r="H1395" s="4" t="n">
        <v>16.9</v>
      </c>
      <c r="I1395" s="4" t="n">
        <f aca="false">F1395*G1395</f>
        <v>482.79</v>
      </c>
      <c r="J1395" s="4" t="n">
        <f aca="false">F1395*H1395</f>
        <v>354.9</v>
      </c>
      <c r="K1395" s="4" t="n">
        <f aca="false">I1395-J1395</f>
        <v>127.89</v>
      </c>
      <c r="L1395" s="5" t="n">
        <f aca="false">IFERROR(K1395/I1395,0)</f>
        <v>0.264897781644193</v>
      </c>
    </row>
    <row r="1396" customFormat="false" ht="15" hidden="false" customHeight="false" outlineLevel="0" collapsed="false">
      <c r="A1396" s="2" t="s">
        <v>52</v>
      </c>
      <c r="B1396" s="2" t="s">
        <v>54</v>
      </c>
      <c r="C1396" s="2" t="s">
        <v>32</v>
      </c>
      <c r="D1396" s="2" t="s">
        <v>37</v>
      </c>
      <c r="E1396" s="3" t="n">
        <v>46054</v>
      </c>
      <c r="F1396" s="2" t="n">
        <v>7</v>
      </c>
      <c r="G1396" s="4" t="n">
        <v>29.99</v>
      </c>
      <c r="H1396" s="4" t="n">
        <v>20.96</v>
      </c>
      <c r="I1396" s="4" t="n">
        <f aca="false">F1396*G1396</f>
        <v>209.93</v>
      </c>
      <c r="J1396" s="4" t="n">
        <f aca="false">F1396*H1396</f>
        <v>146.72</v>
      </c>
      <c r="K1396" s="4" t="n">
        <f aca="false">I1396-J1396</f>
        <v>63.21</v>
      </c>
      <c r="L1396" s="5" t="n">
        <f aca="false">IFERROR(K1396/I1396,0)</f>
        <v>0.30110036678893</v>
      </c>
    </row>
    <row r="1397" customFormat="false" ht="15" hidden="false" customHeight="false" outlineLevel="0" collapsed="false">
      <c r="A1397" s="2" t="s">
        <v>52</v>
      </c>
      <c r="B1397" s="2" t="s">
        <v>54</v>
      </c>
      <c r="C1397" s="2" t="s">
        <v>38</v>
      </c>
      <c r="D1397" s="2" t="s">
        <v>39</v>
      </c>
      <c r="E1397" s="3" t="n">
        <v>46054</v>
      </c>
      <c r="F1397" s="2" t="n">
        <v>17</v>
      </c>
      <c r="G1397" s="4" t="n">
        <v>129.99</v>
      </c>
      <c r="H1397" s="4" t="n">
        <v>73.55</v>
      </c>
      <c r="I1397" s="4" t="n">
        <f aca="false">F1397*G1397</f>
        <v>2209.83</v>
      </c>
      <c r="J1397" s="4" t="n">
        <f aca="false">F1397*H1397</f>
        <v>1250.35</v>
      </c>
      <c r="K1397" s="4" t="n">
        <f aca="false">I1397-J1397</f>
        <v>959.48</v>
      </c>
      <c r="L1397" s="5" t="n">
        <f aca="false">IFERROR(K1397/I1397,0)</f>
        <v>0.434187245172706</v>
      </c>
    </row>
    <row r="1398" customFormat="false" ht="15" hidden="false" customHeight="false" outlineLevel="0" collapsed="false">
      <c r="A1398" s="2" t="s">
        <v>52</v>
      </c>
      <c r="B1398" s="2" t="s">
        <v>54</v>
      </c>
      <c r="C1398" s="2" t="s">
        <v>38</v>
      </c>
      <c r="D1398" s="2" t="s">
        <v>40</v>
      </c>
      <c r="E1398" s="3" t="n">
        <v>46054</v>
      </c>
      <c r="F1398" s="2" t="n">
        <v>16</v>
      </c>
      <c r="G1398" s="4" t="n">
        <v>74.99</v>
      </c>
      <c r="H1398" s="4" t="n">
        <v>41.63</v>
      </c>
      <c r="I1398" s="4" t="n">
        <f aca="false">F1398*G1398</f>
        <v>1199.84</v>
      </c>
      <c r="J1398" s="4" t="n">
        <f aca="false">F1398*H1398</f>
        <v>666.08</v>
      </c>
      <c r="K1398" s="4" t="n">
        <f aca="false">I1398-J1398</f>
        <v>533.76</v>
      </c>
      <c r="L1398" s="5" t="n">
        <f aca="false">IFERROR(K1398/I1398,0)</f>
        <v>0.444859314575277</v>
      </c>
    </row>
    <row r="1399" customFormat="false" ht="15" hidden="false" customHeight="false" outlineLevel="0" collapsed="false">
      <c r="A1399" s="2" t="s">
        <v>52</v>
      </c>
      <c r="B1399" s="2" t="s">
        <v>54</v>
      </c>
      <c r="C1399" s="2" t="s">
        <v>38</v>
      </c>
      <c r="D1399" s="2" t="s">
        <v>41</v>
      </c>
      <c r="E1399" s="3" t="n">
        <v>46054</v>
      </c>
      <c r="F1399" s="2" t="n">
        <v>17</v>
      </c>
      <c r="G1399" s="4" t="n">
        <v>19.99</v>
      </c>
      <c r="H1399" s="4" t="n">
        <v>9.45</v>
      </c>
      <c r="I1399" s="4" t="n">
        <f aca="false">F1399*G1399</f>
        <v>339.83</v>
      </c>
      <c r="J1399" s="4" t="n">
        <f aca="false">F1399*H1399</f>
        <v>160.65</v>
      </c>
      <c r="K1399" s="4" t="n">
        <f aca="false">I1399-J1399</f>
        <v>179.18</v>
      </c>
      <c r="L1399" s="5" t="n">
        <f aca="false">IFERROR(K1399/I1399,0)</f>
        <v>0.527263631815908</v>
      </c>
    </row>
    <row r="1400" customFormat="false" ht="15" hidden="false" customHeight="false" outlineLevel="0" collapsed="false">
      <c r="A1400" s="2" t="s">
        <v>52</v>
      </c>
      <c r="B1400" s="2" t="s">
        <v>54</v>
      </c>
      <c r="C1400" s="2" t="s">
        <v>38</v>
      </c>
      <c r="D1400" s="2" t="s">
        <v>42</v>
      </c>
      <c r="E1400" s="3" t="n">
        <v>46054</v>
      </c>
      <c r="F1400" s="2" t="n">
        <v>17</v>
      </c>
      <c r="G1400" s="4" t="n">
        <v>16.99</v>
      </c>
      <c r="H1400" s="4" t="n">
        <v>8.49</v>
      </c>
      <c r="I1400" s="4" t="n">
        <f aca="false">F1400*G1400</f>
        <v>288.83</v>
      </c>
      <c r="J1400" s="4" t="n">
        <f aca="false">F1400*H1400</f>
        <v>144.33</v>
      </c>
      <c r="K1400" s="4" t="n">
        <f aca="false">I1400-J1400</f>
        <v>144.5</v>
      </c>
      <c r="L1400" s="5" t="n">
        <f aca="false">IFERROR(K1400/I1400,0)</f>
        <v>0.50029429075927</v>
      </c>
    </row>
    <row r="1401" customFormat="false" ht="15" hidden="false" customHeight="false" outlineLevel="0" collapsed="false">
      <c r="A1401" s="2" t="s">
        <v>52</v>
      </c>
      <c r="B1401" s="2" t="s">
        <v>54</v>
      </c>
      <c r="C1401" s="2" t="s">
        <v>38</v>
      </c>
      <c r="D1401" s="2" t="s">
        <v>43</v>
      </c>
      <c r="E1401" s="3" t="n">
        <v>46054</v>
      </c>
      <c r="F1401" s="2" t="n">
        <v>21</v>
      </c>
      <c r="G1401" s="4" t="n">
        <v>24.99</v>
      </c>
      <c r="H1401" s="4" t="n">
        <v>12.93</v>
      </c>
      <c r="I1401" s="4" t="n">
        <f aca="false">F1401*G1401</f>
        <v>524.79</v>
      </c>
      <c r="J1401" s="4" t="n">
        <f aca="false">F1401*H1401</f>
        <v>271.53</v>
      </c>
      <c r="K1401" s="4" t="n">
        <f aca="false">I1401-J1401</f>
        <v>253.26</v>
      </c>
      <c r="L1401" s="5" t="n">
        <f aca="false">IFERROR(K1401/I1401,0)</f>
        <v>0.482593037214886</v>
      </c>
    </row>
    <row r="1402" customFormat="false" ht="15" hidden="false" customHeight="false" outlineLevel="0" collapsed="false">
      <c r="A1402" s="2" t="s">
        <v>12</v>
      </c>
      <c r="B1402" s="2" t="s">
        <v>13</v>
      </c>
      <c r="C1402" s="2" t="s">
        <v>14</v>
      </c>
      <c r="D1402" s="2" t="s">
        <v>15</v>
      </c>
      <c r="E1402" s="3" t="n">
        <v>46082</v>
      </c>
      <c r="F1402" s="2" t="n">
        <v>14</v>
      </c>
      <c r="G1402" s="4" t="n">
        <v>69.99</v>
      </c>
      <c r="H1402" s="4" t="n">
        <v>33.65</v>
      </c>
      <c r="I1402" s="4" t="n">
        <f aca="false">F1402*G1402</f>
        <v>979.86</v>
      </c>
      <c r="J1402" s="4" t="n">
        <f aca="false">F1402*H1402</f>
        <v>471.1</v>
      </c>
      <c r="K1402" s="4" t="n">
        <f aca="false">I1402-J1402</f>
        <v>508.76</v>
      </c>
      <c r="L1402" s="5" t="n">
        <f aca="false">IFERROR(K1402/I1402,0)</f>
        <v>0.519217031004429</v>
      </c>
    </row>
    <row r="1403" customFormat="false" ht="15" hidden="false" customHeight="false" outlineLevel="0" collapsed="false">
      <c r="A1403" s="2" t="s">
        <v>12</v>
      </c>
      <c r="B1403" s="2" t="s">
        <v>13</v>
      </c>
      <c r="C1403" s="2" t="s">
        <v>14</v>
      </c>
      <c r="D1403" s="2" t="s">
        <v>16</v>
      </c>
      <c r="E1403" s="3" t="n">
        <v>46082</v>
      </c>
      <c r="F1403" s="2" t="n">
        <v>17</v>
      </c>
      <c r="G1403" s="4" t="n">
        <v>19.99</v>
      </c>
      <c r="H1403" s="4" t="n">
        <v>9.26</v>
      </c>
      <c r="I1403" s="4" t="n">
        <f aca="false">F1403*G1403</f>
        <v>339.83</v>
      </c>
      <c r="J1403" s="4" t="n">
        <f aca="false">F1403*H1403</f>
        <v>157.42</v>
      </c>
      <c r="K1403" s="4" t="n">
        <f aca="false">I1403-J1403</f>
        <v>182.41</v>
      </c>
      <c r="L1403" s="5" t="n">
        <f aca="false">IFERROR(K1403/I1403,0)</f>
        <v>0.536768384192096</v>
      </c>
    </row>
    <row r="1404" customFormat="false" ht="15" hidden="false" customHeight="false" outlineLevel="0" collapsed="false">
      <c r="A1404" s="2" t="s">
        <v>12</v>
      </c>
      <c r="B1404" s="2" t="s">
        <v>13</v>
      </c>
      <c r="C1404" s="2" t="s">
        <v>14</v>
      </c>
      <c r="D1404" s="2" t="s">
        <v>17</v>
      </c>
      <c r="E1404" s="3" t="n">
        <v>46082</v>
      </c>
      <c r="F1404" s="2" t="n">
        <v>22</v>
      </c>
      <c r="G1404" s="4" t="n">
        <v>79.99</v>
      </c>
      <c r="H1404" s="4" t="n">
        <v>40.91</v>
      </c>
      <c r="I1404" s="4" t="n">
        <f aca="false">F1404*G1404</f>
        <v>1759.78</v>
      </c>
      <c r="J1404" s="4" t="n">
        <f aca="false">F1404*H1404</f>
        <v>900.02</v>
      </c>
      <c r="K1404" s="4" t="n">
        <f aca="false">I1404-J1404</f>
        <v>859.76</v>
      </c>
      <c r="L1404" s="5" t="n">
        <f aca="false">IFERROR(K1404/I1404,0)</f>
        <v>0.488561070133767</v>
      </c>
    </row>
    <row r="1405" customFormat="false" ht="15" hidden="false" customHeight="false" outlineLevel="0" collapsed="false">
      <c r="A1405" s="2" t="s">
        <v>12</v>
      </c>
      <c r="B1405" s="2" t="s">
        <v>13</v>
      </c>
      <c r="C1405" s="2" t="s">
        <v>14</v>
      </c>
      <c r="D1405" s="2" t="s">
        <v>18</v>
      </c>
      <c r="E1405" s="3" t="n">
        <v>46082</v>
      </c>
      <c r="F1405" s="2" t="n">
        <v>19</v>
      </c>
      <c r="G1405" s="4" t="n">
        <v>34.99</v>
      </c>
      <c r="H1405" s="4" t="n">
        <v>14.83</v>
      </c>
      <c r="I1405" s="4" t="n">
        <f aca="false">F1405*G1405</f>
        <v>664.81</v>
      </c>
      <c r="J1405" s="4" t="n">
        <f aca="false">F1405*H1405</f>
        <v>281.77</v>
      </c>
      <c r="K1405" s="4" t="n">
        <f aca="false">I1405-J1405</f>
        <v>383.04</v>
      </c>
      <c r="L1405" s="5" t="n">
        <f aca="false">IFERROR(K1405/I1405,0)</f>
        <v>0.576164618462418</v>
      </c>
    </row>
    <row r="1406" customFormat="false" ht="15" hidden="false" customHeight="false" outlineLevel="0" collapsed="false">
      <c r="A1406" s="2" t="s">
        <v>12</v>
      </c>
      <c r="B1406" s="2" t="s">
        <v>13</v>
      </c>
      <c r="C1406" s="2" t="s">
        <v>14</v>
      </c>
      <c r="D1406" s="2" t="s">
        <v>19</v>
      </c>
      <c r="E1406" s="3" t="n">
        <v>46082</v>
      </c>
      <c r="F1406" s="2" t="n">
        <v>13</v>
      </c>
      <c r="G1406" s="4" t="n">
        <v>54.99</v>
      </c>
      <c r="H1406" s="4" t="n">
        <v>23.93</v>
      </c>
      <c r="I1406" s="4" t="n">
        <f aca="false">F1406*G1406</f>
        <v>714.87</v>
      </c>
      <c r="J1406" s="4" t="n">
        <f aca="false">F1406*H1406</f>
        <v>311.09</v>
      </c>
      <c r="K1406" s="4" t="n">
        <f aca="false">I1406-J1406</f>
        <v>403.78</v>
      </c>
      <c r="L1406" s="5" t="n">
        <f aca="false">IFERROR(K1406/I1406,0)</f>
        <v>0.564829969085288</v>
      </c>
    </row>
    <row r="1407" customFormat="false" ht="15" hidden="false" customHeight="false" outlineLevel="0" collapsed="false">
      <c r="A1407" s="2" t="s">
        <v>12</v>
      </c>
      <c r="B1407" s="2" t="s">
        <v>13</v>
      </c>
      <c r="C1407" s="2" t="s">
        <v>20</v>
      </c>
      <c r="D1407" s="2" t="s">
        <v>21</v>
      </c>
      <c r="E1407" s="3" t="n">
        <v>46082</v>
      </c>
      <c r="F1407" s="2" t="n">
        <v>26</v>
      </c>
      <c r="G1407" s="4" t="n">
        <v>44.99</v>
      </c>
      <c r="H1407" s="4" t="n">
        <v>19.69</v>
      </c>
      <c r="I1407" s="4" t="n">
        <f aca="false">F1407*G1407</f>
        <v>1169.74</v>
      </c>
      <c r="J1407" s="4" t="n">
        <f aca="false">F1407*H1407</f>
        <v>511.94</v>
      </c>
      <c r="K1407" s="4" t="n">
        <f aca="false">I1407-J1407</f>
        <v>657.8</v>
      </c>
      <c r="L1407" s="5" t="n">
        <f aca="false">IFERROR(K1407/I1407,0)</f>
        <v>0.562347188264059</v>
      </c>
    </row>
    <row r="1408" customFormat="false" ht="15" hidden="false" customHeight="false" outlineLevel="0" collapsed="false">
      <c r="A1408" s="2" t="s">
        <v>12</v>
      </c>
      <c r="B1408" s="2" t="s">
        <v>13</v>
      </c>
      <c r="C1408" s="2" t="s">
        <v>20</v>
      </c>
      <c r="D1408" s="2" t="s">
        <v>22</v>
      </c>
      <c r="E1408" s="3" t="n">
        <v>46082</v>
      </c>
      <c r="F1408" s="2" t="n">
        <v>11</v>
      </c>
      <c r="G1408" s="4" t="n">
        <v>14.99</v>
      </c>
      <c r="H1408" s="4" t="n">
        <v>5.72</v>
      </c>
      <c r="I1408" s="4" t="n">
        <f aca="false">F1408*G1408</f>
        <v>164.89</v>
      </c>
      <c r="J1408" s="4" t="n">
        <f aca="false">F1408*H1408</f>
        <v>62.92</v>
      </c>
      <c r="K1408" s="4" t="n">
        <f aca="false">I1408-J1408</f>
        <v>101.97</v>
      </c>
      <c r="L1408" s="5" t="n">
        <f aca="false">IFERROR(K1408/I1408,0)</f>
        <v>0.6184122748499</v>
      </c>
    </row>
    <row r="1409" customFormat="false" ht="15" hidden="false" customHeight="false" outlineLevel="0" collapsed="false">
      <c r="A1409" s="2" t="s">
        <v>12</v>
      </c>
      <c r="B1409" s="2" t="s">
        <v>13</v>
      </c>
      <c r="C1409" s="2" t="s">
        <v>20</v>
      </c>
      <c r="D1409" s="2" t="s">
        <v>23</v>
      </c>
      <c r="E1409" s="3" t="n">
        <v>46082</v>
      </c>
      <c r="F1409" s="2" t="n">
        <v>11</v>
      </c>
      <c r="G1409" s="4" t="n">
        <v>39.99</v>
      </c>
      <c r="H1409" s="4" t="n">
        <v>16.47</v>
      </c>
      <c r="I1409" s="4" t="n">
        <f aca="false">F1409*G1409</f>
        <v>439.89</v>
      </c>
      <c r="J1409" s="4" t="n">
        <f aca="false">F1409*H1409</f>
        <v>181.17</v>
      </c>
      <c r="K1409" s="4" t="n">
        <f aca="false">I1409-J1409</f>
        <v>258.72</v>
      </c>
      <c r="L1409" s="5" t="n">
        <f aca="false">IFERROR(K1409/I1409,0)</f>
        <v>0.58814703675919</v>
      </c>
    </row>
    <row r="1410" customFormat="false" ht="15" hidden="false" customHeight="false" outlineLevel="0" collapsed="false">
      <c r="A1410" s="2" t="s">
        <v>12</v>
      </c>
      <c r="B1410" s="2" t="s">
        <v>13</v>
      </c>
      <c r="C1410" s="2" t="s">
        <v>20</v>
      </c>
      <c r="D1410" s="2" t="s">
        <v>24</v>
      </c>
      <c r="E1410" s="3" t="n">
        <v>46082</v>
      </c>
      <c r="F1410" s="2" t="n">
        <v>13</v>
      </c>
      <c r="G1410" s="4" t="n">
        <v>18.99</v>
      </c>
      <c r="H1410" s="4" t="n">
        <v>7.52</v>
      </c>
      <c r="I1410" s="4" t="n">
        <f aca="false">F1410*G1410</f>
        <v>246.87</v>
      </c>
      <c r="J1410" s="4" t="n">
        <f aca="false">F1410*H1410</f>
        <v>97.76</v>
      </c>
      <c r="K1410" s="4" t="n">
        <f aca="false">I1410-J1410</f>
        <v>149.11</v>
      </c>
      <c r="L1410" s="5" t="n">
        <f aca="false">IFERROR(K1410/I1410,0)</f>
        <v>0.604002106371775</v>
      </c>
    </row>
    <row r="1411" customFormat="false" ht="15" hidden="false" customHeight="false" outlineLevel="0" collapsed="false">
      <c r="A1411" s="2" t="s">
        <v>12</v>
      </c>
      <c r="B1411" s="2" t="s">
        <v>13</v>
      </c>
      <c r="C1411" s="2" t="s">
        <v>20</v>
      </c>
      <c r="D1411" s="2" t="s">
        <v>25</v>
      </c>
      <c r="E1411" s="3" t="n">
        <v>46082</v>
      </c>
      <c r="F1411" s="2" t="n">
        <v>13</v>
      </c>
      <c r="G1411" s="4" t="n">
        <v>42.99</v>
      </c>
      <c r="H1411" s="4" t="n">
        <v>16.01</v>
      </c>
      <c r="I1411" s="4" t="n">
        <f aca="false">F1411*G1411</f>
        <v>558.87</v>
      </c>
      <c r="J1411" s="4" t="n">
        <f aca="false">F1411*H1411</f>
        <v>208.13</v>
      </c>
      <c r="K1411" s="4" t="n">
        <f aca="false">I1411-J1411</f>
        <v>350.74</v>
      </c>
      <c r="L1411" s="5" t="n">
        <f aca="false">IFERROR(K1411/I1411,0)</f>
        <v>0.627587811118865</v>
      </c>
    </row>
    <row r="1412" customFormat="false" ht="15" hidden="false" customHeight="false" outlineLevel="0" collapsed="false">
      <c r="A1412" s="2" t="s">
        <v>12</v>
      </c>
      <c r="B1412" s="2" t="s">
        <v>13</v>
      </c>
      <c r="C1412" s="2" t="s">
        <v>26</v>
      </c>
      <c r="D1412" s="2" t="s">
        <v>27</v>
      </c>
      <c r="E1412" s="3" t="n">
        <v>46082</v>
      </c>
      <c r="F1412" s="2" t="n">
        <v>18</v>
      </c>
      <c r="G1412" s="4" t="n">
        <v>44.99</v>
      </c>
      <c r="H1412" s="4" t="n">
        <v>28.33</v>
      </c>
      <c r="I1412" s="4" t="n">
        <f aca="false">F1412*G1412</f>
        <v>809.82</v>
      </c>
      <c r="J1412" s="4" t="n">
        <f aca="false">F1412*H1412</f>
        <v>509.94</v>
      </c>
      <c r="K1412" s="4" t="n">
        <f aca="false">I1412-J1412</f>
        <v>299.88</v>
      </c>
      <c r="L1412" s="5" t="n">
        <f aca="false">IFERROR(K1412/I1412,0)</f>
        <v>0.370304512113803</v>
      </c>
    </row>
    <row r="1413" customFormat="false" ht="15" hidden="false" customHeight="false" outlineLevel="0" collapsed="false">
      <c r="A1413" s="2" t="s">
        <v>12</v>
      </c>
      <c r="B1413" s="2" t="s">
        <v>13</v>
      </c>
      <c r="C1413" s="2" t="s">
        <v>26</v>
      </c>
      <c r="D1413" s="2" t="s">
        <v>28</v>
      </c>
      <c r="E1413" s="3" t="n">
        <v>46082</v>
      </c>
      <c r="F1413" s="2" t="n">
        <v>25</v>
      </c>
      <c r="G1413" s="4" t="n">
        <v>34.99</v>
      </c>
      <c r="H1413" s="4" t="n">
        <v>22.76</v>
      </c>
      <c r="I1413" s="4" t="n">
        <f aca="false">F1413*G1413</f>
        <v>874.75</v>
      </c>
      <c r="J1413" s="4" t="n">
        <f aca="false">F1413*H1413</f>
        <v>569</v>
      </c>
      <c r="K1413" s="4" t="n">
        <f aca="false">I1413-J1413</f>
        <v>305.75</v>
      </c>
      <c r="L1413" s="5" t="n">
        <f aca="false">IFERROR(K1413/I1413,0)</f>
        <v>0.349528436696199</v>
      </c>
    </row>
    <row r="1414" customFormat="false" ht="15" hidden="false" customHeight="false" outlineLevel="0" collapsed="false">
      <c r="A1414" s="2" t="s">
        <v>12</v>
      </c>
      <c r="B1414" s="2" t="s">
        <v>13</v>
      </c>
      <c r="C1414" s="2" t="s">
        <v>26</v>
      </c>
      <c r="D1414" s="2" t="s">
        <v>29</v>
      </c>
      <c r="E1414" s="3" t="n">
        <v>46082</v>
      </c>
      <c r="F1414" s="2" t="n">
        <v>15</v>
      </c>
      <c r="G1414" s="4" t="n">
        <v>119.99</v>
      </c>
      <c r="H1414" s="4" t="n">
        <v>82.57</v>
      </c>
      <c r="I1414" s="4" t="n">
        <f aca="false">F1414*G1414</f>
        <v>1799.85</v>
      </c>
      <c r="J1414" s="4" t="n">
        <f aca="false">F1414*H1414</f>
        <v>1238.55</v>
      </c>
      <c r="K1414" s="4" t="n">
        <f aca="false">I1414-J1414</f>
        <v>561.3</v>
      </c>
      <c r="L1414" s="5" t="n">
        <f aca="false">IFERROR(K1414/I1414,0)</f>
        <v>0.311859321610134</v>
      </c>
    </row>
    <row r="1415" customFormat="false" ht="15" hidden="false" customHeight="false" outlineLevel="0" collapsed="false">
      <c r="A1415" s="2" t="s">
        <v>12</v>
      </c>
      <c r="B1415" s="2" t="s">
        <v>13</v>
      </c>
      <c r="C1415" s="2" t="s">
        <v>26</v>
      </c>
      <c r="D1415" s="2" t="s">
        <v>30</v>
      </c>
      <c r="E1415" s="3" t="n">
        <v>46082</v>
      </c>
      <c r="F1415" s="2" t="n">
        <v>16</v>
      </c>
      <c r="G1415" s="4" t="n">
        <v>24.99</v>
      </c>
      <c r="H1415" s="4" t="n">
        <v>15.34</v>
      </c>
      <c r="I1415" s="4" t="n">
        <f aca="false">F1415*G1415</f>
        <v>399.84</v>
      </c>
      <c r="J1415" s="4" t="n">
        <f aca="false">F1415*H1415</f>
        <v>245.44</v>
      </c>
      <c r="K1415" s="4" t="n">
        <f aca="false">I1415-J1415</f>
        <v>154.4</v>
      </c>
      <c r="L1415" s="5" t="n">
        <f aca="false">IFERROR(K1415/I1415,0)</f>
        <v>0.386154461784714</v>
      </c>
    </row>
    <row r="1416" customFormat="false" ht="15" hidden="false" customHeight="false" outlineLevel="0" collapsed="false">
      <c r="A1416" s="2" t="s">
        <v>12</v>
      </c>
      <c r="B1416" s="2" t="s">
        <v>13</v>
      </c>
      <c r="C1416" s="2" t="s">
        <v>26</v>
      </c>
      <c r="D1416" s="2" t="s">
        <v>31</v>
      </c>
      <c r="E1416" s="3" t="n">
        <v>46082</v>
      </c>
      <c r="F1416" s="2" t="n">
        <v>10</v>
      </c>
      <c r="G1416" s="4" t="n">
        <v>59.99</v>
      </c>
      <c r="H1416" s="4" t="n">
        <v>39.75</v>
      </c>
      <c r="I1416" s="4" t="n">
        <f aca="false">F1416*G1416</f>
        <v>599.9</v>
      </c>
      <c r="J1416" s="4" t="n">
        <f aca="false">F1416*H1416</f>
        <v>397.5</v>
      </c>
      <c r="K1416" s="4" t="n">
        <f aca="false">I1416-J1416</f>
        <v>202.4</v>
      </c>
      <c r="L1416" s="5" t="n">
        <f aca="false">IFERROR(K1416/I1416,0)</f>
        <v>0.337389564927488</v>
      </c>
    </row>
    <row r="1417" customFormat="false" ht="15" hidden="false" customHeight="false" outlineLevel="0" collapsed="false">
      <c r="A1417" s="2" t="s">
        <v>12</v>
      </c>
      <c r="B1417" s="2" t="s">
        <v>13</v>
      </c>
      <c r="C1417" s="2" t="s">
        <v>32</v>
      </c>
      <c r="D1417" s="2" t="s">
        <v>33</v>
      </c>
      <c r="E1417" s="3" t="n">
        <v>46082</v>
      </c>
      <c r="F1417" s="2" t="n">
        <v>11</v>
      </c>
      <c r="G1417" s="4" t="n">
        <v>49.99</v>
      </c>
      <c r="H1417" s="4" t="n">
        <v>35.33</v>
      </c>
      <c r="I1417" s="4" t="n">
        <f aca="false">F1417*G1417</f>
        <v>549.89</v>
      </c>
      <c r="J1417" s="4" t="n">
        <f aca="false">F1417*H1417</f>
        <v>388.63</v>
      </c>
      <c r="K1417" s="4" t="n">
        <f aca="false">I1417-J1417</f>
        <v>161.26</v>
      </c>
      <c r="L1417" s="5" t="n">
        <f aca="false">IFERROR(K1417/I1417,0)</f>
        <v>0.293258651730346</v>
      </c>
    </row>
    <row r="1418" customFormat="false" ht="15" hidden="false" customHeight="false" outlineLevel="0" collapsed="false">
      <c r="A1418" s="2" t="s">
        <v>12</v>
      </c>
      <c r="B1418" s="2" t="s">
        <v>13</v>
      </c>
      <c r="C1418" s="2" t="s">
        <v>32</v>
      </c>
      <c r="D1418" s="2" t="s">
        <v>34</v>
      </c>
      <c r="E1418" s="3" t="n">
        <v>46082</v>
      </c>
      <c r="F1418" s="2" t="n">
        <v>11</v>
      </c>
      <c r="G1418" s="4" t="n">
        <v>27.99</v>
      </c>
      <c r="H1418" s="4" t="n">
        <v>20.25</v>
      </c>
      <c r="I1418" s="4" t="n">
        <f aca="false">F1418*G1418</f>
        <v>307.89</v>
      </c>
      <c r="J1418" s="4" t="n">
        <f aca="false">F1418*H1418</f>
        <v>222.75</v>
      </c>
      <c r="K1418" s="4" t="n">
        <f aca="false">I1418-J1418</f>
        <v>85.14</v>
      </c>
      <c r="L1418" s="5" t="n">
        <f aca="false">IFERROR(K1418/I1418,0)</f>
        <v>0.276527331189711</v>
      </c>
    </row>
    <row r="1419" customFormat="false" ht="15" hidden="false" customHeight="false" outlineLevel="0" collapsed="false">
      <c r="A1419" s="2" t="s">
        <v>12</v>
      </c>
      <c r="B1419" s="2" t="s">
        <v>13</v>
      </c>
      <c r="C1419" s="2" t="s">
        <v>32</v>
      </c>
      <c r="D1419" s="2" t="s">
        <v>35</v>
      </c>
      <c r="E1419" s="3" t="n">
        <v>46082</v>
      </c>
      <c r="F1419" s="2" t="n">
        <v>13</v>
      </c>
      <c r="G1419" s="4" t="n">
        <v>64.99</v>
      </c>
      <c r="H1419" s="4" t="n">
        <v>45.32</v>
      </c>
      <c r="I1419" s="4" t="n">
        <f aca="false">F1419*G1419</f>
        <v>844.87</v>
      </c>
      <c r="J1419" s="4" t="n">
        <f aca="false">F1419*H1419</f>
        <v>589.16</v>
      </c>
      <c r="K1419" s="4" t="n">
        <f aca="false">I1419-J1419</f>
        <v>255.71</v>
      </c>
      <c r="L1419" s="5" t="n">
        <f aca="false">IFERROR(K1419/I1419,0)</f>
        <v>0.302661947991999</v>
      </c>
    </row>
    <row r="1420" customFormat="false" ht="15" hidden="false" customHeight="false" outlineLevel="0" collapsed="false">
      <c r="A1420" s="2" t="s">
        <v>12</v>
      </c>
      <c r="B1420" s="2" t="s">
        <v>13</v>
      </c>
      <c r="C1420" s="2" t="s">
        <v>32</v>
      </c>
      <c r="D1420" s="2" t="s">
        <v>36</v>
      </c>
      <c r="E1420" s="3" t="n">
        <v>46082</v>
      </c>
      <c r="F1420" s="2" t="n">
        <v>19</v>
      </c>
      <c r="G1420" s="4" t="n">
        <v>22.99</v>
      </c>
      <c r="H1420" s="4" t="n">
        <v>16.36</v>
      </c>
      <c r="I1420" s="4" t="n">
        <f aca="false">F1420*G1420</f>
        <v>436.81</v>
      </c>
      <c r="J1420" s="4" t="n">
        <f aca="false">F1420*H1420</f>
        <v>310.84</v>
      </c>
      <c r="K1420" s="4" t="n">
        <f aca="false">I1420-J1420</f>
        <v>125.97</v>
      </c>
      <c r="L1420" s="5" t="n">
        <f aca="false">IFERROR(K1420/I1420,0)</f>
        <v>0.288386254893432</v>
      </c>
    </row>
    <row r="1421" customFormat="false" ht="15" hidden="false" customHeight="false" outlineLevel="0" collapsed="false">
      <c r="A1421" s="2" t="s">
        <v>12</v>
      </c>
      <c r="B1421" s="2" t="s">
        <v>13</v>
      </c>
      <c r="C1421" s="2" t="s">
        <v>32</v>
      </c>
      <c r="D1421" s="2" t="s">
        <v>37</v>
      </c>
      <c r="E1421" s="3" t="n">
        <v>46082</v>
      </c>
      <c r="F1421" s="2" t="n">
        <v>21</v>
      </c>
      <c r="G1421" s="4" t="n">
        <v>29.99</v>
      </c>
      <c r="H1421" s="4" t="n">
        <v>20.2</v>
      </c>
      <c r="I1421" s="4" t="n">
        <f aca="false">F1421*G1421</f>
        <v>629.79</v>
      </c>
      <c r="J1421" s="4" t="n">
        <f aca="false">F1421*H1421</f>
        <v>424.2</v>
      </c>
      <c r="K1421" s="4" t="n">
        <f aca="false">I1421-J1421</f>
        <v>205.59</v>
      </c>
      <c r="L1421" s="5" t="n">
        <f aca="false">IFERROR(K1421/I1421,0)</f>
        <v>0.326442147382461</v>
      </c>
    </row>
    <row r="1422" customFormat="false" ht="15" hidden="false" customHeight="false" outlineLevel="0" collapsed="false">
      <c r="A1422" s="2" t="s">
        <v>12</v>
      </c>
      <c r="B1422" s="2" t="s">
        <v>13</v>
      </c>
      <c r="C1422" s="2" t="s">
        <v>38</v>
      </c>
      <c r="D1422" s="2" t="s">
        <v>39</v>
      </c>
      <c r="E1422" s="3" t="n">
        <v>46082</v>
      </c>
      <c r="F1422" s="2" t="n">
        <v>11</v>
      </c>
      <c r="G1422" s="4" t="n">
        <v>129.99</v>
      </c>
      <c r="H1422" s="4" t="n">
        <v>75.27</v>
      </c>
      <c r="I1422" s="4" t="n">
        <f aca="false">F1422*G1422</f>
        <v>1429.89</v>
      </c>
      <c r="J1422" s="4" t="n">
        <f aca="false">F1422*H1422</f>
        <v>827.97</v>
      </c>
      <c r="K1422" s="4" t="n">
        <f aca="false">I1422-J1422</f>
        <v>601.92</v>
      </c>
      <c r="L1422" s="5" t="n">
        <f aca="false">IFERROR(K1422/I1422,0)</f>
        <v>0.420955458112163</v>
      </c>
    </row>
    <row r="1423" customFormat="false" ht="15" hidden="false" customHeight="false" outlineLevel="0" collapsed="false">
      <c r="A1423" s="2" t="s">
        <v>12</v>
      </c>
      <c r="B1423" s="2" t="s">
        <v>13</v>
      </c>
      <c r="C1423" s="2" t="s">
        <v>38</v>
      </c>
      <c r="D1423" s="2" t="s">
        <v>40</v>
      </c>
      <c r="E1423" s="3" t="n">
        <v>46082</v>
      </c>
      <c r="F1423" s="2" t="n">
        <v>15</v>
      </c>
      <c r="G1423" s="4" t="n">
        <v>74.99</v>
      </c>
      <c r="H1423" s="4" t="n">
        <v>41.96</v>
      </c>
      <c r="I1423" s="4" t="n">
        <f aca="false">F1423*G1423</f>
        <v>1124.85</v>
      </c>
      <c r="J1423" s="4" t="n">
        <f aca="false">F1423*H1423</f>
        <v>629.4</v>
      </c>
      <c r="K1423" s="4" t="n">
        <f aca="false">I1423-J1423</f>
        <v>495.45</v>
      </c>
      <c r="L1423" s="5" t="n">
        <f aca="false">IFERROR(K1423/I1423,0)</f>
        <v>0.440458727830377</v>
      </c>
    </row>
    <row r="1424" customFormat="false" ht="15" hidden="false" customHeight="false" outlineLevel="0" collapsed="false">
      <c r="A1424" s="2" t="s">
        <v>12</v>
      </c>
      <c r="B1424" s="2" t="s">
        <v>13</v>
      </c>
      <c r="C1424" s="2" t="s">
        <v>38</v>
      </c>
      <c r="D1424" s="2" t="s">
        <v>41</v>
      </c>
      <c r="E1424" s="3" t="n">
        <v>46082</v>
      </c>
      <c r="F1424" s="2" t="n">
        <v>25</v>
      </c>
      <c r="G1424" s="4" t="n">
        <v>19.99</v>
      </c>
      <c r="H1424" s="4" t="n">
        <v>9.77</v>
      </c>
      <c r="I1424" s="4" t="n">
        <f aca="false">F1424*G1424</f>
        <v>499.75</v>
      </c>
      <c r="J1424" s="4" t="n">
        <f aca="false">F1424*H1424</f>
        <v>244.25</v>
      </c>
      <c r="K1424" s="4" t="n">
        <f aca="false">I1424-J1424</f>
        <v>255.5</v>
      </c>
      <c r="L1424" s="5" t="n">
        <f aca="false">IFERROR(K1424/I1424,0)</f>
        <v>0.511255627813907</v>
      </c>
    </row>
    <row r="1425" customFormat="false" ht="15" hidden="false" customHeight="false" outlineLevel="0" collapsed="false">
      <c r="A1425" s="2" t="s">
        <v>12</v>
      </c>
      <c r="B1425" s="2" t="s">
        <v>13</v>
      </c>
      <c r="C1425" s="2" t="s">
        <v>38</v>
      </c>
      <c r="D1425" s="2" t="s">
        <v>42</v>
      </c>
      <c r="E1425" s="3" t="n">
        <v>46082</v>
      </c>
      <c r="F1425" s="2" t="n">
        <v>25</v>
      </c>
      <c r="G1425" s="4" t="n">
        <v>16.99</v>
      </c>
      <c r="H1425" s="4" t="n">
        <v>8.41</v>
      </c>
      <c r="I1425" s="4" t="n">
        <f aca="false">F1425*G1425</f>
        <v>424.75</v>
      </c>
      <c r="J1425" s="4" t="n">
        <f aca="false">F1425*H1425</f>
        <v>210.25</v>
      </c>
      <c r="K1425" s="4" t="n">
        <f aca="false">I1425-J1425</f>
        <v>214.5</v>
      </c>
      <c r="L1425" s="5" t="n">
        <f aca="false">IFERROR(K1425/I1425,0)</f>
        <v>0.505002942907593</v>
      </c>
    </row>
    <row r="1426" customFormat="false" ht="15" hidden="false" customHeight="false" outlineLevel="0" collapsed="false">
      <c r="A1426" s="2" t="s">
        <v>12</v>
      </c>
      <c r="B1426" s="2" t="s">
        <v>13</v>
      </c>
      <c r="C1426" s="2" t="s">
        <v>38</v>
      </c>
      <c r="D1426" s="2" t="s">
        <v>43</v>
      </c>
      <c r="E1426" s="3" t="n">
        <v>46082</v>
      </c>
      <c r="F1426" s="2" t="n">
        <v>15</v>
      </c>
      <c r="G1426" s="4" t="n">
        <v>24.99</v>
      </c>
      <c r="H1426" s="4" t="n">
        <v>13.18</v>
      </c>
      <c r="I1426" s="4" t="n">
        <f aca="false">F1426*G1426</f>
        <v>374.85</v>
      </c>
      <c r="J1426" s="4" t="n">
        <f aca="false">F1426*H1426</f>
        <v>197.7</v>
      </c>
      <c r="K1426" s="4" t="n">
        <f aca="false">I1426-J1426</f>
        <v>177.15</v>
      </c>
      <c r="L1426" s="5" t="n">
        <f aca="false">IFERROR(K1426/I1426,0)</f>
        <v>0.472589035614246</v>
      </c>
    </row>
    <row r="1427" customFormat="false" ht="15" hidden="false" customHeight="false" outlineLevel="0" collapsed="false">
      <c r="A1427" s="2" t="s">
        <v>44</v>
      </c>
      <c r="B1427" s="2" t="s">
        <v>45</v>
      </c>
      <c r="C1427" s="2" t="s">
        <v>14</v>
      </c>
      <c r="D1427" s="2" t="s">
        <v>15</v>
      </c>
      <c r="E1427" s="3" t="n">
        <v>46082</v>
      </c>
      <c r="F1427" s="2" t="n">
        <v>29</v>
      </c>
      <c r="G1427" s="4" t="n">
        <v>69.99</v>
      </c>
      <c r="H1427" s="4" t="n">
        <v>32.89</v>
      </c>
      <c r="I1427" s="4" t="n">
        <f aca="false">F1427*G1427</f>
        <v>2029.71</v>
      </c>
      <c r="J1427" s="4" t="n">
        <f aca="false">F1427*H1427</f>
        <v>953.81</v>
      </c>
      <c r="K1427" s="4" t="n">
        <f aca="false">I1427-J1427</f>
        <v>1075.9</v>
      </c>
      <c r="L1427" s="5" t="n">
        <f aca="false">IFERROR(K1427/I1427,0)</f>
        <v>0.530075725103586</v>
      </c>
    </row>
    <row r="1428" customFormat="false" ht="15" hidden="false" customHeight="false" outlineLevel="0" collapsed="false">
      <c r="A1428" s="2" t="s">
        <v>44</v>
      </c>
      <c r="B1428" s="2" t="s">
        <v>45</v>
      </c>
      <c r="C1428" s="2" t="s">
        <v>14</v>
      </c>
      <c r="D1428" s="2" t="s">
        <v>16</v>
      </c>
      <c r="E1428" s="3" t="n">
        <v>46082</v>
      </c>
      <c r="F1428" s="2" t="n">
        <v>13</v>
      </c>
      <c r="G1428" s="4" t="n">
        <v>19.99</v>
      </c>
      <c r="H1428" s="4" t="n">
        <v>8.97</v>
      </c>
      <c r="I1428" s="4" t="n">
        <f aca="false">F1428*G1428</f>
        <v>259.87</v>
      </c>
      <c r="J1428" s="4" t="n">
        <f aca="false">F1428*H1428</f>
        <v>116.61</v>
      </c>
      <c r="K1428" s="4" t="n">
        <f aca="false">I1428-J1428</f>
        <v>143.26</v>
      </c>
      <c r="L1428" s="5" t="n">
        <f aca="false">IFERROR(K1428/I1428,0)</f>
        <v>0.551275637818909</v>
      </c>
    </row>
    <row r="1429" customFormat="false" ht="15" hidden="false" customHeight="false" outlineLevel="0" collapsed="false">
      <c r="A1429" s="2" t="s">
        <v>44</v>
      </c>
      <c r="B1429" s="2" t="s">
        <v>45</v>
      </c>
      <c r="C1429" s="2" t="s">
        <v>14</v>
      </c>
      <c r="D1429" s="2" t="s">
        <v>17</v>
      </c>
      <c r="E1429" s="3" t="n">
        <v>46082</v>
      </c>
      <c r="F1429" s="2" t="n">
        <v>18</v>
      </c>
      <c r="G1429" s="4" t="n">
        <v>79.99</v>
      </c>
      <c r="H1429" s="4" t="n">
        <v>39.89</v>
      </c>
      <c r="I1429" s="4" t="n">
        <f aca="false">F1429*G1429</f>
        <v>1439.82</v>
      </c>
      <c r="J1429" s="4" t="n">
        <f aca="false">F1429*H1429</f>
        <v>718.02</v>
      </c>
      <c r="K1429" s="4" t="n">
        <f aca="false">I1429-J1429</f>
        <v>721.8</v>
      </c>
      <c r="L1429" s="5" t="n">
        <f aca="false">IFERROR(K1429/I1429,0)</f>
        <v>0.50131266408301</v>
      </c>
    </row>
    <row r="1430" customFormat="false" ht="15" hidden="false" customHeight="false" outlineLevel="0" collapsed="false">
      <c r="A1430" s="2" t="s">
        <v>44</v>
      </c>
      <c r="B1430" s="2" t="s">
        <v>45</v>
      </c>
      <c r="C1430" s="2" t="s">
        <v>14</v>
      </c>
      <c r="D1430" s="2" t="s">
        <v>18</v>
      </c>
      <c r="E1430" s="3" t="n">
        <v>46082</v>
      </c>
      <c r="F1430" s="2" t="n">
        <v>13</v>
      </c>
      <c r="G1430" s="4" t="n">
        <v>34.99</v>
      </c>
      <c r="H1430" s="4" t="n">
        <v>14.64</v>
      </c>
      <c r="I1430" s="4" t="n">
        <f aca="false">F1430*G1430</f>
        <v>454.87</v>
      </c>
      <c r="J1430" s="4" t="n">
        <f aca="false">F1430*H1430</f>
        <v>190.32</v>
      </c>
      <c r="K1430" s="4" t="n">
        <f aca="false">I1430-J1430</f>
        <v>264.55</v>
      </c>
      <c r="L1430" s="5" t="n">
        <f aca="false">IFERROR(K1430/I1430,0)</f>
        <v>0.581594741354673</v>
      </c>
    </row>
    <row r="1431" customFormat="false" ht="15" hidden="false" customHeight="false" outlineLevel="0" collapsed="false">
      <c r="A1431" s="2" t="s">
        <v>44</v>
      </c>
      <c r="B1431" s="2" t="s">
        <v>45</v>
      </c>
      <c r="C1431" s="2" t="s">
        <v>14</v>
      </c>
      <c r="D1431" s="2" t="s">
        <v>19</v>
      </c>
      <c r="E1431" s="3" t="n">
        <v>46082</v>
      </c>
      <c r="F1431" s="2" t="n">
        <v>17</v>
      </c>
      <c r="G1431" s="4" t="n">
        <v>54.99</v>
      </c>
      <c r="H1431" s="4" t="n">
        <v>24.36</v>
      </c>
      <c r="I1431" s="4" t="n">
        <f aca="false">F1431*G1431</f>
        <v>934.83</v>
      </c>
      <c r="J1431" s="4" t="n">
        <f aca="false">F1431*H1431</f>
        <v>414.12</v>
      </c>
      <c r="K1431" s="4" t="n">
        <f aca="false">I1431-J1431</f>
        <v>520.71</v>
      </c>
      <c r="L1431" s="5" t="n">
        <f aca="false">IFERROR(K1431/I1431,0)</f>
        <v>0.557010365521004</v>
      </c>
    </row>
    <row r="1432" customFormat="false" ht="15" hidden="false" customHeight="false" outlineLevel="0" collapsed="false">
      <c r="A1432" s="2" t="s">
        <v>44</v>
      </c>
      <c r="B1432" s="2" t="s">
        <v>45</v>
      </c>
      <c r="C1432" s="2" t="s">
        <v>20</v>
      </c>
      <c r="D1432" s="2" t="s">
        <v>21</v>
      </c>
      <c r="E1432" s="3" t="n">
        <v>46082</v>
      </c>
      <c r="F1432" s="2" t="n">
        <v>18</v>
      </c>
      <c r="G1432" s="4" t="n">
        <v>44.99</v>
      </c>
      <c r="H1432" s="4" t="n">
        <v>20.22</v>
      </c>
      <c r="I1432" s="4" t="n">
        <f aca="false">F1432*G1432</f>
        <v>809.82</v>
      </c>
      <c r="J1432" s="4" t="n">
        <f aca="false">F1432*H1432</f>
        <v>363.96</v>
      </c>
      <c r="K1432" s="4" t="n">
        <f aca="false">I1432-J1432</f>
        <v>445.86</v>
      </c>
      <c r="L1432" s="5" t="n">
        <f aca="false">IFERROR(K1432/I1432,0)</f>
        <v>0.550566792620582</v>
      </c>
    </row>
    <row r="1433" customFormat="false" ht="15" hidden="false" customHeight="false" outlineLevel="0" collapsed="false">
      <c r="A1433" s="2" t="s">
        <v>44</v>
      </c>
      <c r="B1433" s="2" t="s">
        <v>45</v>
      </c>
      <c r="C1433" s="2" t="s">
        <v>20</v>
      </c>
      <c r="D1433" s="2" t="s">
        <v>22</v>
      </c>
      <c r="E1433" s="3" t="n">
        <v>46082</v>
      </c>
      <c r="F1433" s="2" t="n">
        <v>21</v>
      </c>
      <c r="G1433" s="4" t="n">
        <v>14.99</v>
      </c>
      <c r="H1433" s="4" t="n">
        <v>5.72</v>
      </c>
      <c r="I1433" s="4" t="n">
        <f aca="false">F1433*G1433</f>
        <v>314.79</v>
      </c>
      <c r="J1433" s="4" t="n">
        <f aca="false">F1433*H1433</f>
        <v>120.12</v>
      </c>
      <c r="K1433" s="4" t="n">
        <f aca="false">I1433-J1433</f>
        <v>194.67</v>
      </c>
      <c r="L1433" s="5" t="n">
        <f aca="false">IFERROR(K1433/I1433,0)</f>
        <v>0.6184122748499</v>
      </c>
    </row>
    <row r="1434" customFormat="false" ht="15" hidden="false" customHeight="false" outlineLevel="0" collapsed="false">
      <c r="A1434" s="2" t="s">
        <v>44</v>
      </c>
      <c r="B1434" s="2" t="s">
        <v>45</v>
      </c>
      <c r="C1434" s="2" t="s">
        <v>20</v>
      </c>
      <c r="D1434" s="2" t="s">
        <v>23</v>
      </c>
      <c r="E1434" s="3" t="n">
        <v>46082</v>
      </c>
      <c r="F1434" s="2" t="n">
        <v>22</v>
      </c>
      <c r="G1434" s="4" t="n">
        <v>39.99</v>
      </c>
      <c r="H1434" s="4" t="n">
        <v>16.58</v>
      </c>
      <c r="I1434" s="4" t="n">
        <f aca="false">F1434*G1434</f>
        <v>879.78</v>
      </c>
      <c r="J1434" s="4" t="n">
        <f aca="false">F1434*H1434</f>
        <v>364.76</v>
      </c>
      <c r="K1434" s="4" t="n">
        <f aca="false">I1434-J1434</f>
        <v>515.02</v>
      </c>
      <c r="L1434" s="5" t="n">
        <f aca="false">IFERROR(K1434/I1434,0)</f>
        <v>0.585396349087272</v>
      </c>
    </row>
    <row r="1435" customFormat="false" ht="15" hidden="false" customHeight="false" outlineLevel="0" collapsed="false">
      <c r="A1435" s="2" t="s">
        <v>44</v>
      </c>
      <c r="B1435" s="2" t="s">
        <v>45</v>
      </c>
      <c r="C1435" s="2" t="s">
        <v>20</v>
      </c>
      <c r="D1435" s="2" t="s">
        <v>24</v>
      </c>
      <c r="E1435" s="3" t="n">
        <v>46082</v>
      </c>
      <c r="F1435" s="2" t="n">
        <v>18</v>
      </c>
      <c r="G1435" s="4" t="n">
        <v>18.99</v>
      </c>
      <c r="H1435" s="4" t="n">
        <v>7.67</v>
      </c>
      <c r="I1435" s="4" t="n">
        <f aca="false">F1435*G1435</f>
        <v>341.82</v>
      </c>
      <c r="J1435" s="4" t="n">
        <f aca="false">F1435*H1435</f>
        <v>138.06</v>
      </c>
      <c r="K1435" s="4" t="n">
        <f aca="false">I1435-J1435</f>
        <v>203.76</v>
      </c>
      <c r="L1435" s="5" t="n">
        <f aca="false">IFERROR(K1435/I1435,0)</f>
        <v>0.596103212216956</v>
      </c>
    </row>
    <row r="1436" customFormat="false" ht="15" hidden="false" customHeight="false" outlineLevel="0" collapsed="false">
      <c r="A1436" s="2" t="s">
        <v>44</v>
      </c>
      <c r="B1436" s="2" t="s">
        <v>45</v>
      </c>
      <c r="C1436" s="2" t="s">
        <v>20</v>
      </c>
      <c r="D1436" s="2" t="s">
        <v>25</v>
      </c>
      <c r="E1436" s="3" t="n">
        <v>46082</v>
      </c>
      <c r="F1436" s="2" t="n">
        <v>20</v>
      </c>
      <c r="G1436" s="4" t="n">
        <v>42.99</v>
      </c>
      <c r="H1436" s="4" t="n">
        <v>16.19</v>
      </c>
      <c r="I1436" s="4" t="n">
        <f aca="false">F1436*G1436</f>
        <v>859.8</v>
      </c>
      <c r="J1436" s="4" t="n">
        <f aca="false">F1436*H1436</f>
        <v>323.8</v>
      </c>
      <c r="K1436" s="4" t="n">
        <f aca="false">I1436-J1436</f>
        <v>536</v>
      </c>
      <c r="L1436" s="5" t="n">
        <f aca="false">IFERROR(K1436/I1436,0)</f>
        <v>0.6234007908816</v>
      </c>
    </row>
    <row r="1437" customFormat="false" ht="15" hidden="false" customHeight="false" outlineLevel="0" collapsed="false">
      <c r="A1437" s="2" t="s">
        <v>44</v>
      </c>
      <c r="B1437" s="2" t="s">
        <v>45</v>
      </c>
      <c r="C1437" s="2" t="s">
        <v>26</v>
      </c>
      <c r="D1437" s="2" t="s">
        <v>27</v>
      </c>
      <c r="E1437" s="3" t="n">
        <v>46082</v>
      </c>
      <c r="F1437" s="2" t="n">
        <v>25</v>
      </c>
      <c r="G1437" s="4" t="n">
        <v>44.99</v>
      </c>
      <c r="H1437" s="4" t="n">
        <v>27.56</v>
      </c>
      <c r="I1437" s="4" t="n">
        <f aca="false">F1437*G1437</f>
        <v>1124.75</v>
      </c>
      <c r="J1437" s="4" t="n">
        <f aca="false">F1437*H1437</f>
        <v>689</v>
      </c>
      <c r="K1437" s="4" t="n">
        <f aca="false">I1437-J1437</f>
        <v>435.75</v>
      </c>
      <c r="L1437" s="5" t="n">
        <f aca="false">IFERROR(K1437/I1437,0)</f>
        <v>0.387419426539231</v>
      </c>
    </row>
    <row r="1438" customFormat="false" ht="15" hidden="false" customHeight="false" outlineLevel="0" collapsed="false">
      <c r="A1438" s="2" t="s">
        <v>44</v>
      </c>
      <c r="B1438" s="2" t="s">
        <v>45</v>
      </c>
      <c r="C1438" s="2" t="s">
        <v>26</v>
      </c>
      <c r="D1438" s="2" t="s">
        <v>28</v>
      </c>
      <c r="E1438" s="3" t="n">
        <v>46082</v>
      </c>
      <c r="F1438" s="2" t="n">
        <v>9</v>
      </c>
      <c r="G1438" s="4" t="n">
        <v>34.99</v>
      </c>
      <c r="H1438" s="4" t="n">
        <v>22.01</v>
      </c>
      <c r="I1438" s="4" t="n">
        <f aca="false">F1438*G1438</f>
        <v>314.91</v>
      </c>
      <c r="J1438" s="4" t="n">
        <f aca="false">F1438*H1438</f>
        <v>198.09</v>
      </c>
      <c r="K1438" s="4" t="n">
        <f aca="false">I1438-J1438</f>
        <v>116.82</v>
      </c>
      <c r="L1438" s="5" t="n">
        <f aca="false">IFERROR(K1438/I1438,0)</f>
        <v>0.370963132323521</v>
      </c>
    </row>
    <row r="1439" customFormat="false" ht="15" hidden="false" customHeight="false" outlineLevel="0" collapsed="false">
      <c r="A1439" s="2" t="s">
        <v>44</v>
      </c>
      <c r="B1439" s="2" t="s">
        <v>45</v>
      </c>
      <c r="C1439" s="2" t="s">
        <v>26</v>
      </c>
      <c r="D1439" s="2" t="s">
        <v>29</v>
      </c>
      <c r="E1439" s="3" t="n">
        <v>46082</v>
      </c>
      <c r="F1439" s="2" t="n">
        <v>17</v>
      </c>
      <c r="G1439" s="4" t="n">
        <v>119.99</v>
      </c>
      <c r="H1439" s="4" t="n">
        <v>79.75</v>
      </c>
      <c r="I1439" s="4" t="n">
        <f aca="false">F1439*G1439</f>
        <v>2039.83</v>
      </c>
      <c r="J1439" s="4" t="n">
        <f aca="false">F1439*H1439</f>
        <v>1355.75</v>
      </c>
      <c r="K1439" s="4" t="n">
        <f aca="false">I1439-J1439</f>
        <v>684.08</v>
      </c>
      <c r="L1439" s="5" t="n">
        <f aca="false">IFERROR(K1439/I1439,0)</f>
        <v>0.335361280106676</v>
      </c>
    </row>
    <row r="1440" customFormat="false" ht="15" hidden="false" customHeight="false" outlineLevel="0" collapsed="false">
      <c r="A1440" s="2" t="s">
        <v>44</v>
      </c>
      <c r="B1440" s="2" t="s">
        <v>45</v>
      </c>
      <c r="C1440" s="2" t="s">
        <v>26</v>
      </c>
      <c r="D1440" s="2" t="s">
        <v>30</v>
      </c>
      <c r="E1440" s="3" t="n">
        <v>46082</v>
      </c>
      <c r="F1440" s="2" t="n">
        <v>20</v>
      </c>
      <c r="G1440" s="4" t="n">
        <v>24.99</v>
      </c>
      <c r="H1440" s="4" t="n">
        <v>14.6</v>
      </c>
      <c r="I1440" s="4" t="n">
        <f aca="false">F1440*G1440</f>
        <v>499.8</v>
      </c>
      <c r="J1440" s="4" t="n">
        <f aca="false">F1440*H1440</f>
        <v>292</v>
      </c>
      <c r="K1440" s="4" t="n">
        <f aca="false">I1440-J1440</f>
        <v>207.8</v>
      </c>
      <c r="L1440" s="5" t="n">
        <f aca="false">IFERROR(K1440/I1440,0)</f>
        <v>0.415766306522609</v>
      </c>
    </row>
    <row r="1441" customFormat="false" ht="15" hidden="false" customHeight="false" outlineLevel="0" collapsed="false">
      <c r="A1441" s="2" t="s">
        <v>44</v>
      </c>
      <c r="B1441" s="2" t="s">
        <v>45</v>
      </c>
      <c r="C1441" s="2" t="s">
        <v>26</v>
      </c>
      <c r="D1441" s="2" t="s">
        <v>31</v>
      </c>
      <c r="E1441" s="3" t="n">
        <v>46082</v>
      </c>
      <c r="F1441" s="2" t="n">
        <v>21</v>
      </c>
      <c r="G1441" s="4" t="n">
        <v>59.99</v>
      </c>
      <c r="H1441" s="4" t="n">
        <v>38.62</v>
      </c>
      <c r="I1441" s="4" t="n">
        <f aca="false">F1441*G1441</f>
        <v>1259.79</v>
      </c>
      <c r="J1441" s="4" t="n">
        <f aca="false">F1441*H1441</f>
        <v>811.02</v>
      </c>
      <c r="K1441" s="4" t="n">
        <f aca="false">I1441-J1441</f>
        <v>448.77</v>
      </c>
      <c r="L1441" s="5" t="n">
        <f aca="false">IFERROR(K1441/I1441,0)</f>
        <v>0.356226037672946</v>
      </c>
    </row>
    <row r="1442" customFormat="false" ht="15" hidden="false" customHeight="false" outlineLevel="0" collapsed="false">
      <c r="A1442" s="2" t="s">
        <v>44</v>
      </c>
      <c r="B1442" s="2" t="s">
        <v>45</v>
      </c>
      <c r="C1442" s="2" t="s">
        <v>32</v>
      </c>
      <c r="D1442" s="2" t="s">
        <v>33</v>
      </c>
      <c r="E1442" s="3" t="n">
        <v>46082</v>
      </c>
      <c r="F1442" s="2" t="n">
        <v>21</v>
      </c>
      <c r="G1442" s="4" t="n">
        <v>49.99</v>
      </c>
      <c r="H1442" s="4" t="n">
        <v>35.44</v>
      </c>
      <c r="I1442" s="4" t="n">
        <f aca="false">F1442*G1442</f>
        <v>1049.79</v>
      </c>
      <c r="J1442" s="4" t="n">
        <f aca="false">F1442*H1442</f>
        <v>744.24</v>
      </c>
      <c r="K1442" s="4" t="n">
        <f aca="false">I1442-J1442</f>
        <v>305.55</v>
      </c>
      <c r="L1442" s="5" t="n">
        <f aca="false">IFERROR(K1442/I1442,0)</f>
        <v>0.291058211642328</v>
      </c>
    </row>
    <row r="1443" customFormat="false" ht="15" hidden="false" customHeight="false" outlineLevel="0" collapsed="false">
      <c r="A1443" s="2" t="s">
        <v>44</v>
      </c>
      <c r="B1443" s="2" t="s">
        <v>45</v>
      </c>
      <c r="C1443" s="2" t="s">
        <v>32</v>
      </c>
      <c r="D1443" s="2" t="s">
        <v>34</v>
      </c>
      <c r="E1443" s="3" t="n">
        <v>46082</v>
      </c>
      <c r="F1443" s="2" t="n">
        <v>26</v>
      </c>
      <c r="G1443" s="4" t="n">
        <v>27.99</v>
      </c>
      <c r="H1443" s="4" t="n">
        <v>20.13</v>
      </c>
      <c r="I1443" s="4" t="n">
        <f aca="false">F1443*G1443</f>
        <v>727.74</v>
      </c>
      <c r="J1443" s="4" t="n">
        <f aca="false">F1443*H1443</f>
        <v>523.38</v>
      </c>
      <c r="K1443" s="4" t="n">
        <f aca="false">I1443-J1443</f>
        <v>204.36</v>
      </c>
      <c r="L1443" s="5" t="n">
        <f aca="false">IFERROR(K1443/I1443,0)</f>
        <v>0.280814576634512</v>
      </c>
    </row>
    <row r="1444" customFormat="false" ht="15" hidden="false" customHeight="false" outlineLevel="0" collapsed="false">
      <c r="A1444" s="2" t="s">
        <v>44</v>
      </c>
      <c r="B1444" s="2" t="s">
        <v>45</v>
      </c>
      <c r="C1444" s="2" t="s">
        <v>32</v>
      </c>
      <c r="D1444" s="2" t="s">
        <v>35</v>
      </c>
      <c r="E1444" s="3" t="n">
        <v>46082</v>
      </c>
      <c r="F1444" s="2" t="n">
        <v>16</v>
      </c>
      <c r="G1444" s="4" t="n">
        <v>64.99</v>
      </c>
      <c r="H1444" s="4" t="n">
        <v>45.17</v>
      </c>
      <c r="I1444" s="4" t="n">
        <f aca="false">F1444*G1444</f>
        <v>1039.84</v>
      </c>
      <c r="J1444" s="4" t="n">
        <f aca="false">F1444*H1444</f>
        <v>722.72</v>
      </c>
      <c r="K1444" s="4" t="n">
        <f aca="false">I1444-J1444</f>
        <v>317.12</v>
      </c>
      <c r="L1444" s="5" t="n">
        <f aca="false">IFERROR(K1444/I1444,0)</f>
        <v>0.304969995383905</v>
      </c>
    </row>
    <row r="1445" customFormat="false" ht="15" hidden="false" customHeight="false" outlineLevel="0" collapsed="false">
      <c r="A1445" s="2" t="s">
        <v>44</v>
      </c>
      <c r="B1445" s="2" t="s">
        <v>45</v>
      </c>
      <c r="C1445" s="2" t="s">
        <v>32</v>
      </c>
      <c r="D1445" s="2" t="s">
        <v>36</v>
      </c>
      <c r="E1445" s="3" t="n">
        <v>46082</v>
      </c>
      <c r="F1445" s="2" t="n">
        <v>21</v>
      </c>
      <c r="G1445" s="4" t="n">
        <v>22.99</v>
      </c>
      <c r="H1445" s="4" t="n">
        <v>16.65</v>
      </c>
      <c r="I1445" s="4" t="n">
        <f aca="false">F1445*G1445</f>
        <v>482.79</v>
      </c>
      <c r="J1445" s="4" t="n">
        <f aca="false">F1445*H1445</f>
        <v>349.65</v>
      </c>
      <c r="K1445" s="4" t="n">
        <f aca="false">I1445-J1445</f>
        <v>133.14</v>
      </c>
      <c r="L1445" s="5" t="n">
        <f aca="false">IFERROR(K1445/I1445,0)</f>
        <v>0.275772074815137</v>
      </c>
    </row>
    <row r="1446" customFormat="false" ht="15" hidden="false" customHeight="false" outlineLevel="0" collapsed="false">
      <c r="A1446" s="2" t="s">
        <v>44</v>
      </c>
      <c r="B1446" s="2" t="s">
        <v>45</v>
      </c>
      <c r="C1446" s="2" t="s">
        <v>32</v>
      </c>
      <c r="D1446" s="2" t="s">
        <v>37</v>
      </c>
      <c r="E1446" s="3" t="n">
        <v>46082</v>
      </c>
      <c r="F1446" s="2" t="n">
        <v>24</v>
      </c>
      <c r="G1446" s="4" t="n">
        <v>29.99</v>
      </c>
      <c r="H1446" s="4" t="n">
        <v>20.79</v>
      </c>
      <c r="I1446" s="4" t="n">
        <f aca="false">F1446*G1446</f>
        <v>719.76</v>
      </c>
      <c r="J1446" s="4" t="n">
        <f aca="false">F1446*H1446</f>
        <v>498.96</v>
      </c>
      <c r="K1446" s="4" t="n">
        <f aca="false">I1446-J1446</f>
        <v>220.8</v>
      </c>
      <c r="L1446" s="5" t="n">
        <f aca="false">IFERROR(K1446/I1446,0)</f>
        <v>0.306768922974325</v>
      </c>
    </row>
    <row r="1447" customFormat="false" ht="15" hidden="false" customHeight="false" outlineLevel="0" collapsed="false">
      <c r="A1447" s="2" t="s">
        <v>44</v>
      </c>
      <c r="B1447" s="2" t="s">
        <v>45</v>
      </c>
      <c r="C1447" s="2" t="s">
        <v>38</v>
      </c>
      <c r="D1447" s="2" t="s">
        <v>39</v>
      </c>
      <c r="E1447" s="3" t="n">
        <v>46082</v>
      </c>
      <c r="F1447" s="2" t="n">
        <v>16</v>
      </c>
      <c r="G1447" s="4" t="n">
        <v>129.99</v>
      </c>
      <c r="H1447" s="4" t="n">
        <v>76.71</v>
      </c>
      <c r="I1447" s="4" t="n">
        <f aca="false">F1447*G1447</f>
        <v>2079.84</v>
      </c>
      <c r="J1447" s="4" t="n">
        <f aca="false">F1447*H1447</f>
        <v>1227.36</v>
      </c>
      <c r="K1447" s="4" t="n">
        <f aca="false">I1447-J1447</f>
        <v>852.48</v>
      </c>
      <c r="L1447" s="5" t="n">
        <f aca="false">IFERROR(K1447/I1447,0)</f>
        <v>0.409877682898685</v>
      </c>
    </row>
    <row r="1448" customFormat="false" ht="15" hidden="false" customHeight="false" outlineLevel="0" collapsed="false">
      <c r="A1448" s="2" t="s">
        <v>44</v>
      </c>
      <c r="B1448" s="2" t="s">
        <v>45</v>
      </c>
      <c r="C1448" s="2" t="s">
        <v>38</v>
      </c>
      <c r="D1448" s="2" t="s">
        <v>40</v>
      </c>
      <c r="E1448" s="3" t="n">
        <v>46082</v>
      </c>
      <c r="F1448" s="2" t="n">
        <v>22</v>
      </c>
      <c r="G1448" s="4" t="n">
        <v>74.99</v>
      </c>
      <c r="H1448" s="4" t="n">
        <v>42.36</v>
      </c>
      <c r="I1448" s="4" t="n">
        <f aca="false">F1448*G1448</f>
        <v>1649.78</v>
      </c>
      <c r="J1448" s="4" t="n">
        <f aca="false">F1448*H1448</f>
        <v>931.92</v>
      </c>
      <c r="K1448" s="4" t="n">
        <f aca="false">I1448-J1448</f>
        <v>717.86</v>
      </c>
      <c r="L1448" s="5" t="n">
        <f aca="false">IFERROR(K1448/I1448,0)</f>
        <v>0.435124683291106</v>
      </c>
    </row>
    <row r="1449" customFormat="false" ht="15" hidden="false" customHeight="false" outlineLevel="0" collapsed="false">
      <c r="A1449" s="2" t="s">
        <v>44</v>
      </c>
      <c r="B1449" s="2" t="s">
        <v>45</v>
      </c>
      <c r="C1449" s="2" t="s">
        <v>38</v>
      </c>
      <c r="D1449" s="2" t="s">
        <v>41</v>
      </c>
      <c r="E1449" s="3" t="n">
        <v>46082</v>
      </c>
      <c r="F1449" s="2" t="n">
        <v>16</v>
      </c>
      <c r="G1449" s="4" t="n">
        <v>19.99</v>
      </c>
      <c r="H1449" s="4" t="n">
        <v>9.53</v>
      </c>
      <c r="I1449" s="4" t="n">
        <f aca="false">F1449*G1449</f>
        <v>319.84</v>
      </c>
      <c r="J1449" s="4" t="n">
        <f aca="false">F1449*H1449</f>
        <v>152.48</v>
      </c>
      <c r="K1449" s="4" t="n">
        <f aca="false">I1449-J1449</f>
        <v>167.36</v>
      </c>
      <c r="L1449" s="5" t="n">
        <f aca="false">IFERROR(K1449/I1449,0)</f>
        <v>0.523261630815408</v>
      </c>
    </row>
    <row r="1450" customFormat="false" ht="15" hidden="false" customHeight="false" outlineLevel="0" collapsed="false">
      <c r="A1450" s="2" t="s">
        <v>44</v>
      </c>
      <c r="B1450" s="2" t="s">
        <v>45</v>
      </c>
      <c r="C1450" s="2" t="s">
        <v>38</v>
      </c>
      <c r="D1450" s="2" t="s">
        <v>42</v>
      </c>
      <c r="E1450" s="3" t="n">
        <v>46082</v>
      </c>
      <c r="F1450" s="2" t="n">
        <v>18</v>
      </c>
      <c r="G1450" s="4" t="n">
        <v>16.99</v>
      </c>
      <c r="H1450" s="4" t="n">
        <v>8.42</v>
      </c>
      <c r="I1450" s="4" t="n">
        <f aca="false">F1450*G1450</f>
        <v>305.82</v>
      </c>
      <c r="J1450" s="4" t="n">
        <f aca="false">F1450*H1450</f>
        <v>151.56</v>
      </c>
      <c r="K1450" s="4" t="n">
        <f aca="false">I1450-J1450</f>
        <v>154.26</v>
      </c>
      <c r="L1450" s="5" t="n">
        <f aca="false">IFERROR(K1450/I1450,0)</f>
        <v>0.504414361389052</v>
      </c>
    </row>
    <row r="1451" customFormat="false" ht="15" hidden="false" customHeight="false" outlineLevel="0" collapsed="false">
      <c r="A1451" s="2" t="s">
        <v>44</v>
      </c>
      <c r="B1451" s="2" t="s">
        <v>45</v>
      </c>
      <c r="C1451" s="2" t="s">
        <v>38</v>
      </c>
      <c r="D1451" s="2" t="s">
        <v>43</v>
      </c>
      <c r="E1451" s="3" t="n">
        <v>46082</v>
      </c>
      <c r="F1451" s="2" t="n">
        <v>21</v>
      </c>
      <c r="G1451" s="4" t="n">
        <v>24.99</v>
      </c>
      <c r="H1451" s="4" t="n">
        <v>13.27</v>
      </c>
      <c r="I1451" s="4" t="n">
        <f aca="false">F1451*G1451</f>
        <v>524.79</v>
      </c>
      <c r="J1451" s="4" t="n">
        <f aca="false">F1451*H1451</f>
        <v>278.67</v>
      </c>
      <c r="K1451" s="4" t="n">
        <f aca="false">I1451-J1451</f>
        <v>246.12</v>
      </c>
      <c r="L1451" s="5" t="n">
        <f aca="false">IFERROR(K1451/I1451,0)</f>
        <v>0.468987595038015</v>
      </c>
    </row>
    <row r="1452" customFormat="false" ht="15" hidden="false" customHeight="false" outlineLevel="0" collapsed="false">
      <c r="A1452" s="2" t="s">
        <v>44</v>
      </c>
      <c r="B1452" s="2" t="s">
        <v>46</v>
      </c>
      <c r="C1452" s="2" t="s">
        <v>14</v>
      </c>
      <c r="D1452" s="2" t="s">
        <v>15</v>
      </c>
      <c r="E1452" s="3" t="n">
        <v>46082</v>
      </c>
      <c r="F1452" s="2" t="n">
        <v>12</v>
      </c>
      <c r="G1452" s="4" t="n">
        <v>69.99</v>
      </c>
      <c r="H1452" s="4" t="n">
        <v>33.43</v>
      </c>
      <c r="I1452" s="4" t="n">
        <f aca="false">F1452*G1452</f>
        <v>839.88</v>
      </c>
      <c r="J1452" s="4" t="n">
        <f aca="false">F1452*H1452</f>
        <v>401.16</v>
      </c>
      <c r="K1452" s="4" t="n">
        <f aca="false">I1452-J1452</f>
        <v>438.72</v>
      </c>
      <c r="L1452" s="5" t="n">
        <f aca="false">IFERROR(K1452/I1452,0)</f>
        <v>0.522360337191027</v>
      </c>
    </row>
    <row r="1453" customFormat="false" ht="15" hidden="false" customHeight="false" outlineLevel="0" collapsed="false">
      <c r="A1453" s="2" t="s">
        <v>44</v>
      </c>
      <c r="B1453" s="2" t="s">
        <v>46</v>
      </c>
      <c r="C1453" s="2" t="s">
        <v>14</v>
      </c>
      <c r="D1453" s="2" t="s">
        <v>16</v>
      </c>
      <c r="E1453" s="3" t="n">
        <v>46082</v>
      </c>
      <c r="F1453" s="2" t="n">
        <v>17</v>
      </c>
      <c r="G1453" s="4" t="n">
        <v>19.99</v>
      </c>
      <c r="H1453" s="4" t="n">
        <v>9.17</v>
      </c>
      <c r="I1453" s="4" t="n">
        <f aca="false">F1453*G1453</f>
        <v>339.83</v>
      </c>
      <c r="J1453" s="4" t="n">
        <f aca="false">F1453*H1453</f>
        <v>155.89</v>
      </c>
      <c r="K1453" s="4" t="n">
        <f aca="false">I1453-J1453</f>
        <v>183.94</v>
      </c>
      <c r="L1453" s="5" t="n">
        <f aca="false">IFERROR(K1453/I1453,0)</f>
        <v>0.541270635317659</v>
      </c>
    </row>
    <row r="1454" customFormat="false" ht="15" hidden="false" customHeight="false" outlineLevel="0" collapsed="false">
      <c r="A1454" s="2" t="s">
        <v>44</v>
      </c>
      <c r="B1454" s="2" t="s">
        <v>46</v>
      </c>
      <c r="C1454" s="2" t="s">
        <v>14</v>
      </c>
      <c r="D1454" s="2" t="s">
        <v>17</v>
      </c>
      <c r="E1454" s="3" t="n">
        <v>46082</v>
      </c>
      <c r="F1454" s="2" t="n">
        <v>11</v>
      </c>
      <c r="G1454" s="4" t="n">
        <v>79.99</v>
      </c>
      <c r="H1454" s="4" t="n">
        <v>39.53</v>
      </c>
      <c r="I1454" s="4" t="n">
        <f aca="false">F1454*G1454</f>
        <v>879.89</v>
      </c>
      <c r="J1454" s="4" t="n">
        <f aca="false">F1454*H1454</f>
        <v>434.83</v>
      </c>
      <c r="K1454" s="4" t="n">
        <f aca="false">I1454-J1454</f>
        <v>445.06</v>
      </c>
      <c r="L1454" s="5" t="n">
        <f aca="false">IFERROR(K1454/I1454,0)</f>
        <v>0.505813226653332</v>
      </c>
    </row>
    <row r="1455" customFormat="false" ht="15" hidden="false" customHeight="false" outlineLevel="0" collapsed="false">
      <c r="A1455" s="2" t="s">
        <v>44</v>
      </c>
      <c r="B1455" s="2" t="s">
        <v>46</v>
      </c>
      <c r="C1455" s="2" t="s">
        <v>14</v>
      </c>
      <c r="D1455" s="2" t="s">
        <v>18</v>
      </c>
      <c r="E1455" s="3" t="n">
        <v>46082</v>
      </c>
      <c r="F1455" s="2" t="n">
        <v>12</v>
      </c>
      <c r="G1455" s="4" t="n">
        <v>34.99</v>
      </c>
      <c r="H1455" s="4" t="n">
        <v>14.55</v>
      </c>
      <c r="I1455" s="4" t="n">
        <f aca="false">F1455*G1455</f>
        <v>419.88</v>
      </c>
      <c r="J1455" s="4" t="n">
        <f aca="false">F1455*H1455</f>
        <v>174.6</v>
      </c>
      <c r="K1455" s="4" t="n">
        <f aca="false">I1455-J1455</f>
        <v>245.28</v>
      </c>
      <c r="L1455" s="5" t="n">
        <f aca="false">IFERROR(K1455/I1455,0)</f>
        <v>0.584166904829951</v>
      </c>
    </row>
    <row r="1456" customFormat="false" ht="15" hidden="false" customHeight="false" outlineLevel="0" collapsed="false">
      <c r="A1456" s="2" t="s">
        <v>44</v>
      </c>
      <c r="B1456" s="2" t="s">
        <v>46</v>
      </c>
      <c r="C1456" s="2" t="s">
        <v>14</v>
      </c>
      <c r="D1456" s="2" t="s">
        <v>19</v>
      </c>
      <c r="E1456" s="3" t="n">
        <v>46082</v>
      </c>
      <c r="F1456" s="2" t="n">
        <v>14</v>
      </c>
      <c r="G1456" s="4" t="n">
        <v>54.99</v>
      </c>
      <c r="H1456" s="4" t="n">
        <v>23.69</v>
      </c>
      <c r="I1456" s="4" t="n">
        <f aca="false">F1456*G1456</f>
        <v>769.86</v>
      </c>
      <c r="J1456" s="4" t="n">
        <f aca="false">F1456*H1456</f>
        <v>331.66</v>
      </c>
      <c r="K1456" s="4" t="n">
        <f aca="false">I1456-J1456</f>
        <v>438.2</v>
      </c>
      <c r="L1456" s="5" t="n">
        <f aca="false">IFERROR(K1456/I1456,0)</f>
        <v>0.569194398981633</v>
      </c>
    </row>
    <row r="1457" customFormat="false" ht="15" hidden="false" customHeight="false" outlineLevel="0" collapsed="false">
      <c r="A1457" s="2" t="s">
        <v>44</v>
      </c>
      <c r="B1457" s="2" t="s">
        <v>46</v>
      </c>
      <c r="C1457" s="2" t="s">
        <v>20</v>
      </c>
      <c r="D1457" s="2" t="s">
        <v>21</v>
      </c>
      <c r="E1457" s="3" t="n">
        <v>46082</v>
      </c>
      <c r="F1457" s="2" t="n">
        <v>11</v>
      </c>
      <c r="G1457" s="4" t="n">
        <v>44.99</v>
      </c>
      <c r="H1457" s="4" t="n">
        <v>19.71</v>
      </c>
      <c r="I1457" s="4" t="n">
        <f aca="false">F1457*G1457</f>
        <v>494.89</v>
      </c>
      <c r="J1457" s="4" t="n">
        <f aca="false">F1457*H1457</f>
        <v>216.81</v>
      </c>
      <c r="K1457" s="4" t="n">
        <f aca="false">I1457-J1457</f>
        <v>278.08</v>
      </c>
      <c r="L1457" s="5" t="n">
        <f aca="false">IFERROR(K1457/I1457,0)</f>
        <v>0.561902645032229</v>
      </c>
    </row>
    <row r="1458" customFormat="false" ht="15" hidden="false" customHeight="false" outlineLevel="0" collapsed="false">
      <c r="A1458" s="2" t="s">
        <v>44</v>
      </c>
      <c r="B1458" s="2" t="s">
        <v>46</v>
      </c>
      <c r="C1458" s="2" t="s">
        <v>20</v>
      </c>
      <c r="D1458" s="2" t="s">
        <v>22</v>
      </c>
      <c r="E1458" s="3" t="n">
        <v>46082</v>
      </c>
      <c r="F1458" s="2" t="n">
        <v>13</v>
      </c>
      <c r="G1458" s="4" t="n">
        <v>14.99</v>
      </c>
      <c r="H1458" s="4" t="n">
        <v>5.71</v>
      </c>
      <c r="I1458" s="4" t="n">
        <f aca="false">F1458*G1458</f>
        <v>194.87</v>
      </c>
      <c r="J1458" s="4" t="n">
        <f aca="false">F1458*H1458</f>
        <v>74.23</v>
      </c>
      <c r="K1458" s="4" t="n">
        <f aca="false">I1458-J1458</f>
        <v>120.64</v>
      </c>
      <c r="L1458" s="5" t="n">
        <f aca="false">IFERROR(K1458/I1458,0)</f>
        <v>0.619079386257505</v>
      </c>
    </row>
    <row r="1459" customFormat="false" ht="15" hidden="false" customHeight="false" outlineLevel="0" collapsed="false">
      <c r="A1459" s="2" t="s">
        <v>44</v>
      </c>
      <c r="B1459" s="2" t="s">
        <v>46</v>
      </c>
      <c r="C1459" s="2" t="s">
        <v>20</v>
      </c>
      <c r="D1459" s="2" t="s">
        <v>23</v>
      </c>
      <c r="E1459" s="3" t="n">
        <v>46082</v>
      </c>
      <c r="F1459" s="2" t="n">
        <v>11</v>
      </c>
      <c r="G1459" s="4" t="n">
        <v>39.99</v>
      </c>
      <c r="H1459" s="4" t="n">
        <v>16.34</v>
      </c>
      <c r="I1459" s="4" t="n">
        <f aca="false">F1459*G1459</f>
        <v>439.89</v>
      </c>
      <c r="J1459" s="4" t="n">
        <f aca="false">F1459*H1459</f>
        <v>179.74</v>
      </c>
      <c r="K1459" s="4" t="n">
        <f aca="false">I1459-J1459</f>
        <v>260.15</v>
      </c>
      <c r="L1459" s="5" t="n">
        <f aca="false">IFERROR(K1459/I1459,0)</f>
        <v>0.591397849462366</v>
      </c>
    </row>
    <row r="1460" customFormat="false" ht="15" hidden="false" customHeight="false" outlineLevel="0" collapsed="false">
      <c r="A1460" s="2" t="s">
        <v>44</v>
      </c>
      <c r="B1460" s="2" t="s">
        <v>46</v>
      </c>
      <c r="C1460" s="2" t="s">
        <v>20</v>
      </c>
      <c r="D1460" s="2" t="s">
        <v>24</v>
      </c>
      <c r="E1460" s="3" t="n">
        <v>46082</v>
      </c>
      <c r="F1460" s="2" t="n">
        <v>8</v>
      </c>
      <c r="G1460" s="4" t="n">
        <v>18.99</v>
      </c>
      <c r="H1460" s="4" t="n">
        <v>7.54</v>
      </c>
      <c r="I1460" s="4" t="n">
        <f aca="false">F1460*G1460</f>
        <v>151.92</v>
      </c>
      <c r="J1460" s="4" t="n">
        <f aca="false">F1460*H1460</f>
        <v>60.32</v>
      </c>
      <c r="K1460" s="4" t="n">
        <f aca="false">I1460-J1460</f>
        <v>91.6</v>
      </c>
      <c r="L1460" s="5" t="n">
        <f aca="false">IFERROR(K1460/I1460,0)</f>
        <v>0.602948920484466</v>
      </c>
    </row>
    <row r="1461" customFormat="false" ht="15" hidden="false" customHeight="false" outlineLevel="0" collapsed="false">
      <c r="A1461" s="2" t="s">
        <v>44</v>
      </c>
      <c r="B1461" s="2" t="s">
        <v>46</v>
      </c>
      <c r="C1461" s="2" t="s">
        <v>20</v>
      </c>
      <c r="D1461" s="2" t="s">
        <v>25</v>
      </c>
      <c r="E1461" s="3" t="n">
        <v>46082</v>
      </c>
      <c r="F1461" s="2" t="n">
        <v>11</v>
      </c>
      <c r="G1461" s="4" t="n">
        <v>42.99</v>
      </c>
      <c r="H1461" s="4" t="n">
        <v>15.56</v>
      </c>
      <c r="I1461" s="4" t="n">
        <f aca="false">F1461*G1461</f>
        <v>472.89</v>
      </c>
      <c r="J1461" s="4" t="n">
        <f aca="false">F1461*H1461</f>
        <v>171.16</v>
      </c>
      <c r="K1461" s="4" t="n">
        <f aca="false">I1461-J1461</f>
        <v>301.73</v>
      </c>
      <c r="L1461" s="5" t="n">
        <f aca="false">IFERROR(K1461/I1461,0)</f>
        <v>0.638055361712026</v>
      </c>
    </row>
    <row r="1462" customFormat="false" ht="15" hidden="false" customHeight="false" outlineLevel="0" collapsed="false">
      <c r="A1462" s="2" t="s">
        <v>44</v>
      </c>
      <c r="B1462" s="2" t="s">
        <v>46</v>
      </c>
      <c r="C1462" s="2" t="s">
        <v>26</v>
      </c>
      <c r="D1462" s="2" t="s">
        <v>27</v>
      </c>
      <c r="E1462" s="3" t="n">
        <v>46082</v>
      </c>
      <c r="F1462" s="2" t="n">
        <v>12</v>
      </c>
      <c r="G1462" s="4" t="n">
        <v>44.99</v>
      </c>
      <c r="H1462" s="4" t="n">
        <v>27.18</v>
      </c>
      <c r="I1462" s="4" t="n">
        <f aca="false">F1462*G1462</f>
        <v>539.88</v>
      </c>
      <c r="J1462" s="4" t="n">
        <f aca="false">F1462*H1462</f>
        <v>326.16</v>
      </c>
      <c r="K1462" s="4" t="n">
        <f aca="false">I1462-J1462</f>
        <v>213.72</v>
      </c>
      <c r="L1462" s="5" t="n">
        <f aca="false">IFERROR(K1462/I1462,0)</f>
        <v>0.395865747943988</v>
      </c>
    </row>
    <row r="1463" customFormat="false" ht="15" hidden="false" customHeight="false" outlineLevel="0" collapsed="false">
      <c r="A1463" s="2" t="s">
        <v>44</v>
      </c>
      <c r="B1463" s="2" t="s">
        <v>46</v>
      </c>
      <c r="C1463" s="2" t="s">
        <v>26</v>
      </c>
      <c r="D1463" s="2" t="s">
        <v>28</v>
      </c>
      <c r="E1463" s="3" t="n">
        <v>46082</v>
      </c>
      <c r="F1463" s="2" t="n">
        <v>9</v>
      </c>
      <c r="G1463" s="4" t="n">
        <v>34.99</v>
      </c>
      <c r="H1463" s="4" t="n">
        <v>22.49</v>
      </c>
      <c r="I1463" s="4" t="n">
        <f aca="false">F1463*G1463</f>
        <v>314.91</v>
      </c>
      <c r="J1463" s="4" t="n">
        <f aca="false">F1463*H1463</f>
        <v>202.41</v>
      </c>
      <c r="K1463" s="4" t="n">
        <f aca="false">I1463-J1463</f>
        <v>112.5</v>
      </c>
      <c r="L1463" s="5" t="n">
        <f aca="false">IFERROR(K1463/I1463,0)</f>
        <v>0.357244927122035</v>
      </c>
    </row>
    <row r="1464" customFormat="false" ht="15" hidden="false" customHeight="false" outlineLevel="0" collapsed="false">
      <c r="A1464" s="2" t="s">
        <v>44</v>
      </c>
      <c r="B1464" s="2" t="s">
        <v>46</v>
      </c>
      <c r="C1464" s="2" t="s">
        <v>26</v>
      </c>
      <c r="D1464" s="2" t="s">
        <v>29</v>
      </c>
      <c r="E1464" s="3" t="n">
        <v>46082</v>
      </c>
      <c r="F1464" s="2" t="n">
        <v>17</v>
      </c>
      <c r="G1464" s="4" t="n">
        <v>119.99</v>
      </c>
      <c r="H1464" s="4" t="n">
        <v>80.36</v>
      </c>
      <c r="I1464" s="4" t="n">
        <f aca="false">F1464*G1464</f>
        <v>2039.83</v>
      </c>
      <c r="J1464" s="4" t="n">
        <f aca="false">F1464*H1464</f>
        <v>1366.12</v>
      </c>
      <c r="K1464" s="4" t="n">
        <f aca="false">I1464-J1464</f>
        <v>673.71</v>
      </c>
      <c r="L1464" s="5" t="n">
        <f aca="false">IFERROR(K1464/I1464,0)</f>
        <v>0.330277523126927</v>
      </c>
    </row>
    <row r="1465" customFormat="false" ht="15" hidden="false" customHeight="false" outlineLevel="0" collapsed="false">
      <c r="A1465" s="2" t="s">
        <v>44</v>
      </c>
      <c r="B1465" s="2" t="s">
        <v>46</v>
      </c>
      <c r="C1465" s="2" t="s">
        <v>26</v>
      </c>
      <c r="D1465" s="2" t="s">
        <v>30</v>
      </c>
      <c r="E1465" s="3" t="n">
        <v>46082</v>
      </c>
      <c r="F1465" s="2" t="n">
        <v>8</v>
      </c>
      <c r="G1465" s="4" t="n">
        <v>24.99</v>
      </c>
      <c r="H1465" s="4" t="n">
        <v>14.69</v>
      </c>
      <c r="I1465" s="4" t="n">
        <f aca="false">F1465*G1465</f>
        <v>199.92</v>
      </c>
      <c r="J1465" s="4" t="n">
        <f aca="false">F1465*H1465</f>
        <v>117.52</v>
      </c>
      <c r="K1465" s="4" t="n">
        <f aca="false">I1465-J1465</f>
        <v>82.4</v>
      </c>
      <c r="L1465" s="5" t="n">
        <f aca="false">IFERROR(K1465/I1465,0)</f>
        <v>0.412164865946379</v>
      </c>
    </row>
    <row r="1466" customFormat="false" ht="15" hidden="false" customHeight="false" outlineLevel="0" collapsed="false">
      <c r="A1466" s="2" t="s">
        <v>44</v>
      </c>
      <c r="B1466" s="2" t="s">
        <v>46</v>
      </c>
      <c r="C1466" s="2" t="s">
        <v>26</v>
      </c>
      <c r="D1466" s="2" t="s">
        <v>31</v>
      </c>
      <c r="E1466" s="3" t="n">
        <v>46082</v>
      </c>
      <c r="F1466" s="2" t="n">
        <v>9</v>
      </c>
      <c r="G1466" s="4" t="n">
        <v>59.99</v>
      </c>
      <c r="H1466" s="4" t="n">
        <v>39.15</v>
      </c>
      <c r="I1466" s="4" t="n">
        <f aca="false">F1466*G1466</f>
        <v>539.91</v>
      </c>
      <c r="J1466" s="4" t="n">
        <f aca="false">F1466*H1466</f>
        <v>352.35</v>
      </c>
      <c r="K1466" s="4" t="n">
        <f aca="false">I1466-J1466</f>
        <v>187.56</v>
      </c>
      <c r="L1466" s="5" t="n">
        <f aca="false">IFERROR(K1466/I1466,0)</f>
        <v>0.347391231871979</v>
      </c>
    </row>
    <row r="1467" customFormat="false" ht="15" hidden="false" customHeight="false" outlineLevel="0" collapsed="false">
      <c r="A1467" s="2" t="s">
        <v>44</v>
      </c>
      <c r="B1467" s="2" t="s">
        <v>46</v>
      </c>
      <c r="C1467" s="2" t="s">
        <v>32</v>
      </c>
      <c r="D1467" s="2" t="s">
        <v>33</v>
      </c>
      <c r="E1467" s="3" t="n">
        <v>46082</v>
      </c>
      <c r="F1467" s="2" t="n">
        <v>16</v>
      </c>
      <c r="G1467" s="4" t="n">
        <v>49.99</v>
      </c>
      <c r="H1467" s="4" t="n">
        <v>36.89</v>
      </c>
      <c r="I1467" s="4" t="n">
        <f aca="false">F1467*G1467</f>
        <v>799.84</v>
      </c>
      <c r="J1467" s="4" t="n">
        <f aca="false">F1467*H1467</f>
        <v>590.24</v>
      </c>
      <c r="K1467" s="4" t="n">
        <f aca="false">I1467-J1467</f>
        <v>209.6</v>
      </c>
      <c r="L1467" s="5" t="n">
        <f aca="false">IFERROR(K1467/I1467,0)</f>
        <v>0.262052410482096</v>
      </c>
    </row>
    <row r="1468" customFormat="false" ht="15" hidden="false" customHeight="false" outlineLevel="0" collapsed="false">
      <c r="A1468" s="2" t="s">
        <v>44</v>
      </c>
      <c r="B1468" s="2" t="s">
        <v>46</v>
      </c>
      <c r="C1468" s="2" t="s">
        <v>32</v>
      </c>
      <c r="D1468" s="2" t="s">
        <v>34</v>
      </c>
      <c r="E1468" s="3" t="n">
        <v>46082</v>
      </c>
      <c r="F1468" s="2" t="n">
        <v>10</v>
      </c>
      <c r="G1468" s="4" t="n">
        <v>27.99</v>
      </c>
      <c r="H1468" s="4" t="n">
        <v>20.21</v>
      </c>
      <c r="I1468" s="4" t="n">
        <f aca="false">F1468*G1468</f>
        <v>279.9</v>
      </c>
      <c r="J1468" s="4" t="n">
        <f aca="false">F1468*H1468</f>
        <v>202.1</v>
      </c>
      <c r="K1468" s="4" t="n">
        <f aca="false">I1468-J1468</f>
        <v>77.8</v>
      </c>
      <c r="L1468" s="5" t="n">
        <f aca="false">IFERROR(K1468/I1468,0)</f>
        <v>0.277956413004644</v>
      </c>
    </row>
    <row r="1469" customFormat="false" ht="15" hidden="false" customHeight="false" outlineLevel="0" collapsed="false">
      <c r="A1469" s="2" t="s">
        <v>44</v>
      </c>
      <c r="B1469" s="2" t="s">
        <v>46</v>
      </c>
      <c r="C1469" s="2" t="s">
        <v>32</v>
      </c>
      <c r="D1469" s="2" t="s">
        <v>35</v>
      </c>
      <c r="E1469" s="3" t="n">
        <v>46082</v>
      </c>
      <c r="F1469" s="2" t="n">
        <v>15</v>
      </c>
      <c r="G1469" s="4" t="n">
        <v>64.99</v>
      </c>
      <c r="H1469" s="4" t="n">
        <v>44.79</v>
      </c>
      <c r="I1469" s="4" t="n">
        <f aca="false">F1469*G1469</f>
        <v>974.85</v>
      </c>
      <c r="J1469" s="4" t="n">
        <f aca="false">F1469*H1469</f>
        <v>671.85</v>
      </c>
      <c r="K1469" s="4" t="n">
        <f aca="false">I1469-J1469</f>
        <v>303</v>
      </c>
      <c r="L1469" s="5" t="n">
        <f aca="false">IFERROR(K1469/I1469,0)</f>
        <v>0.310817048776735</v>
      </c>
    </row>
    <row r="1470" customFormat="false" ht="15" hidden="false" customHeight="false" outlineLevel="0" collapsed="false">
      <c r="A1470" s="2" t="s">
        <v>44</v>
      </c>
      <c r="B1470" s="2" t="s">
        <v>46</v>
      </c>
      <c r="C1470" s="2" t="s">
        <v>32</v>
      </c>
      <c r="D1470" s="2" t="s">
        <v>36</v>
      </c>
      <c r="E1470" s="3" t="n">
        <v>46082</v>
      </c>
      <c r="F1470" s="2" t="n">
        <v>17</v>
      </c>
      <c r="G1470" s="4" t="n">
        <v>22.99</v>
      </c>
      <c r="H1470" s="4" t="n">
        <v>16.34</v>
      </c>
      <c r="I1470" s="4" t="n">
        <f aca="false">F1470*G1470</f>
        <v>390.83</v>
      </c>
      <c r="J1470" s="4" t="n">
        <f aca="false">F1470*H1470</f>
        <v>277.78</v>
      </c>
      <c r="K1470" s="4" t="n">
        <f aca="false">I1470-J1470</f>
        <v>113.05</v>
      </c>
      <c r="L1470" s="5" t="n">
        <f aca="false">IFERROR(K1470/I1470,0)</f>
        <v>0.289256198347108</v>
      </c>
    </row>
    <row r="1471" customFormat="false" ht="15" hidden="false" customHeight="false" outlineLevel="0" collapsed="false">
      <c r="A1471" s="2" t="s">
        <v>44</v>
      </c>
      <c r="B1471" s="2" t="s">
        <v>46</v>
      </c>
      <c r="C1471" s="2" t="s">
        <v>32</v>
      </c>
      <c r="D1471" s="2" t="s">
        <v>37</v>
      </c>
      <c r="E1471" s="3" t="n">
        <v>46082</v>
      </c>
      <c r="F1471" s="2" t="n">
        <v>14</v>
      </c>
      <c r="G1471" s="4" t="n">
        <v>29.99</v>
      </c>
      <c r="H1471" s="4" t="n">
        <v>19.79</v>
      </c>
      <c r="I1471" s="4" t="n">
        <f aca="false">F1471*G1471</f>
        <v>419.86</v>
      </c>
      <c r="J1471" s="4" t="n">
        <f aca="false">F1471*H1471</f>
        <v>277.06</v>
      </c>
      <c r="K1471" s="4" t="n">
        <f aca="false">I1471-J1471</f>
        <v>142.8</v>
      </c>
      <c r="L1471" s="5" t="n">
        <f aca="false">IFERROR(K1471/I1471,0)</f>
        <v>0.340113371123708</v>
      </c>
    </row>
    <row r="1472" customFormat="false" ht="15" hidden="false" customHeight="false" outlineLevel="0" collapsed="false">
      <c r="A1472" s="2" t="s">
        <v>44</v>
      </c>
      <c r="B1472" s="2" t="s">
        <v>46</v>
      </c>
      <c r="C1472" s="2" t="s">
        <v>38</v>
      </c>
      <c r="D1472" s="2" t="s">
        <v>39</v>
      </c>
      <c r="E1472" s="3" t="n">
        <v>46082</v>
      </c>
      <c r="F1472" s="2" t="n">
        <v>14</v>
      </c>
      <c r="G1472" s="4" t="n">
        <v>129.99</v>
      </c>
      <c r="H1472" s="4" t="n">
        <v>75.54</v>
      </c>
      <c r="I1472" s="4" t="n">
        <f aca="false">F1472*G1472</f>
        <v>1819.86</v>
      </c>
      <c r="J1472" s="4" t="n">
        <f aca="false">F1472*H1472</f>
        <v>1057.56</v>
      </c>
      <c r="K1472" s="4" t="n">
        <f aca="false">I1472-J1472</f>
        <v>762.3</v>
      </c>
      <c r="L1472" s="5" t="n">
        <f aca="false">IFERROR(K1472/I1472,0)</f>
        <v>0.418878375259635</v>
      </c>
    </row>
    <row r="1473" customFormat="false" ht="15" hidden="false" customHeight="false" outlineLevel="0" collapsed="false">
      <c r="A1473" s="2" t="s">
        <v>44</v>
      </c>
      <c r="B1473" s="2" t="s">
        <v>46</v>
      </c>
      <c r="C1473" s="2" t="s">
        <v>38</v>
      </c>
      <c r="D1473" s="2" t="s">
        <v>40</v>
      </c>
      <c r="E1473" s="3" t="n">
        <v>46082</v>
      </c>
      <c r="F1473" s="2" t="n">
        <v>12</v>
      </c>
      <c r="G1473" s="4" t="n">
        <v>74.99</v>
      </c>
      <c r="H1473" s="4" t="n">
        <v>40.51</v>
      </c>
      <c r="I1473" s="4" t="n">
        <f aca="false">F1473*G1473</f>
        <v>899.88</v>
      </c>
      <c r="J1473" s="4" t="n">
        <f aca="false">F1473*H1473</f>
        <v>486.12</v>
      </c>
      <c r="K1473" s="4" t="n">
        <f aca="false">I1473-J1473</f>
        <v>413.76</v>
      </c>
      <c r="L1473" s="5" t="n">
        <f aca="false">IFERROR(K1473/I1473,0)</f>
        <v>0.459794639285238</v>
      </c>
    </row>
    <row r="1474" customFormat="false" ht="15" hidden="false" customHeight="false" outlineLevel="0" collapsed="false">
      <c r="A1474" s="2" t="s">
        <v>44</v>
      </c>
      <c r="B1474" s="2" t="s">
        <v>46</v>
      </c>
      <c r="C1474" s="2" t="s">
        <v>38</v>
      </c>
      <c r="D1474" s="2" t="s">
        <v>41</v>
      </c>
      <c r="E1474" s="3" t="n">
        <v>46082</v>
      </c>
      <c r="F1474" s="2" t="n">
        <v>11</v>
      </c>
      <c r="G1474" s="4" t="n">
        <v>19.99</v>
      </c>
      <c r="H1474" s="4" t="n">
        <v>9.4</v>
      </c>
      <c r="I1474" s="4" t="n">
        <f aca="false">F1474*G1474</f>
        <v>219.89</v>
      </c>
      <c r="J1474" s="4" t="n">
        <f aca="false">F1474*H1474</f>
        <v>103.4</v>
      </c>
      <c r="K1474" s="4" t="n">
        <f aca="false">I1474-J1474</f>
        <v>116.49</v>
      </c>
      <c r="L1474" s="5" t="n">
        <f aca="false">IFERROR(K1474/I1474,0)</f>
        <v>0.529764882441221</v>
      </c>
    </row>
    <row r="1475" customFormat="false" ht="15" hidden="false" customHeight="false" outlineLevel="0" collapsed="false">
      <c r="A1475" s="2" t="s">
        <v>44</v>
      </c>
      <c r="B1475" s="2" t="s">
        <v>46</v>
      </c>
      <c r="C1475" s="2" t="s">
        <v>38</v>
      </c>
      <c r="D1475" s="2" t="s">
        <v>42</v>
      </c>
      <c r="E1475" s="3" t="n">
        <v>46082</v>
      </c>
      <c r="F1475" s="2" t="n">
        <v>13</v>
      </c>
      <c r="G1475" s="4" t="n">
        <v>16.99</v>
      </c>
      <c r="H1475" s="4" t="n">
        <v>8.41</v>
      </c>
      <c r="I1475" s="4" t="n">
        <f aca="false">F1475*G1475</f>
        <v>220.87</v>
      </c>
      <c r="J1475" s="4" t="n">
        <f aca="false">F1475*H1475</f>
        <v>109.33</v>
      </c>
      <c r="K1475" s="4" t="n">
        <f aca="false">I1475-J1475</f>
        <v>111.54</v>
      </c>
      <c r="L1475" s="5" t="n">
        <f aca="false">IFERROR(K1475/I1475,0)</f>
        <v>0.505002942907593</v>
      </c>
    </row>
    <row r="1476" customFormat="false" ht="15" hidden="false" customHeight="false" outlineLevel="0" collapsed="false">
      <c r="A1476" s="2" t="s">
        <v>44</v>
      </c>
      <c r="B1476" s="2" t="s">
        <v>46</v>
      </c>
      <c r="C1476" s="2" t="s">
        <v>38</v>
      </c>
      <c r="D1476" s="2" t="s">
        <v>43</v>
      </c>
      <c r="E1476" s="3" t="n">
        <v>46082</v>
      </c>
      <c r="F1476" s="2" t="n">
        <v>15</v>
      </c>
      <c r="G1476" s="4" t="n">
        <v>24.99</v>
      </c>
      <c r="H1476" s="4" t="n">
        <v>12.79</v>
      </c>
      <c r="I1476" s="4" t="n">
        <f aca="false">F1476*G1476</f>
        <v>374.85</v>
      </c>
      <c r="J1476" s="4" t="n">
        <f aca="false">F1476*H1476</f>
        <v>191.85</v>
      </c>
      <c r="K1476" s="4" t="n">
        <f aca="false">I1476-J1476</f>
        <v>183</v>
      </c>
      <c r="L1476" s="5" t="n">
        <f aca="false">IFERROR(K1476/I1476,0)</f>
        <v>0.488195278111244</v>
      </c>
    </row>
    <row r="1477" customFormat="false" ht="15" hidden="false" customHeight="false" outlineLevel="0" collapsed="false">
      <c r="A1477" s="2" t="s">
        <v>47</v>
      </c>
      <c r="B1477" s="2" t="s">
        <v>48</v>
      </c>
      <c r="C1477" s="2" t="s">
        <v>14</v>
      </c>
      <c r="D1477" s="2" t="s">
        <v>15</v>
      </c>
      <c r="E1477" s="3" t="n">
        <v>46082</v>
      </c>
      <c r="F1477" s="2" t="n">
        <v>13</v>
      </c>
      <c r="G1477" s="4" t="n">
        <v>69.99</v>
      </c>
      <c r="H1477" s="4" t="n">
        <v>33.38</v>
      </c>
      <c r="I1477" s="4" t="n">
        <f aca="false">F1477*G1477</f>
        <v>909.87</v>
      </c>
      <c r="J1477" s="4" t="n">
        <f aca="false">F1477*H1477</f>
        <v>433.94</v>
      </c>
      <c r="K1477" s="4" t="n">
        <f aca="false">I1477-J1477</f>
        <v>475.93</v>
      </c>
      <c r="L1477" s="5" t="n">
        <f aca="false">IFERROR(K1477/I1477,0)</f>
        <v>0.523074724960709</v>
      </c>
    </row>
    <row r="1478" customFormat="false" ht="15" hidden="false" customHeight="false" outlineLevel="0" collapsed="false">
      <c r="A1478" s="2" t="s">
        <v>47</v>
      </c>
      <c r="B1478" s="2" t="s">
        <v>48</v>
      </c>
      <c r="C1478" s="2" t="s">
        <v>14</v>
      </c>
      <c r="D1478" s="2" t="s">
        <v>16</v>
      </c>
      <c r="E1478" s="3" t="n">
        <v>46082</v>
      </c>
      <c r="F1478" s="2" t="n">
        <v>15</v>
      </c>
      <c r="G1478" s="4" t="n">
        <v>19.99</v>
      </c>
      <c r="H1478" s="4" t="n">
        <v>9.08</v>
      </c>
      <c r="I1478" s="4" t="n">
        <f aca="false">F1478*G1478</f>
        <v>299.85</v>
      </c>
      <c r="J1478" s="4" t="n">
        <f aca="false">F1478*H1478</f>
        <v>136.2</v>
      </c>
      <c r="K1478" s="4" t="n">
        <f aca="false">I1478-J1478</f>
        <v>163.65</v>
      </c>
      <c r="L1478" s="5" t="n">
        <f aca="false">IFERROR(K1478/I1478,0)</f>
        <v>0.545772886443222</v>
      </c>
    </row>
    <row r="1479" customFormat="false" ht="15" hidden="false" customHeight="false" outlineLevel="0" collapsed="false">
      <c r="A1479" s="2" t="s">
        <v>47</v>
      </c>
      <c r="B1479" s="2" t="s">
        <v>48</v>
      </c>
      <c r="C1479" s="2" t="s">
        <v>14</v>
      </c>
      <c r="D1479" s="2" t="s">
        <v>17</v>
      </c>
      <c r="E1479" s="3" t="n">
        <v>46082</v>
      </c>
      <c r="F1479" s="2" t="n">
        <v>7</v>
      </c>
      <c r="G1479" s="4" t="n">
        <v>79.99</v>
      </c>
      <c r="H1479" s="4" t="n">
        <v>38.9</v>
      </c>
      <c r="I1479" s="4" t="n">
        <f aca="false">F1479*G1479</f>
        <v>559.93</v>
      </c>
      <c r="J1479" s="4" t="n">
        <f aca="false">F1479*H1479</f>
        <v>272.3</v>
      </c>
      <c r="K1479" s="4" t="n">
        <f aca="false">I1479-J1479</f>
        <v>287.63</v>
      </c>
      <c r="L1479" s="5" t="n">
        <f aca="false">IFERROR(K1479/I1479,0)</f>
        <v>0.513689211151394</v>
      </c>
    </row>
    <row r="1480" customFormat="false" ht="15" hidden="false" customHeight="false" outlineLevel="0" collapsed="false">
      <c r="A1480" s="2" t="s">
        <v>47</v>
      </c>
      <c r="B1480" s="2" t="s">
        <v>48</v>
      </c>
      <c r="C1480" s="2" t="s">
        <v>14</v>
      </c>
      <c r="D1480" s="2" t="s">
        <v>18</v>
      </c>
      <c r="E1480" s="3" t="n">
        <v>46082</v>
      </c>
      <c r="F1480" s="2" t="n">
        <v>11</v>
      </c>
      <c r="G1480" s="4" t="n">
        <v>34.99</v>
      </c>
      <c r="H1480" s="4" t="n">
        <v>14.67</v>
      </c>
      <c r="I1480" s="4" t="n">
        <f aca="false">F1480*G1480</f>
        <v>384.89</v>
      </c>
      <c r="J1480" s="4" t="n">
        <f aca="false">F1480*H1480</f>
        <v>161.37</v>
      </c>
      <c r="K1480" s="4" t="n">
        <f aca="false">I1480-J1480</f>
        <v>223.52</v>
      </c>
      <c r="L1480" s="5" t="n">
        <f aca="false">IFERROR(K1480/I1480,0)</f>
        <v>0.58073735352958</v>
      </c>
    </row>
    <row r="1481" customFormat="false" ht="15" hidden="false" customHeight="false" outlineLevel="0" collapsed="false">
      <c r="A1481" s="2" t="s">
        <v>47</v>
      </c>
      <c r="B1481" s="2" t="s">
        <v>48</v>
      </c>
      <c r="C1481" s="2" t="s">
        <v>14</v>
      </c>
      <c r="D1481" s="2" t="s">
        <v>19</v>
      </c>
      <c r="E1481" s="3" t="n">
        <v>46082</v>
      </c>
      <c r="F1481" s="2" t="n">
        <v>13</v>
      </c>
      <c r="G1481" s="4" t="n">
        <v>54.99</v>
      </c>
      <c r="H1481" s="4" t="n">
        <v>24.73</v>
      </c>
      <c r="I1481" s="4" t="n">
        <f aca="false">F1481*G1481</f>
        <v>714.87</v>
      </c>
      <c r="J1481" s="4" t="n">
        <f aca="false">F1481*H1481</f>
        <v>321.49</v>
      </c>
      <c r="K1481" s="4" t="n">
        <f aca="false">I1481-J1481</f>
        <v>393.38</v>
      </c>
      <c r="L1481" s="5" t="n">
        <f aca="false">IFERROR(K1481/I1481,0)</f>
        <v>0.550281869430806</v>
      </c>
    </row>
    <row r="1482" customFormat="false" ht="15" hidden="false" customHeight="false" outlineLevel="0" collapsed="false">
      <c r="A1482" s="2" t="s">
        <v>47</v>
      </c>
      <c r="B1482" s="2" t="s">
        <v>48</v>
      </c>
      <c r="C1482" s="2" t="s">
        <v>20</v>
      </c>
      <c r="D1482" s="2" t="s">
        <v>21</v>
      </c>
      <c r="E1482" s="3" t="n">
        <v>46082</v>
      </c>
      <c r="F1482" s="2" t="n">
        <v>8</v>
      </c>
      <c r="G1482" s="4" t="n">
        <v>44.99</v>
      </c>
      <c r="H1482" s="4" t="n">
        <v>20.67</v>
      </c>
      <c r="I1482" s="4" t="n">
        <f aca="false">F1482*G1482</f>
        <v>359.92</v>
      </c>
      <c r="J1482" s="4" t="n">
        <f aca="false">F1482*H1482</f>
        <v>165.36</v>
      </c>
      <c r="K1482" s="4" t="n">
        <f aca="false">I1482-J1482</f>
        <v>194.56</v>
      </c>
      <c r="L1482" s="5" t="n">
        <f aca="false">IFERROR(K1482/I1482,0)</f>
        <v>0.540564569904423</v>
      </c>
    </row>
    <row r="1483" customFormat="false" ht="15" hidden="false" customHeight="false" outlineLevel="0" collapsed="false">
      <c r="A1483" s="2" t="s">
        <v>47</v>
      </c>
      <c r="B1483" s="2" t="s">
        <v>48</v>
      </c>
      <c r="C1483" s="2" t="s">
        <v>20</v>
      </c>
      <c r="D1483" s="2" t="s">
        <v>22</v>
      </c>
      <c r="E1483" s="3" t="n">
        <v>46082</v>
      </c>
      <c r="F1483" s="2" t="n">
        <v>16</v>
      </c>
      <c r="G1483" s="4" t="n">
        <v>14.99</v>
      </c>
      <c r="H1483" s="4" t="n">
        <v>5.81</v>
      </c>
      <c r="I1483" s="4" t="n">
        <f aca="false">F1483*G1483</f>
        <v>239.84</v>
      </c>
      <c r="J1483" s="4" t="n">
        <f aca="false">F1483*H1483</f>
        <v>92.96</v>
      </c>
      <c r="K1483" s="4" t="n">
        <f aca="false">I1483-J1483</f>
        <v>146.88</v>
      </c>
      <c r="L1483" s="5" t="n">
        <f aca="false">IFERROR(K1483/I1483,0)</f>
        <v>0.612408272181454</v>
      </c>
    </row>
    <row r="1484" customFormat="false" ht="15" hidden="false" customHeight="false" outlineLevel="0" collapsed="false">
      <c r="A1484" s="2" t="s">
        <v>47</v>
      </c>
      <c r="B1484" s="2" t="s">
        <v>48</v>
      </c>
      <c r="C1484" s="2" t="s">
        <v>20</v>
      </c>
      <c r="D1484" s="2" t="s">
        <v>23</v>
      </c>
      <c r="E1484" s="3" t="n">
        <v>46082</v>
      </c>
      <c r="F1484" s="2" t="n">
        <v>14</v>
      </c>
      <c r="G1484" s="4" t="n">
        <v>39.99</v>
      </c>
      <c r="H1484" s="4" t="n">
        <v>17.22</v>
      </c>
      <c r="I1484" s="4" t="n">
        <f aca="false">F1484*G1484</f>
        <v>559.86</v>
      </c>
      <c r="J1484" s="4" t="n">
        <f aca="false">F1484*H1484</f>
        <v>241.08</v>
      </c>
      <c r="K1484" s="4" t="n">
        <f aca="false">I1484-J1484</f>
        <v>318.78</v>
      </c>
      <c r="L1484" s="5" t="n">
        <f aca="false">IFERROR(K1484/I1484,0)</f>
        <v>0.569392348087022</v>
      </c>
    </row>
    <row r="1485" customFormat="false" ht="15" hidden="false" customHeight="false" outlineLevel="0" collapsed="false">
      <c r="A1485" s="2" t="s">
        <v>47</v>
      </c>
      <c r="B1485" s="2" t="s">
        <v>48</v>
      </c>
      <c r="C1485" s="2" t="s">
        <v>20</v>
      </c>
      <c r="D1485" s="2" t="s">
        <v>24</v>
      </c>
      <c r="E1485" s="3" t="n">
        <v>46082</v>
      </c>
      <c r="F1485" s="2" t="n">
        <v>14</v>
      </c>
      <c r="G1485" s="4" t="n">
        <v>18.99</v>
      </c>
      <c r="H1485" s="4" t="n">
        <v>7.48</v>
      </c>
      <c r="I1485" s="4" t="n">
        <f aca="false">F1485*G1485</f>
        <v>265.86</v>
      </c>
      <c r="J1485" s="4" t="n">
        <f aca="false">F1485*H1485</f>
        <v>104.72</v>
      </c>
      <c r="K1485" s="4" t="n">
        <f aca="false">I1485-J1485</f>
        <v>161.14</v>
      </c>
      <c r="L1485" s="5" t="n">
        <f aca="false">IFERROR(K1485/I1485,0)</f>
        <v>0.606108478146393</v>
      </c>
    </row>
    <row r="1486" customFormat="false" ht="15" hidden="false" customHeight="false" outlineLevel="0" collapsed="false">
      <c r="A1486" s="2" t="s">
        <v>47</v>
      </c>
      <c r="B1486" s="2" t="s">
        <v>48</v>
      </c>
      <c r="C1486" s="2" t="s">
        <v>20</v>
      </c>
      <c r="D1486" s="2" t="s">
        <v>25</v>
      </c>
      <c r="E1486" s="3" t="n">
        <v>46082</v>
      </c>
      <c r="F1486" s="2" t="n">
        <v>9</v>
      </c>
      <c r="G1486" s="4" t="n">
        <v>42.99</v>
      </c>
      <c r="H1486" s="4" t="n">
        <v>15.45</v>
      </c>
      <c r="I1486" s="4" t="n">
        <f aca="false">F1486*G1486</f>
        <v>386.91</v>
      </c>
      <c r="J1486" s="4" t="n">
        <f aca="false">F1486*H1486</f>
        <v>139.05</v>
      </c>
      <c r="K1486" s="4" t="n">
        <f aca="false">I1486-J1486</f>
        <v>247.86</v>
      </c>
      <c r="L1486" s="5" t="n">
        <f aca="false">IFERROR(K1486/I1486,0)</f>
        <v>0.640614096301466</v>
      </c>
    </row>
    <row r="1487" customFormat="false" ht="15" hidden="false" customHeight="false" outlineLevel="0" collapsed="false">
      <c r="A1487" s="2" t="s">
        <v>47</v>
      </c>
      <c r="B1487" s="2" t="s">
        <v>48</v>
      </c>
      <c r="C1487" s="2" t="s">
        <v>26</v>
      </c>
      <c r="D1487" s="2" t="s">
        <v>27</v>
      </c>
      <c r="E1487" s="3" t="n">
        <v>46082</v>
      </c>
      <c r="F1487" s="2" t="n">
        <v>21</v>
      </c>
      <c r="G1487" s="4" t="n">
        <v>44.99</v>
      </c>
      <c r="H1487" s="4" t="n">
        <v>27.8</v>
      </c>
      <c r="I1487" s="4" t="n">
        <f aca="false">F1487*G1487</f>
        <v>944.79</v>
      </c>
      <c r="J1487" s="4" t="n">
        <f aca="false">F1487*H1487</f>
        <v>583.8</v>
      </c>
      <c r="K1487" s="4" t="n">
        <f aca="false">I1487-J1487</f>
        <v>360.99</v>
      </c>
      <c r="L1487" s="5" t="n">
        <f aca="false">IFERROR(K1487/I1487,0)</f>
        <v>0.382084907757279</v>
      </c>
    </row>
    <row r="1488" customFormat="false" ht="15" hidden="false" customHeight="false" outlineLevel="0" collapsed="false">
      <c r="A1488" s="2" t="s">
        <v>47</v>
      </c>
      <c r="B1488" s="2" t="s">
        <v>48</v>
      </c>
      <c r="C1488" s="2" t="s">
        <v>26</v>
      </c>
      <c r="D1488" s="2" t="s">
        <v>28</v>
      </c>
      <c r="E1488" s="3" t="n">
        <v>46082</v>
      </c>
      <c r="F1488" s="2" t="n">
        <v>13</v>
      </c>
      <c r="G1488" s="4" t="n">
        <v>34.99</v>
      </c>
      <c r="H1488" s="4" t="n">
        <v>22.6</v>
      </c>
      <c r="I1488" s="4" t="n">
        <f aca="false">F1488*G1488</f>
        <v>454.87</v>
      </c>
      <c r="J1488" s="4" t="n">
        <f aca="false">F1488*H1488</f>
        <v>293.8</v>
      </c>
      <c r="K1488" s="4" t="n">
        <f aca="false">I1488-J1488</f>
        <v>161.07</v>
      </c>
      <c r="L1488" s="5" t="n">
        <f aca="false">IFERROR(K1488/I1488,0)</f>
        <v>0.354101171763361</v>
      </c>
    </row>
    <row r="1489" customFormat="false" ht="15" hidden="false" customHeight="false" outlineLevel="0" collapsed="false">
      <c r="A1489" s="2" t="s">
        <v>47</v>
      </c>
      <c r="B1489" s="2" t="s">
        <v>48</v>
      </c>
      <c r="C1489" s="2" t="s">
        <v>26</v>
      </c>
      <c r="D1489" s="2" t="s">
        <v>29</v>
      </c>
      <c r="E1489" s="3" t="n">
        <v>46082</v>
      </c>
      <c r="F1489" s="2" t="n">
        <v>14</v>
      </c>
      <c r="G1489" s="4" t="n">
        <v>119.99</v>
      </c>
      <c r="H1489" s="4" t="n">
        <v>83.31</v>
      </c>
      <c r="I1489" s="4" t="n">
        <f aca="false">F1489*G1489</f>
        <v>1679.86</v>
      </c>
      <c r="J1489" s="4" t="n">
        <f aca="false">F1489*H1489</f>
        <v>1166.34</v>
      </c>
      <c r="K1489" s="4" t="n">
        <f aca="false">I1489-J1489</f>
        <v>513.52</v>
      </c>
      <c r="L1489" s="5" t="n">
        <f aca="false">IFERROR(K1489/I1489,0)</f>
        <v>0.305692141011751</v>
      </c>
    </row>
    <row r="1490" customFormat="false" ht="15" hidden="false" customHeight="false" outlineLevel="0" collapsed="false">
      <c r="A1490" s="2" t="s">
        <v>47</v>
      </c>
      <c r="B1490" s="2" t="s">
        <v>48</v>
      </c>
      <c r="C1490" s="2" t="s">
        <v>26</v>
      </c>
      <c r="D1490" s="2" t="s">
        <v>30</v>
      </c>
      <c r="E1490" s="3" t="n">
        <v>46082</v>
      </c>
      <c r="F1490" s="2" t="n">
        <v>14</v>
      </c>
      <c r="G1490" s="4" t="n">
        <v>24.99</v>
      </c>
      <c r="H1490" s="4" t="n">
        <v>14.61</v>
      </c>
      <c r="I1490" s="4" t="n">
        <f aca="false">F1490*G1490</f>
        <v>349.86</v>
      </c>
      <c r="J1490" s="4" t="n">
        <f aca="false">F1490*H1490</f>
        <v>204.54</v>
      </c>
      <c r="K1490" s="4" t="n">
        <f aca="false">I1490-J1490</f>
        <v>145.32</v>
      </c>
      <c r="L1490" s="5" t="n">
        <f aca="false">IFERROR(K1490/I1490,0)</f>
        <v>0.415366146458583</v>
      </c>
    </row>
    <row r="1491" customFormat="false" ht="15" hidden="false" customHeight="false" outlineLevel="0" collapsed="false">
      <c r="A1491" s="2" t="s">
        <v>47</v>
      </c>
      <c r="B1491" s="2" t="s">
        <v>48</v>
      </c>
      <c r="C1491" s="2" t="s">
        <v>26</v>
      </c>
      <c r="D1491" s="2" t="s">
        <v>31</v>
      </c>
      <c r="E1491" s="3" t="n">
        <v>46082</v>
      </c>
      <c r="F1491" s="2" t="n">
        <v>9</v>
      </c>
      <c r="G1491" s="4" t="n">
        <v>59.99</v>
      </c>
      <c r="H1491" s="4" t="n">
        <v>38.99</v>
      </c>
      <c r="I1491" s="4" t="n">
        <f aca="false">F1491*G1491</f>
        <v>539.91</v>
      </c>
      <c r="J1491" s="4" t="n">
        <f aca="false">F1491*H1491</f>
        <v>350.91</v>
      </c>
      <c r="K1491" s="4" t="n">
        <f aca="false">I1491-J1491</f>
        <v>189</v>
      </c>
      <c r="L1491" s="5" t="n">
        <f aca="false">IFERROR(K1491/I1491,0)</f>
        <v>0.350058343057176</v>
      </c>
    </row>
    <row r="1492" customFormat="false" ht="15" hidden="false" customHeight="false" outlineLevel="0" collapsed="false">
      <c r="A1492" s="2" t="s">
        <v>47</v>
      </c>
      <c r="B1492" s="2" t="s">
        <v>48</v>
      </c>
      <c r="C1492" s="2" t="s">
        <v>32</v>
      </c>
      <c r="D1492" s="2" t="s">
        <v>33</v>
      </c>
      <c r="E1492" s="3" t="n">
        <v>46082</v>
      </c>
      <c r="F1492" s="2" t="n">
        <v>16</v>
      </c>
      <c r="G1492" s="4" t="n">
        <v>49.99</v>
      </c>
      <c r="H1492" s="4" t="n">
        <v>35.08</v>
      </c>
      <c r="I1492" s="4" t="n">
        <f aca="false">F1492*G1492</f>
        <v>799.84</v>
      </c>
      <c r="J1492" s="4" t="n">
        <f aca="false">F1492*H1492</f>
        <v>561.28</v>
      </c>
      <c r="K1492" s="4" t="n">
        <f aca="false">I1492-J1492</f>
        <v>238.56</v>
      </c>
      <c r="L1492" s="5" t="n">
        <f aca="false">IFERROR(K1492/I1492,0)</f>
        <v>0.298259651930386</v>
      </c>
    </row>
    <row r="1493" customFormat="false" ht="15" hidden="false" customHeight="false" outlineLevel="0" collapsed="false">
      <c r="A1493" s="2" t="s">
        <v>47</v>
      </c>
      <c r="B1493" s="2" t="s">
        <v>48</v>
      </c>
      <c r="C1493" s="2" t="s">
        <v>32</v>
      </c>
      <c r="D1493" s="2" t="s">
        <v>34</v>
      </c>
      <c r="E1493" s="3" t="n">
        <v>46082</v>
      </c>
      <c r="F1493" s="2" t="n">
        <v>15</v>
      </c>
      <c r="G1493" s="4" t="n">
        <v>27.99</v>
      </c>
      <c r="H1493" s="4" t="n">
        <v>20</v>
      </c>
      <c r="I1493" s="4" t="n">
        <f aca="false">F1493*G1493</f>
        <v>419.85</v>
      </c>
      <c r="J1493" s="4" t="n">
        <f aca="false">F1493*H1493</f>
        <v>300</v>
      </c>
      <c r="K1493" s="4" t="n">
        <f aca="false">I1493-J1493</f>
        <v>119.85</v>
      </c>
      <c r="L1493" s="5" t="n">
        <f aca="false">IFERROR(K1493/I1493,0)</f>
        <v>0.285459092533047</v>
      </c>
    </row>
    <row r="1494" customFormat="false" ht="15" hidden="false" customHeight="false" outlineLevel="0" collapsed="false">
      <c r="A1494" s="2" t="s">
        <v>47</v>
      </c>
      <c r="B1494" s="2" t="s">
        <v>48</v>
      </c>
      <c r="C1494" s="2" t="s">
        <v>32</v>
      </c>
      <c r="D1494" s="2" t="s">
        <v>35</v>
      </c>
      <c r="E1494" s="3" t="n">
        <v>46082</v>
      </c>
      <c r="F1494" s="2" t="n">
        <v>14</v>
      </c>
      <c r="G1494" s="4" t="n">
        <v>64.99</v>
      </c>
      <c r="H1494" s="4" t="n">
        <v>46.61</v>
      </c>
      <c r="I1494" s="4" t="n">
        <f aca="false">F1494*G1494</f>
        <v>909.86</v>
      </c>
      <c r="J1494" s="4" t="n">
        <f aca="false">F1494*H1494</f>
        <v>652.54</v>
      </c>
      <c r="K1494" s="4" t="n">
        <f aca="false">I1494-J1494</f>
        <v>257.32</v>
      </c>
      <c r="L1494" s="5" t="n">
        <f aca="false">IFERROR(K1494/I1494,0)</f>
        <v>0.282812740421603</v>
      </c>
    </row>
    <row r="1495" customFormat="false" ht="15" hidden="false" customHeight="false" outlineLevel="0" collapsed="false">
      <c r="A1495" s="2" t="s">
        <v>47</v>
      </c>
      <c r="B1495" s="2" t="s">
        <v>48</v>
      </c>
      <c r="C1495" s="2" t="s">
        <v>32</v>
      </c>
      <c r="D1495" s="2" t="s">
        <v>36</v>
      </c>
      <c r="E1495" s="3" t="n">
        <v>46082</v>
      </c>
      <c r="F1495" s="2" t="n">
        <v>12</v>
      </c>
      <c r="G1495" s="4" t="n">
        <v>22.99</v>
      </c>
      <c r="H1495" s="4" t="n">
        <v>16.81</v>
      </c>
      <c r="I1495" s="4" t="n">
        <f aca="false">F1495*G1495</f>
        <v>275.88</v>
      </c>
      <c r="J1495" s="4" t="n">
        <f aca="false">F1495*H1495</f>
        <v>201.72</v>
      </c>
      <c r="K1495" s="4" t="n">
        <f aca="false">I1495-J1495</f>
        <v>74.16</v>
      </c>
      <c r="L1495" s="5" t="n">
        <f aca="false">IFERROR(K1495/I1495,0)</f>
        <v>0.268812527185733</v>
      </c>
    </row>
    <row r="1496" customFormat="false" ht="15" hidden="false" customHeight="false" outlineLevel="0" collapsed="false">
      <c r="A1496" s="2" t="s">
        <v>47</v>
      </c>
      <c r="B1496" s="2" t="s">
        <v>48</v>
      </c>
      <c r="C1496" s="2" t="s">
        <v>32</v>
      </c>
      <c r="D1496" s="2" t="s">
        <v>37</v>
      </c>
      <c r="E1496" s="3" t="n">
        <v>46082</v>
      </c>
      <c r="F1496" s="2" t="n">
        <v>14</v>
      </c>
      <c r="G1496" s="4" t="n">
        <v>29.99</v>
      </c>
      <c r="H1496" s="4" t="n">
        <v>19.99</v>
      </c>
      <c r="I1496" s="4" t="n">
        <f aca="false">F1496*G1496</f>
        <v>419.86</v>
      </c>
      <c r="J1496" s="4" t="n">
        <f aca="false">F1496*H1496</f>
        <v>279.86</v>
      </c>
      <c r="K1496" s="4" t="n">
        <f aca="false">I1496-J1496</f>
        <v>140</v>
      </c>
      <c r="L1496" s="5" t="n">
        <f aca="false">IFERROR(K1496/I1496,0)</f>
        <v>0.333444481493831</v>
      </c>
    </row>
    <row r="1497" customFormat="false" ht="15" hidden="false" customHeight="false" outlineLevel="0" collapsed="false">
      <c r="A1497" s="2" t="s">
        <v>47</v>
      </c>
      <c r="B1497" s="2" t="s">
        <v>48</v>
      </c>
      <c r="C1497" s="2" t="s">
        <v>38</v>
      </c>
      <c r="D1497" s="2" t="s">
        <v>39</v>
      </c>
      <c r="E1497" s="3" t="n">
        <v>46082</v>
      </c>
      <c r="F1497" s="2" t="n">
        <v>10</v>
      </c>
      <c r="G1497" s="4" t="n">
        <v>129.99</v>
      </c>
      <c r="H1497" s="4" t="n">
        <v>74.29</v>
      </c>
      <c r="I1497" s="4" t="n">
        <f aca="false">F1497*G1497</f>
        <v>1299.9</v>
      </c>
      <c r="J1497" s="4" t="n">
        <f aca="false">F1497*H1497</f>
        <v>742.9</v>
      </c>
      <c r="K1497" s="4" t="n">
        <f aca="false">I1497-J1497</f>
        <v>557</v>
      </c>
      <c r="L1497" s="5" t="n">
        <f aca="false">IFERROR(K1497/I1497,0)</f>
        <v>0.428494499576891</v>
      </c>
    </row>
    <row r="1498" customFormat="false" ht="15" hidden="false" customHeight="false" outlineLevel="0" collapsed="false">
      <c r="A1498" s="2" t="s">
        <v>47</v>
      </c>
      <c r="B1498" s="2" t="s">
        <v>48</v>
      </c>
      <c r="C1498" s="2" t="s">
        <v>38</v>
      </c>
      <c r="D1498" s="2" t="s">
        <v>40</v>
      </c>
      <c r="E1498" s="3" t="n">
        <v>46082</v>
      </c>
      <c r="F1498" s="2" t="n">
        <v>10</v>
      </c>
      <c r="G1498" s="4" t="n">
        <v>74.99</v>
      </c>
      <c r="H1498" s="4" t="n">
        <v>41.39</v>
      </c>
      <c r="I1498" s="4" t="n">
        <f aca="false">F1498*G1498</f>
        <v>749.9</v>
      </c>
      <c r="J1498" s="4" t="n">
        <f aca="false">F1498*H1498</f>
        <v>413.9</v>
      </c>
      <c r="K1498" s="4" t="n">
        <f aca="false">I1498-J1498</f>
        <v>336</v>
      </c>
      <c r="L1498" s="5" t="n">
        <f aca="false">IFERROR(K1498/I1498,0)</f>
        <v>0.44805974129884</v>
      </c>
    </row>
    <row r="1499" customFormat="false" ht="15" hidden="false" customHeight="false" outlineLevel="0" collapsed="false">
      <c r="A1499" s="2" t="s">
        <v>47</v>
      </c>
      <c r="B1499" s="2" t="s">
        <v>48</v>
      </c>
      <c r="C1499" s="2" t="s">
        <v>38</v>
      </c>
      <c r="D1499" s="2" t="s">
        <v>41</v>
      </c>
      <c r="E1499" s="3" t="n">
        <v>46082</v>
      </c>
      <c r="F1499" s="2" t="n">
        <v>24</v>
      </c>
      <c r="G1499" s="4" t="n">
        <v>19.99</v>
      </c>
      <c r="H1499" s="4" t="n">
        <v>9.32</v>
      </c>
      <c r="I1499" s="4" t="n">
        <f aca="false">F1499*G1499</f>
        <v>479.76</v>
      </c>
      <c r="J1499" s="4" t="n">
        <f aca="false">F1499*H1499</f>
        <v>223.68</v>
      </c>
      <c r="K1499" s="4" t="n">
        <f aca="false">I1499-J1499</f>
        <v>256.08</v>
      </c>
      <c r="L1499" s="5" t="n">
        <f aca="false">IFERROR(K1499/I1499,0)</f>
        <v>0.533766883441721</v>
      </c>
    </row>
    <row r="1500" customFormat="false" ht="15" hidden="false" customHeight="false" outlineLevel="0" collapsed="false">
      <c r="A1500" s="2" t="s">
        <v>47</v>
      </c>
      <c r="B1500" s="2" t="s">
        <v>48</v>
      </c>
      <c r="C1500" s="2" t="s">
        <v>38</v>
      </c>
      <c r="D1500" s="2" t="s">
        <v>42</v>
      </c>
      <c r="E1500" s="3" t="n">
        <v>46082</v>
      </c>
      <c r="F1500" s="2" t="n">
        <v>10</v>
      </c>
      <c r="G1500" s="4" t="n">
        <v>16.99</v>
      </c>
      <c r="H1500" s="4" t="n">
        <v>8.58</v>
      </c>
      <c r="I1500" s="4" t="n">
        <f aca="false">F1500*G1500</f>
        <v>169.9</v>
      </c>
      <c r="J1500" s="4" t="n">
        <f aca="false">F1500*H1500</f>
        <v>85.8</v>
      </c>
      <c r="K1500" s="4" t="n">
        <f aca="false">I1500-J1500</f>
        <v>84.1</v>
      </c>
      <c r="L1500" s="5" t="n">
        <f aca="false">IFERROR(K1500/I1500,0)</f>
        <v>0.494997057092407</v>
      </c>
    </row>
    <row r="1501" customFormat="false" ht="15" hidden="false" customHeight="false" outlineLevel="0" collapsed="false">
      <c r="A1501" s="2" t="s">
        <v>47</v>
      </c>
      <c r="B1501" s="2" t="s">
        <v>48</v>
      </c>
      <c r="C1501" s="2" t="s">
        <v>38</v>
      </c>
      <c r="D1501" s="2" t="s">
        <v>43</v>
      </c>
      <c r="E1501" s="3" t="n">
        <v>46082</v>
      </c>
      <c r="F1501" s="2" t="n">
        <v>9</v>
      </c>
      <c r="G1501" s="4" t="n">
        <v>24.99</v>
      </c>
      <c r="H1501" s="4" t="n">
        <v>12.89</v>
      </c>
      <c r="I1501" s="4" t="n">
        <f aca="false">F1501*G1501</f>
        <v>224.91</v>
      </c>
      <c r="J1501" s="4" t="n">
        <f aca="false">F1501*H1501</f>
        <v>116.01</v>
      </c>
      <c r="K1501" s="4" t="n">
        <f aca="false">I1501-J1501</f>
        <v>108.9</v>
      </c>
      <c r="L1501" s="5" t="n">
        <f aca="false">IFERROR(K1501/I1501,0)</f>
        <v>0.484193677470988</v>
      </c>
    </row>
    <row r="1502" customFormat="false" ht="15" hidden="false" customHeight="false" outlineLevel="0" collapsed="false">
      <c r="A1502" s="2" t="s">
        <v>47</v>
      </c>
      <c r="B1502" s="2" t="s">
        <v>49</v>
      </c>
      <c r="C1502" s="2" t="s">
        <v>14</v>
      </c>
      <c r="D1502" s="2" t="s">
        <v>15</v>
      </c>
      <c r="E1502" s="3" t="n">
        <v>46082</v>
      </c>
      <c r="F1502" s="2" t="n">
        <v>7</v>
      </c>
      <c r="G1502" s="4" t="n">
        <v>69.99</v>
      </c>
      <c r="H1502" s="4" t="n">
        <v>34.38</v>
      </c>
      <c r="I1502" s="4" t="n">
        <f aca="false">F1502*G1502</f>
        <v>489.93</v>
      </c>
      <c r="J1502" s="4" t="n">
        <f aca="false">F1502*H1502</f>
        <v>240.66</v>
      </c>
      <c r="K1502" s="4" t="n">
        <f aca="false">I1502-J1502</f>
        <v>249.27</v>
      </c>
      <c r="L1502" s="5" t="n">
        <f aca="false">IFERROR(K1502/I1502,0)</f>
        <v>0.508786969567081</v>
      </c>
    </row>
    <row r="1503" customFormat="false" ht="15" hidden="false" customHeight="false" outlineLevel="0" collapsed="false">
      <c r="A1503" s="2" t="s">
        <v>47</v>
      </c>
      <c r="B1503" s="2" t="s">
        <v>49</v>
      </c>
      <c r="C1503" s="2" t="s">
        <v>14</v>
      </c>
      <c r="D1503" s="2" t="s">
        <v>16</v>
      </c>
      <c r="E1503" s="3" t="n">
        <v>46082</v>
      </c>
      <c r="F1503" s="2" t="n">
        <v>16</v>
      </c>
      <c r="G1503" s="4" t="n">
        <v>19.99</v>
      </c>
      <c r="H1503" s="4" t="n">
        <v>8.86</v>
      </c>
      <c r="I1503" s="4" t="n">
        <f aca="false">F1503*G1503</f>
        <v>319.84</v>
      </c>
      <c r="J1503" s="4" t="n">
        <f aca="false">F1503*H1503</f>
        <v>141.76</v>
      </c>
      <c r="K1503" s="4" t="n">
        <f aca="false">I1503-J1503</f>
        <v>178.08</v>
      </c>
      <c r="L1503" s="5" t="n">
        <f aca="false">IFERROR(K1503/I1503,0)</f>
        <v>0.556778389194597</v>
      </c>
    </row>
    <row r="1504" customFormat="false" ht="15" hidden="false" customHeight="false" outlineLevel="0" collapsed="false">
      <c r="A1504" s="2" t="s">
        <v>47</v>
      </c>
      <c r="B1504" s="2" t="s">
        <v>49</v>
      </c>
      <c r="C1504" s="2" t="s">
        <v>14</v>
      </c>
      <c r="D1504" s="2" t="s">
        <v>17</v>
      </c>
      <c r="E1504" s="3" t="n">
        <v>46082</v>
      </c>
      <c r="F1504" s="2" t="n">
        <v>21</v>
      </c>
      <c r="G1504" s="4" t="n">
        <v>79.99</v>
      </c>
      <c r="H1504" s="4" t="n">
        <v>39.79</v>
      </c>
      <c r="I1504" s="4" t="n">
        <f aca="false">F1504*G1504</f>
        <v>1679.79</v>
      </c>
      <c r="J1504" s="4" t="n">
        <f aca="false">F1504*H1504</f>
        <v>835.59</v>
      </c>
      <c r="K1504" s="4" t="n">
        <f aca="false">I1504-J1504</f>
        <v>844.2</v>
      </c>
      <c r="L1504" s="5" t="n">
        <f aca="false">IFERROR(K1504/I1504,0)</f>
        <v>0.502562820352544</v>
      </c>
    </row>
    <row r="1505" customFormat="false" ht="15" hidden="false" customHeight="false" outlineLevel="0" collapsed="false">
      <c r="A1505" s="2" t="s">
        <v>47</v>
      </c>
      <c r="B1505" s="2" t="s">
        <v>49</v>
      </c>
      <c r="C1505" s="2" t="s">
        <v>14</v>
      </c>
      <c r="D1505" s="2" t="s">
        <v>18</v>
      </c>
      <c r="E1505" s="3" t="n">
        <v>46082</v>
      </c>
      <c r="F1505" s="2" t="n">
        <v>9</v>
      </c>
      <c r="G1505" s="4" t="n">
        <v>34.99</v>
      </c>
      <c r="H1505" s="4" t="n">
        <v>14.75</v>
      </c>
      <c r="I1505" s="4" t="n">
        <f aca="false">F1505*G1505</f>
        <v>314.91</v>
      </c>
      <c r="J1505" s="4" t="n">
        <f aca="false">F1505*H1505</f>
        <v>132.75</v>
      </c>
      <c r="K1505" s="4" t="n">
        <f aca="false">I1505-J1505</f>
        <v>182.16</v>
      </c>
      <c r="L1505" s="5" t="n">
        <f aca="false">IFERROR(K1505/I1505,0)</f>
        <v>0.578450985995999</v>
      </c>
    </row>
    <row r="1506" customFormat="false" ht="15" hidden="false" customHeight="false" outlineLevel="0" collapsed="false">
      <c r="A1506" s="2" t="s">
        <v>47</v>
      </c>
      <c r="B1506" s="2" t="s">
        <v>49</v>
      </c>
      <c r="C1506" s="2" t="s">
        <v>14</v>
      </c>
      <c r="D1506" s="2" t="s">
        <v>19</v>
      </c>
      <c r="E1506" s="3" t="n">
        <v>46082</v>
      </c>
      <c r="F1506" s="2" t="n">
        <v>7</v>
      </c>
      <c r="G1506" s="4" t="n">
        <v>54.99</v>
      </c>
      <c r="H1506" s="4" t="n">
        <v>24.54</v>
      </c>
      <c r="I1506" s="4" t="n">
        <f aca="false">F1506*G1506</f>
        <v>384.93</v>
      </c>
      <c r="J1506" s="4" t="n">
        <f aca="false">F1506*H1506</f>
        <v>171.78</v>
      </c>
      <c r="K1506" s="4" t="n">
        <f aca="false">I1506-J1506</f>
        <v>213.15</v>
      </c>
      <c r="L1506" s="5" t="n">
        <f aca="false">IFERROR(K1506/I1506,0)</f>
        <v>0.553737043098745</v>
      </c>
    </row>
    <row r="1507" customFormat="false" ht="15" hidden="false" customHeight="false" outlineLevel="0" collapsed="false">
      <c r="A1507" s="2" t="s">
        <v>47</v>
      </c>
      <c r="B1507" s="2" t="s">
        <v>49</v>
      </c>
      <c r="C1507" s="2" t="s">
        <v>20</v>
      </c>
      <c r="D1507" s="2" t="s">
        <v>21</v>
      </c>
      <c r="E1507" s="3" t="n">
        <v>46082</v>
      </c>
      <c r="F1507" s="2" t="n">
        <v>12</v>
      </c>
      <c r="G1507" s="4" t="n">
        <v>44.99</v>
      </c>
      <c r="H1507" s="4" t="n">
        <v>20.47</v>
      </c>
      <c r="I1507" s="4" t="n">
        <f aca="false">F1507*G1507</f>
        <v>539.88</v>
      </c>
      <c r="J1507" s="4" t="n">
        <f aca="false">F1507*H1507</f>
        <v>245.64</v>
      </c>
      <c r="K1507" s="4" t="n">
        <f aca="false">I1507-J1507</f>
        <v>294.24</v>
      </c>
      <c r="L1507" s="5" t="n">
        <f aca="false">IFERROR(K1507/I1507,0)</f>
        <v>0.545010002222716</v>
      </c>
    </row>
    <row r="1508" customFormat="false" ht="15" hidden="false" customHeight="false" outlineLevel="0" collapsed="false">
      <c r="A1508" s="2" t="s">
        <v>47</v>
      </c>
      <c r="B1508" s="2" t="s">
        <v>49</v>
      </c>
      <c r="C1508" s="2" t="s">
        <v>20</v>
      </c>
      <c r="D1508" s="2" t="s">
        <v>22</v>
      </c>
      <c r="E1508" s="3" t="n">
        <v>46082</v>
      </c>
      <c r="F1508" s="2" t="n">
        <v>14</v>
      </c>
      <c r="G1508" s="4" t="n">
        <v>14.99</v>
      </c>
      <c r="H1508" s="4" t="n">
        <v>5.81</v>
      </c>
      <c r="I1508" s="4" t="n">
        <f aca="false">F1508*G1508</f>
        <v>209.86</v>
      </c>
      <c r="J1508" s="4" t="n">
        <f aca="false">F1508*H1508</f>
        <v>81.34</v>
      </c>
      <c r="K1508" s="4" t="n">
        <f aca="false">I1508-J1508</f>
        <v>128.52</v>
      </c>
      <c r="L1508" s="5" t="n">
        <f aca="false">IFERROR(K1508/I1508,0)</f>
        <v>0.612408272181454</v>
      </c>
    </row>
    <row r="1509" customFormat="false" ht="15" hidden="false" customHeight="false" outlineLevel="0" collapsed="false">
      <c r="A1509" s="2" t="s">
        <v>47</v>
      </c>
      <c r="B1509" s="2" t="s">
        <v>49</v>
      </c>
      <c r="C1509" s="2" t="s">
        <v>20</v>
      </c>
      <c r="D1509" s="2" t="s">
        <v>23</v>
      </c>
      <c r="E1509" s="3" t="n">
        <v>46082</v>
      </c>
      <c r="F1509" s="2" t="n">
        <v>9</v>
      </c>
      <c r="G1509" s="4" t="n">
        <v>39.99</v>
      </c>
      <c r="H1509" s="4" t="n">
        <v>16.97</v>
      </c>
      <c r="I1509" s="4" t="n">
        <f aca="false">F1509*G1509</f>
        <v>359.91</v>
      </c>
      <c r="J1509" s="4" t="n">
        <f aca="false">F1509*H1509</f>
        <v>152.73</v>
      </c>
      <c r="K1509" s="4" t="n">
        <f aca="false">I1509-J1509</f>
        <v>207.18</v>
      </c>
      <c r="L1509" s="5" t="n">
        <f aca="false">IFERROR(K1509/I1509,0)</f>
        <v>0.575643910977745</v>
      </c>
    </row>
    <row r="1510" customFormat="false" ht="15" hidden="false" customHeight="false" outlineLevel="0" collapsed="false">
      <c r="A1510" s="2" t="s">
        <v>47</v>
      </c>
      <c r="B1510" s="2" t="s">
        <v>49</v>
      </c>
      <c r="C1510" s="2" t="s">
        <v>20</v>
      </c>
      <c r="D1510" s="2" t="s">
        <v>24</v>
      </c>
      <c r="E1510" s="3" t="n">
        <v>46082</v>
      </c>
      <c r="F1510" s="2" t="n">
        <v>16</v>
      </c>
      <c r="G1510" s="4" t="n">
        <v>18.99</v>
      </c>
      <c r="H1510" s="4" t="n">
        <v>7.58</v>
      </c>
      <c r="I1510" s="4" t="n">
        <f aca="false">F1510*G1510</f>
        <v>303.84</v>
      </c>
      <c r="J1510" s="4" t="n">
        <f aca="false">F1510*H1510</f>
        <v>121.28</v>
      </c>
      <c r="K1510" s="4" t="n">
        <f aca="false">I1510-J1510</f>
        <v>182.56</v>
      </c>
      <c r="L1510" s="5" t="n">
        <f aca="false">IFERROR(K1510/I1510,0)</f>
        <v>0.600842548709847</v>
      </c>
    </row>
    <row r="1511" customFormat="false" ht="15" hidden="false" customHeight="false" outlineLevel="0" collapsed="false">
      <c r="A1511" s="2" t="s">
        <v>47</v>
      </c>
      <c r="B1511" s="2" t="s">
        <v>49</v>
      </c>
      <c r="C1511" s="2" t="s">
        <v>20</v>
      </c>
      <c r="D1511" s="2" t="s">
        <v>25</v>
      </c>
      <c r="E1511" s="3" t="n">
        <v>46082</v>
      </c>
      <c r="F1511" s="2" t="n">
        <v>9</v>
      </c>
      <c r="G1511" s="4" t="n">
        <v>42.99</v>
      </c>
      <c r="H1511" s="4" t="n">
        <v>16.05</v>
      </c>
      <c r="I1511" s="4" t="n">
        <f aca="false">F1511*G1511</f>
        <v>386.91</v>
      </c>
      <c r="J1511" s="4" t="n">
        <f aca="false">F1511*H1511</f>
        <v>144.45</v>
      </c>
      <c r="K1511" s="4" t="n">
        <f aca="false">I1511-J1511</f>
        <v>242.46</v>
      </c>
      <c r="L1511" s="5" t="n">
        <f aca="false">IFERROR(K1511/I1511,0)</f>
        <v>0.626657362177251</v>
      </c>
    </row>
    <row r="1512" customFormat="false" ht="15" hidden="false" customHeight="false" outlineLevel="0" collapsed="false">
      <c r="A1512" s="2" t="s">
        <v>47</v>
      </c>
      <c r="B1512" s="2" t="s">
        <v>49</v>
      </c>
      <c r="C1512" s="2" t="s">
        <v>26</v>
      </c>
      <c r="D1512" s="2" t="s">
        <v>27</v>
      </c>
      <c r="E1512" s="3" t="n">
        <v>46082</v>
      </c>
      <c r="F1512" s="2" t="n">
        <v>9</v>
      </c>
      <c r="G1512" s="4" t="n">
        <v>44.99</v>
      </c>
      <c r="H1512" s="4" t="n">
        <v>27.26</v>
      </c>
      <c r="I1512" s="4" t="n">
        <f aca="false">F1512*G1512</f>
        <v>404.91</v>
      </c>
      <c r="J1512" s="4" t="n">
        <f aca="false">F1512*H1512</f>
        <v>245.34</v>
      </c>
      <c r="K1512" s="4" t="n">
        <f aca="false">I1512-J1512</f>
        <v>159.57</v>
      </c>
      <c r="L1512" s="5" t="n">
        <f aca="false">IFERROR(K1512/I1512,0)</f>
        <v>0.39408757501667</v>
      </c>
    </row>
    <row r="1513" customFormat="false" ht="15" hidden="false" customHeight="false" outlineLevel="0" collapsed="false">
      <c r="A1513" s="2" t="s">
        <v>47</v>
      </c>
      <c r="B1513" s="2" t="s">
        <v>49</v>
      </c>
      <c r="C1513" s="2" t="s">
        <v>26</v>
      </c>
      <c r="D1513" s="2" t="s">
        <v>28</v>
      </c>
      <c r="E1513" s="3" t="n">
        <v>46082</v>
      </c>
      <c r="F1513" s="2" t="n">
        <v>9</v>
      </c>
      <c r="G1513" s="4" t="n">
        <v>34.99</v>
      </c>
      <c r="H1513" s="4" t="n">
        <v>22.93</v>
      </c>
      <c r="I1513" s="4" t="n">
        <f aca="false">F1513*G1513</f>
        <v>314.91</v>
      </c>
      <c r="J1513" s="4" t="n">
        <f aca="false">F1513*H1513</f>
        <v>206.37</v>
      </c>
      <c r="K1513" s="4" t="n">
        <f aca="false">I1513-J1513</f>
        <v>108.54</v>
      </c>
      <c r="L1513" s="5" t="n">
        <f aca="false">IFERROR(K1513/I1513,0)</f>
        <v>0.344669905687339</v>
      </c>
    </row>
    <row r="1514" customFormat="false" ht="15" hidden="false" customHeight="false" outlineLevel="0" collapsed="false">
      <c r="A1514" s="2" t="s">
        <v>47</v>
      </c>
      <c r="B1514" s="2" t="s">
        <v>49</v>
      </c>
      <c r="C1514" s="2" t="s">
        <v>26</v>
      </c>
      <c r="D1514" s="2" t="s">
        <v>29</v>
      </c>
      <c r="E1514" s="3" t="n">
        <v>46082</v>
      </c>
      <c r="F1514" s="2" t="n">
        <v>11</v>
      </c>
      <c r="G1514" s="4" t="n">
        <v>119.99</v>
      </c>
      <c r="H1514" s="4" t="n">
        <v>79.3</v>
      </c>
      <c r="I1514" s="4" t="n">
        <f aca="false">F1514*G1514</f>
        <v>1319.89</v>
      </c>
      <c r="J1514" s="4" t="n">
        <f aca="false">F1514*H1514</f>
        <v>872.3</v>
      </c>
      <c r="K1514" s="4" t="n">
        <f aca="false">I1514-J1514</f>
        <v>447.59</v>
      </c>
      <c r="L1514" s="5" t="n">
        <f aca="false">IFERROR(K1514/I1514,0)</f>
        <v>0.339111592632719</v>
      </c>
    </row>
    <row r="1515" customFormat="false" ht="15" hidden="false" customHeight="false" outlineLevel="0" collapsed="false">
      <c r="A1515" s="2" t="s">
        <v>47</v>
      </c>
      <c r="B1515" s="2" t="s">
        <v>49</v>
      </c>
      <c r="C1515" s="2" t="s">
        <v>26</v>
      </c>
      <c r="D1515" s="2" t="s">
        <v>30</v>
      </c>
      <c r="E1515" s="3" t="n">
        <v>46082</v>
      </c>
      <c r="F1515" s="2" t="n">
        <v>21</v>
      </c>
      <c r="G1515" s="4" t="n">
        <v>24.99</v>
      </c>
      <c r="H1515" s="4" t="n">
        <v>14.57</v>
      </c>
      <c r="I1515" s="4" t="n">
        <f aca="false">F1515*G1515</f>
        <v>524.79</v>
      </c>
      <c r="J1515" s="4" t="n">
        <f aca="false">F1515*H1515</f>
        <v>305.97</v>
      </c>
      <c r="K1515" s="4" t="n">
        <f aca="false">I1515-J1515</f>
        <v>218.82</v>
      </c>
      <c r="L1515" s="5" t="n">
        <f aca="false">IFERROR(K1515/I1515,0)</f>
        <v>0.416966786714686</v>
      </c>
    </row>
    <row r="1516" customFormat="false" ht="15" hidden="false" customHeight="false" outlineLevel="0" collapsed="false">
      <c r="A1516" s="2" t="s">
        <v>47</v>
      </c>
      <c r="B1516" s="2" t="s">
        <v>49</v>
      </c>
      <c r="C1516" s="2" t="s">
        <v>26</v>
      </c>
      <c r="D1516" s="2" t="s">
        <v>31</v>
      </c>
      <c r="E1516" s="3" t="n">
        <v>46082</v>
      </c>
      <c r="F1516" s="2" t="n">
        <v>17</v>
      </c>
      <c r="G1516" s="4" t="n">
        <v>59.99</v>
      </c>
      <c r="H1516" s="4" t="n">
        <v>38.88</v>
      </c>
      <c r="I1516" s="4" t="n">
        <f aca="false">F1516*G1516</f>
        <v>1019.83</v>
      </c>
      <c r="J1516" s="4" t="n">
        <f aca="false">F1516*H1516</f>
        <v>660.96</v>
      </c>
      <c r="K1516" s="4" t="n">
        <f aca="false">I1516-J1516</f>
        <v>358.87</v>
      </c>
      <c r="L1516" s="5" t="n">
        <f aca="false">IFERROR(K1516/I1516,0)</f>
        <v>0.351891981997</v>
      </c>
    </row>
    <row r="1517" customFormat="false" ht="15" hidden="false" customHeight="false" outlineLevel="0" collapsed="false">
      <c r="A1517" s="2" t="s">
        <v>47</v>
      </c>
      <c r="B1517" s="2" t="s">
        <v>49</v>
      </c>
      <c r="C1517" s="2" t="s">
        <v>32</v>
      </c>
      <c r="D1517" s="2" t="s">
        <v>33</v>
      </c>
      <c r="E1517" s="3" t="n">
        <v>46082</v>
      </c>
      <c r="F1517" s="2" t="n">
        <v>12</v>
      </c>
      <c r="G1517" s="4" t="n">
        <v>49.99</v>
      </c>
      <c r="H1517" s="4" t="n">
        <v>35.44</v>
      </c>
      <c r="I1517" s="4" t="n">
        <f aca="false">F1517*G1517</f>
        <v>599.88</v>
      </c>
      <c r="J1517" s="4" t="n">
        <f aca="false">F1517*H1517</f>
        <v>425.28</v>
      </c>
      <c r="K1517" s="4" t="n">
        <f aca="false">I1517-J1517</f>
        <v>174.6</v>
      </c>
      <c r="L1517" s="5" t="n">
        <f aca="false">IFERROR(K1517/I1517,0)</f>
        <v>0.291058211642329</v>
      </c>
    </row>
    <row r="1518" customFormat="false" ht="15" hidden="false" customHeight="false" outlineLevel="0" collapsed="false">
      <c r="A1518" s="2" t="s">
        <v>47</v>
      </c>
      <c r="B1518" s="2" t="s">
        <v>49</v>
      </c>
      <c r="C1518" s="2" t="s">
        <v>32</v>
      </c>
      <c r="D1518" s="2" t="s">
        <v>34</v>
      </c>
      <c r="E1518" s="3" t="n">
        <v>46082</v>
      </c>
      <c r="F1518" s="2" t="n">
        <v>18</v>
      </c>
      <c r="G1518" s="4" t="n">
        <v>27.99</v>
      </c>
      <c r="H1518" s="4" t="n">
        <v>19.31</v>
      </c>
      <c r="I1518" s="4" t="n">
        <f aca="false">F1518*G1518</f>
        <v>503.82</v>
      </c>
      <c r="J1518" s="4" t="n">
        <f aca="false">F1518*H1518</f>
        <v>347.58</v>
      </c>
      <c r="K1518" s="4" t="n">
        <f aca="false">I1518-J1518</f>
        <v>156.24</v>
      </c>
      <c r="L1518" s="5" t="n">
        <f aca="false">IFERROR(K1518/I1518,0)</f>
        <v>0.310110753840657</v>
      </c>
    </row>
    <row r="1519" customFormat="false" ht="15" hidden="false" customHeight="false" outlineLevel="0" collapsed="false">
      <c r="A1519" s="2" t="s">
        <v>47</v>
      </c>
      <c r="B1519" s="2" t="s">
        <v>49</v>
      </c>
      <c r="C1519" s="2" t="s">
        <v>32</v>
      </c>
      <c r="D1519" s="2" t="s">
        <v>35</v>
      </c>
      <c r="E1519" s="3" t="n">
        <v>46082</v>
      </c>
      <c r="F1519" s="2" t="n">
        <v>7</v>
      </c>
      <c r="G1519" s="4" t="n">
        <v>64.99</v>
      </c>
      <c r="H1519" s="4" t="n">
        <v>46.47</v>
      </c>
      <c r="I1519" s="4" t="n">
        <f aca="false">F1519*G1519</f>
        <v>454.93</v>
      </c>
      <c r="J1519" s="4" t="n">
        <f aca="false">F1519*H1519</f>
        <v>325.29</v>
      </c>
      <c r="K1519" s="4" t="n">
        <f aca="false">I1519-J1519</f>
        <v>129.64</v>
      </c>
      <c r="L1519" s="5" t="n">
        <f aca="false">IFERROR(K1519/I1519,0)</f>
        <v>0.284966917987383</v>
      </c>
    </row>
    <row r="1520" customFormat="false" ht="15" hidden="false" customHeight="false" outlineLevel="0" collapsed="false">
      <c r="A1520" s="2" t="s">
        <v>47</v>
      </c>
      <c r="B1520" s="2" t="s">
        <v>49</v>
      </c>
      <c r="C1520" s="2" t="s">
        <v>32</v>
      </c>
      <c r="D1520" s="2" t="s">
        <v>36</v>
      </c>
      <c r="E1520" s="3" t="n">
        <v>46082</v>
      </c>
      <c r="F1520" s="2" t="n">
        <v>17</v>
      </c>
      <c r="G1520" s="4" t="n">
        <v>22.99</v>
      </c>
      <c r="H1520" s="4" t="n">
        <v>17.07</v>
      </c>
      <c r="I1520" s="4" t="n">
        <f aca="false">F1520*G1520</f>
        <v>390.83</v>
      </c>
      <c r="J1520" s="4" t="n">
        <f aca="false">F1520*H1520</f>
        <v>290.19</v>
      </c>
      <c r="K1520" s="4" t="n">
        <f aca="false">I1520-J1520</f>
        <v>100.64</v>
      </c>
      <c r="L1520" s="5" t="n">
        <f aca="false">IFERROR(K1520/I1520,0)</f>
        <v>0.257503262287951</v>
      </c>
    </row>
    <row r="1521" customFormat="false" ht="15" hidden="false" customHeight="false" outlineLevel="0" collapsed="false">
      <c r="A1521" s="2" t="s">
        <v>47</v>
      </c>
      <c r="B1521" s="2" t="s">
        <v>49</v>
      </c>
      <c r="C1521" s="2" t="s">
        <v>32</v>
      </c>
      <c r="D1521" s="2" t="s">
        <v>37</v>
      </c>
      <c r="E1521" s="3" t="n">
        <v>46082</v>
      </c>
      <c r="F1521" s="2" t="n">
        <v>11</v>
      </c>
      <c r="G1521" s="4" t="n">
        <v>29.99</v>
      </c>
      <c r="H1521" s="4" t="n">
        <v>20.37</v>
      </c>
      <c r="I1521" s="4" t="n">
        <f aca="false">F1521*G1521</f>
        <v>329.89</v>
      </c>
      <c r="J1521" s="4" t="n">
        <f aca="false">F1521*H1521</f>
        <v>224.07</v>
      </c>
      <c r="K1521" s="4" t="n">
        <f aca="false">I1521-J1521</f>
        <v>105.82</v>
      </c>
      <c r="L1521" s="5" t="n">
        <f aca="false">IFERROR(K1521/I1521,0)</f>
        <v>0.320773591197066</v>
      </c>
    </row>
    <row r="1522" customFormat="false" ht="15" hidden="false" customHeight="false" outlineLevel="0" collapsed="false">
      <c r="A1522" s="2" t="s">
        <v>47</v>
      </c>
      <c r="B1522" s="2" t="s">
        <v>49</v>
      </c>
      <c r="C1522" s="2" t="s">
        <v>38</v>
      </c>
      <c r="D1522" s="2" t="s">
        <v>39</v>
      </c>
      <c r="E1522" s="3" t="n">
        <v>46082</v>
      </c>
      <c r="F1522" s="2" t="n">
        <v>10</v>
      </c>
      <c r="G1522" s="4" t="n">
        <v>129.99</v>
      </c>
      <c r="H1522" s="4" t="n">
        <v>74.85</v>
      </c>
      <c r="I1522" s="4" t="n">
        <f aca="false">F1522*G1522</f>
        <v>1299.9</v>
      </c>
      <c r="J1522" s="4" t="n">
        <f aca="false">F1522*H1522</f>
        <v>748.5</v>
      </c>
      <c r="K1522" s="4" t="n">
        <f aca="false">I1522-J1522</f>
        <v>551.4</v>
      </c>
      <c r="L1522" s="5" t="n">
        <f aca="false">IFERROR(K1522/I1522,0)</f>
        <v>0.42418647588276</v>
      </c>
    </row>
    <row r="1523" customFormat="false" ht="15" hidden="false" customHeight="false" outlineLevel="0" collapsed="false">
      <c r="A1523" s="2" t="s">
        <v>47</v>
      </c>
      <c r="B1523" s="2" t="s">
        <v>49</v>
      </c>
      <c r="C1523" s="2" t="s">
        <v>38</v>
      </c>
      <c r="D1523" s="2" t="s">
        <v>40</v>
      </c>
      <c r="E1523" s="3" t="n">
        <v>46082</v>
      </c>
      <c r="F1523" s="2" t="n">
        <v>11</v>
      </c>
      <c r="G1523" s="4" t="n">
        <v>74.99</v>
      </c>
      <c r="H1523" s="4" t="n">
        <v>40.75</v>
      </c>
      <c r="I1523" s="4" t="n">
        <f aca="false">F1523*G1523</f>
        <v>824.89</v>
      </c>
      <c r="J1523" s="4" t="n">
        <f aca="false">F1523*H1523</f>
        <v>448.25</v>
      </c>
      <c r="K1523" s="4" t="n">
        <f aca="false">I1523-J1523</f>
        <v>376.64</v>
      </c>
      <c r="L1523" s="5" t="n">
        <f aca="false">IFERROR(K1523/I1523,0)</f>
        <v>0.456594212561675</v>
      </c>
    </row>
    <row r="1524" customFormat="false" ht="15" hidden="false" customHeight="false" outlineLevel="0" collapsed="false">
      <c r="A1524" s="2" t="s">
        <v>47</v>
      </c>
      <c r="B1524" s="2" t="s">
        <v>49</v>
      </c>
      <c r="C1524" s="2" t="s">
        <v>38</v>
      </c>
      <c r="D1524" s="2" t="s">
        <v>41</v>
      </c>
      <c r="E1524" s="3" t="n">
        <v>46082</v>
      </c>
      <c r="F1524" s="2" t="n">
        <v>9</v>
      </c>
      <c r="G1524" s="4" t="n">
        <v>19.99</v>
      </c>
      <c r="H1524" s="4" t="n">
        <v>9.65</v>
      </c>
      <c r="I1524" s="4" t="n">
        <f aca="false">F1524*G1524</f>
        <v>179.91</v>
      </c>
      <c r="J1524" s="4" t="n">
        <f aca="false">F1524*H1524</f>
        <v>86.85</v>
      </c>
      <c r="K1524" s="4" t="n">
        <f aca="false">I1524-J1524</f>
        <v>93.06</v>
      </c>
      <c r="L1524" s="5" t="n">
        <f aca="false">IFERROR(K1524/I1524,0)</f>
        <v>0.517258629314657</v>
      </c>
    </row>
    <row r="1525" customFormat="false" ht="15" hidden="false" customHeight="false" outlineLevel="0" collapsed="false">
      <c r="A1525" s="2" t="s">
        <v>47</v>
      </c>
      <c r="B1525" s="2" t="s">
        <v>49</v>
      </c>
      <c r="C1525" s="2" t="s">
        <v>38</v>
      </c>
      <c r="D1525" s="2" t="s">
        <v>42</v>
      </c>
      <c r="E1525" s="3" t="n">
        <v>46082</v>
      </c>
      <c r="F1525" s="2" t="n">
        <v>16</v>
      </c>
      <c r="G1525" s="4" t="n">
        <v>16.99</v>
      </c>
      <c r="H1525" s="4" t="n">
        <v>8.56</v>
      </c>
      <c r="I1525" s="4" t="n">
        <f aca="false">F1525*G1525</f>
        <v>271.84</v>
      </c>
      <c r="J1525" s="4" t="n">
        <f aca="false">F1525*H1525</f>
        <v>136.96</v>
      </c>
      <c r="K1525" s="4" t="n">
        <f aca="false">I1525-J1525</f>
        <v>134.88</v>
      </c>
      <c r="L1525" s="5" t="n">
        <f aca="false">IFERROR(K1525/I1525,0)</f>
        <v>0.496174220129488</v>
      </c>
    </row>
    <row r="1526" customFormat="false" ht="15" hidden="false" customHeight="false" outlineLevel="0" collapsed="false">
      <c r="A1526" s="2" t="s">
        <v>47</v>
      </c>
      <c r="B1526" s="2" t="s">
        <v>49</v>
      </c>
      <c r="C1526" s="2" t="s">
        <v>38</v>
      </c>
      <c r="D1526" s="2" t="s">
        <v>43</v>
      </c>
      <c r="E1526" s="3" t="n">
        <v>46082</v>
      </c>
      <c r="F1526" s="2" t="n">
        <v>12</v>
      </c>
      <c r="G1526" s="4" t="n">
        <v>24.99</v>
      </c>
      <c r="H1526" s="4" t="n">
        <v>12.82</v>
      </c>
      <c r="I1526" s="4" t="n">
        <f aca="false">F1526*G1526</f>
        <v>299.88</v>
      </c>
      <c r="J1526" s="4" t="n">
        <f aca="false">F1526*H1526</f>
        <v>153.84</v>
      </c>
      <c r="K1526" s="4" t="n">
        <f aca="false">I1526-J1526</f>
        <v>146.04</v>
      </c>
      <c r="L1526" s="5" t="n">
        <f aca="false">IFERROR(K1526/I1526,0)</f>
        <v>0.486994797919168</v>
      </c>
    </row>
    <row r="1527" customFormat="false" ht="15" hidden="false" customHeight="false" outlineLevel="0" collapsed="false">
      <c r="A1527" s="2" t="s">
        <v>50</v>
      </c>
      <c r="B1527" s="2" t="s">
        <v>51</v>
      </c>
      <c r="C1527" s="2" t="s">
        <v>14</v>
      </c>
      <c r="D1527" s="2" t="s">
        <v>15</v>
      </c>
      <c r="E1527" s="3" t="n">
        <v>46082</v>
      </c>
      <c r="F1527" s="2" t="n">
        <v>20</v>
      </c>
      <c r="G1527" s="4" t="n">
        <v>69.99</v>
      </c>
      <c r="H1527" s="4" t="n">
        <v>32.81</v>
      </c>
      <c r="I1527" s="4" t="n">
        <f aca="false">F1527*G1527</f>
        <v>1399.8</v>
      </c>
      <c r="J1527" s="4" t="n">
        <f aca="false">F1527*H1527</f>
        <v>656.2</v>
      </c>
      <c r="K1527" s="4" t="n">
        <f aca="false">I1527-J1527</f>
        <v>743.6</v>
      </c>
      <c r="L1527" s="5" t="n">
        <f aca="false">IFERROR(K1527/I1527,0)</f>
        <v>0.531218745535076</v>
      </c>
    </row>
    <row r="1528" customFormat="false" ht="15" hidden="false" customHeight="false" outlineLevel="0" collapsed="false">
      <c r="A1528" s="2" t="s">
        <v>50</v>
      </c>
      <c r="B1528" s="2" t="s">
        <v>51</v>
      </c>
      <c r="C1528" s="2" t="s">
        <v>14</v>
      </c>
      <c r="D1528" s="2" t="s">
        <v>16</v>
      </c>
      <c r="E1528" s="3" t="n">
        <v>46082</v>
      </c>
      <c r="F1528" s="2" t="n">
        <v>18</v>
      </c>
      <c r="G1528" s="4" t="n">
        <v>19.99</v>
      </c>
      <c r="H1528" s="4" t="n">
        <v>9.05</v>
      </c>
      <c r="I1528" s="4" t="n">
        <f aca="false">F1528*G1528</f>
        <v>359.82</v>
      </c>
      <c r="J1528" s="4" t="n">
        <f aca="false">F1528*H1528</f>
        <v>162.9</v>
      </c>
      <c r="K1528" s="4" t="n">
        <f aca="false">I1528-J1528</f>
        <v>196.92</v>
      </c>
      <c r="L1528" s="5" t="n">
        <f aca="false">IFERROR(K1528/I1528,0)</f>
        <v>0.547273636818409</v>
      </c>
    </row>
    <row r="1529" customFormat="false" ht="15" hidden="false" customHeight="false" outlineLevel="0" collapsed="false">
      <c r="A1529" s="2" t="s">
        <v>50</v>
      </c>
      <c r="B1529" s="2" t="s">
        <v>51</v>
      </c>
      <c r="C1529" s="2" t="s">
        <v>14</v>
      </c>
      <c r="D1529" s="2" t="s">
        <v>17</v>
      </c>
      <c r="E1529" s="3" t="n">
        <v>46082</v>
      </c>
      <c r="F1529" s="2" t="n">
        <v>15</v>
      </c>
      <c r="G1529" s="4" t="n">
        <v>79.99</v>
      </c>
      <c r="H1529" s="4" t="n">
        <v>40.24</v>
      </c>
      <c r="I1529" s="4" t="n">
        <f aca="false">F1529*G1529</f>
        <v>1199.85</v>
      </c>
      <c r="J1529" s="4" t="n">
        <f aca="false">F1529*H1529</f>
        <v>603.6</v>
      </c>
      <c r="K1529" s="4" t="n">
        <f aca="false">I1529-J1529</f>
        <v>596.25</v>
      </c>
      <c r="L1529" s="5" t="n">
        <f aca="false">IFERROR(K1529/I1529,0)</f>
        <v>0.496937117139642</v>
      </c>
    </row>
    <row r="1530" customFormat="false" ht="15" hidden="false" customHeight="false" outlineLevel="0" collapsed="false">
      <c r="A1530" s="2" t="s">
        <v>50</v>
      </c>
      <c r="B1530" s="2" t="s">
        <v>51</v>
      </c>
      <c r="C1530" s="2" t="s">
        <v>14</v>
      </c>
      <c r="D1530" s="2" t="s">
        <v>18</v>
      </c>
      <c r="E1530" s="3" t="n">
        <v>46082</v>
      </c>
      <c r="F1530" s="2" t="n">
        <v>12</v>
      </c>
      <c r="G1530" s="4" t="n">
        <v>34.99</v>
      </c>
      <c r="H1530" s="4" t="n">
        <v>14.33</v>
      </c>
      <c r="I1530" s="4" t="n">
        <f aca="false">F1530*G1530</f>
        <v>419.88</v>
      </c>
      <c r="J1530" s="4" t="n">
        <f aca="false">F1530*H1530</f>
        <v>171.96</v>
      </c>
      <c r="K1530" s="4" t="n">
        <f aca="false">I1530-J1530</f>
        <v>247.92</v>
      </c>
      <c r="L1530" s="5" t="n">
        <f aca="false">IFERROR(K1530/I1530,0)</f>
        <v>0.590454415547299</v>
      </c>
    </row>
    <row r="1531" customFormat="false" ht="15" hidden="false" customHeight="false" outlineLevel="0" collapsed="false">
      <c r="A1531" s="2" t="s">
        <v>50</v>
      </c>
      <c r="B1531" s="2" t="s">
        <v>51</v>
      </c>
      <c r="C1531" s="2" t="s">
        <v>14</v>
      </c>
      <c r="D1531" s="2" t="s">
        <v>19</v>
      </c>
      <c r="E1531" s="3" t="n">
        <v>46082</v>
      </c>
      <c r="F1531" s="2" t="n">
        <v>9</v>
      </c>
      <c r="G1531" s="4" t="n">
        <v>54.99</v>
      </c>
      <c r="H1531" s="4" t="n">
        <v>23.54</v>
      </c>
      <c r="I1531" s="4" t="n">
        <f aca="false">F1531*G1531</f>
        <v>494.91</v>
      </c>
      <c r="J1531" s="4" t="n">
        <f aca="false">F1531*H1531</f>
        <v>211.86</v>
      </c>
      <c r="K1531" s="4" t="n">
        <f aca="false">I1531-J1531</f>
        <v>283.05</v>
      </c>
      <c r="L1531" s="5" t="n">
        <f aca="false">IFERROR(K1531/I1531,0)</f>
        <v>0.571922167666849</v>
      </c>
    </row>
    <row r="1532" customFormat="false" ht="15" hidden="false" customHeight="false" outlineLevel="0" collapsed="false">
      <c r="A1532" s="2" t="s">
        <v>50</v>
      </c>
      <c r="B1532" s="2" t="s">
        <v>51</v>
      </c>
      <c r="C1532" s="2" t="s">
        <v>20</v>
      </c>
      <c r="D1532" s="2" t="s">
        <v>21</v>
      </c>
      <c r="E1532" s="3" t="n">
        <v>46082</v>
      </c>
      <c r="F1532" s="2" t="n">
        <v>14</v>
      </c>
      <c r="G1532" s="4" t="n">
        <v>44.99</v>
      </c>
      <c r="H1532" s="4" t="n">
        <v>20.41</v>
      </c>
      <c r="I1532" s="4" t="n">
        <f aca="false">F1532*G1532</f>
        <v>629.86</v>
      </c>
      <c r="J1532" s="4" t="n">
        <f aca="false">F1532*H1532</f>
        <v>285.74</v>
      </c>
      <c r="K1532" s="4" t="n">
        <f aca="false">I1532-J1532</f>
        <v>344.12</v>
      </c>
      <c r="L1532" s="5" t="n">
        <f aca="false">IFERROR(K1532/I1532,0)</f>
        <v>0.546343631918204</v>
      </c>
    </row>
    <row r="1533" customFormat="false" ht="15" hidden="false" customHeight="false" outlineLevel="0" collapsed="false">
      <c r="A1533" s="2" t="s">
        <v>50</v>
      </c>
      <c r="B1533" s="2" t="s">
        <v>51</v>
      </c>
      <c r="C1533" s="2" t="s">
        <v>20</v>
      </c>
      <c r="D1533" s="2" t="s">
        <v>22</v>
      </c>
      <c r="E1533" s="3" t="n">
        <v>46082</v>
      </c>
      <c r="F1533" s="2" t="n">
        <v>23</v>
      </c>
      <c r="G1533" s="4" t="n">
        <v>14.99</v>
      </c>
      <c r="H1533" s="4" t="n">
        <v>5.81</v>
      </c>
      <c r="I1533" s="4" t="n">
        <f aca="false">F1533*G1533</f>
        <v>344.77</v>
      </c>
      <c r="J1533" s="4" t="n">
        <f aca="false">F1533*H1533</f>
        <v>133.63</v>
      </c>
      <c r="K1533" s="4" t="n">
        <f aca="false">I1533-J1533</f>
        <v>211.14</v>
      </c>
      <c r="L1533" s="5" t="n">
        <f aca="false">IFERROR(K1533/I1533,0)</f>
        <v>0.612408272181454</v>
      </c>
    </row>
    <row r="1534" customFormat="false" ht="15" hidden="false" customHeight="false" outlineLevel="0" collapsed="false">
      <c r="A1534" s="2" t="s">
        <v>50</v>
      </c>
      <c r="B1534" s="2" t="s">
        <v>51</v>
      </c>
      <c r="C1534" s="2" t="s">
        <v>20</v>
      </c>
      <c r="D1534" s="2" t="s">
        <v>23</v>
      </c>
      <c r="E1534" s="3" t="n">
        <v>46082</v>
      </c>
      <c r="F1534" s="2" t="n">
        <v>15</v>
      </c>
      <c r="G1534" s="4" t="n">
        <v>39.99</v>
      </c>
      <c r="H1534" s="4" t="n">
        <v>16.87</v>
      </c>
      <c r="I1534" s="4" t="n">
        <f aca="false">F1534*G1534</f>
        <v>599.85</v>
      </c>
      <c r="J1534" s="4" t="n">
        <f aca="false">F1534*H1534</f>
        <v>253.05</v>
      </c>
      <c r="K1534" s="4" t="n">
        <f aca="false">I1534-J1534</f>
        <v>346.8</v>
      </c>
      <c r="L1534" s="5" t="n">
        <f aca="false">IFERROR(K1534/I1534,0)</f>
        <v>0.578144536134034</v>
      </c>
    </row>
    <row r="1535" customFormat="false" ht="15" hidden="false" customHeight="false" outlineLevel="0" collapsed="false">
      <c r="A1535" s="2" t="s">
        <v>50</v>
      </c>
      <c r="B1535" s="2" t="s">
        <v>51</v>
      </c>
      <c r="C1535" s="2" t="s">
        <v>20</v>
      </c>
      <c r="D1535" s="2" t="s">
        <v>24</v>
      </c>
      <c r="E1535" s="3" t="n">
        <v>46082</v>
      </c>
      <c r="F1535" s="2" t="n">
        <v>9</v>
      </c>
      <c r="G1535" s="4" t="n">
        <v>18.99</v>
      </c>
      <c r="H1535" s="4" t="n">
        <v>7.78</v>
      </c>
      <c r="I1535" s="4" t="n">
        <f aca="false">F1535*G1535</f>
        <v>170.91</v>
      </c>
      <c r="J1535" s="4" t="n">
        <f aca="false">F1535*H1535</f>
        <v>70.02</v>
      </c>
      <c r="K1535" s="4" t="n">
        <f aca="false">I1535-J1535</f>
        <v>100.89</v>
      </c>
      <c r="L1535" s="5" t="n">
        <f aca="false">IFERROR(K1535/I1535,0)</f>
        <v>0.590310689836756</v>
      </c>
    </row>
    <row r="1536" customFormat="false" ht="15" hidden="false" customHeight="false" outlineLevel="0" collapsed="false">
      <c r="A1536" s="2" t="s">
        <v>50</v>
      </c>
      <c r="B1536" s="2" t="s">
        <v>51</v>
      </c>
      <c r="C1536" s="2" t="s">
        <v>20</v>
      </c>
      <c r="D1536" s="2" t="s">
        <v>25</v>
      </c>
      <c r="E1536" s="3" t="n">
        <v>46082</v>
      </c>
      <c r="F1536" s="2" t="n">
        <v>17</v>
      </c>
      <c r="G1536" s="4" t="n">
        <v>42.99</v>
      </c>
      <c r="H1536" s="4" t="n">
        <v>16.32</v>
      </c>
      <c r="I1536" s="4" t="n">
        <f aca="false">F1536*G1536</f>
        <v>730.83</v>
      </c>
      <c r="J1536" s="4" t="n">
        <f aca="false">F1536*H1536</f>
        <v>277.44</v>
      </c>
      <c r="K1536" s="4" t="n">
        <f aca="false">I1536-J1536</f>
        <v>453.39</v>
      </c>
      <c r="L1536" s="5" t="n">
        <f aca="false">IFERROR(K1536/I1536,0)</f>
        <v>0.620376831821354</v>
      </c>
    </row>
    <row r="1537" customFormat="false" ht="15" hidden="false" customHeight="false" outlineLevel="0" collapsed="false">
      <c r="A1537" s="2" t="s">
        <v>50</v>
      </c>
      <c r="B1537" s="2" t="s">
        <v>51</v>
      </c>
      <c r="C1537" s="2" t="s">
        <v>26</v>
      </c>
      <c r="D1537" s="2" t="s">
        <v>27</v>
      </c>
      <c r="E1537" s="3" t="n">
        <v>46082</v>
      </c>
      <c r="F1537" s="2" t="n">
        <v>10</v>
      </c>
      <c r="G1537" s="4" t="n">
        <v>44.99</v>
      </c>
      <c r="H1537" s="4" t="n">
        <v>28.6</v>
      </c>
      <c r="I1537" s="4" t="n">
        <f aca="false">F1537*G1537</f>
        <v>449.9</v>
      </c>
      <c r="J1537" s="4" t="n">
        <f aca="false">F1537*H1537</f>
        <v>286</v>
      </c>
      <c r="K1537" s="4" t="n">
        <f aca="false">I1537-J1537</f>
        <v>163.9</v>
      </c>
      <c r="L1537" s="5" t="n">
        <f aca="false">IFERROR(K1537/I1537,0)</f>
        <v>0.364303178484108</v>
      </c>
    </row>
    <row r="1538" customFormat="false" ht="15" hidden="false" customHeight="false" outlineLevel="0" collapsed="false">
      <c r="A1538" s="2" t="s">
        <v>50</v>
      </c>
      <c r="B1538" s="2" t="s">
        <v>51</v>
      </c>
      <c r="C1538" s="2" t="s">
        <v>26</v>
      </c>
      <c r="D1538" s="2" t="s">
        <v>28</v>
      </c>
      <c r="E1538" s="3" t="n">
        <v>46082</v>
      </c>
      <c r="F1538" s="2" t="n">
        <v>11</v>
      </c>
      <c r="G1538" s="4" t="n">
        <v>34.99</v>
      </c>
      <c r="H1538" s="4" t="n">
        <v>21.8</v>
      </c>
      <c r="I1538" s="4" t="n">
        <f aca="false">F1538*G1538</f>
        <v>384.89</v>
      </c>
      <c r="J1538" s="4" t="n">
        <f aca="false">F1538*H1538</f>
        <v>239.8</v>
      </c>
      <c r="K1538" s="4" t="n">
        <f aca="false">I1538-J1538</f>
        <v>145.09</v>
      </c>
      <c r="L1538" s="5" t="n">
        <f aca="false">IFERROR(K1538/I1538,0)</f>
        <v>0.376964847099171</v>
      </c>
    </row>
    <row r="1539" customFormat="false" ht="15" hidden="false" customHeight="false" outlineLevel="0" collapsed="false">
      <c r="A1539" s="2" t="s">
        <v>50</v>
      </c>
      <c r="B1539" s="2" t="s">
        <v>51</v>
      </c>
      <c r="C1539" s="2" t="s">
        <v>26</v>
      </c>
      <c r="D1539" s="2" t="s">
        <v>29</v>
      </c>
      <c r="E1539" s="3" t="n">
        <v>46082</v>
      </c>
      <c r="F1539" s="2" t="n">
        <v>7</v>
      </c>
      <c r="G1539" s="4" t="n">
        <v>119.99</v>
      </c>
      <c r="H1539" s="4" t="n">
        <v>83.2</v>
      </c>
      <c r="I1539" s="4" t="n">
        <f aca="false">F1539*G1539</f>
        <v>839.93</v>
      </c>
      <c r="J1539" s="4" t="n">
        <f aca="false">F1539*H1539</f>
        <v>582.4</v>
      </c>
      <c r="K1539" s="4" t="n">
        <f aca="false">I1539-J1539</f>
        <v>257.53</v>
      </c>
      <c r="L1539" s="5" t="n">
        <f aca="false">IFERROR(K1539/I1539,0)</f>
        <v>0.306608884073673</v>
      </c>
    </row>
    <row r="1540" customFormat="false" ht="15" hidden="false" customHeight="false" outlineLevel="0" collapsed="false">
      <c r="A1540" s="2" t="s">
        <v>50</v>
      </c>
      <c r="B1540" s="2" t="s">
        <v>51</v>
      </c>
      <c r="C1540" s="2" t="s">
        <v>26</v>
      </c>
      <c r="D1540" s="2" t="s">
        <v>30</v>
      </c>
      <c r="E1540" s="3" t="n">
        <v>46082</v>
      </c>
      <c r="F1540" s="2" t="n">
        <v>17</v>
      </c>
      <c r="G1540" s="4" t="n">
        <v>24.99</v>
      </c>
      <c r="H1540" s="4" t="n">
        <v>15.38</v>
      </c>
      <c r="I1540" s="4" t="n">
        <f aca="false">F1540*G1540</f>
        <v>424.83</v>
      </c>
      <c r="J1540" s="4" t="n">
        <f aca="false">F1540*H1540</f>
        <v>261.46</v>
      </c>
      <c r="K1540" s="4" t="n">
        <f aca="false">I1540-J1540</f>
        <v>163.37</v>
      </c>
      <c r="L1540" s="5" t="n">
        <f aca="false">IFERROR(K1540/I1540,0)</f>
        <v>0.384553821528611</v>
      </c>
    </row>
    <row r="1541" customFormat="false" ht="15" hidden="false" customHeight="false" outlineLevel="0" collapsed="false">
      <c r="A1541" s="2" t="s">
        <v>50</v>
      </c>
      <c r="B1541" s="2" t="s">
        <v>51</v>
      </c>
      <c r="C1541" s="2" t="s">
        <v>26</v>
      </c>
      <c r="D1541" s="2" t="s">
        <v>31</v>
      </c>
      <c r="E1541" s="3" t="n">
        <v>46082</v>
      </c>
      <c r="F1541" s="2" t="n">
        <v>20</v>
      </c>
      <c r="G1541" s="4" t="n">
        <v>59.99</v>
      </c>
      <c r="H1541" s="4" t="n">
        <v>38.45</v>
      </c>
      <c r="I1541" s="4" t="n">
        <f aca="false">F1541*G1541</f>
        <v>1199.8</v>
      </c>
      <c r="J1541" s="4" t="n">
        <f aca="false">F1541*H1541</f>
        <v>769</v>
      </c>
      <c r="K1541" s="4" t="n">
        <f aca="false">I1541-J1541</f>
        <v>430.8</v>
      </c>
      <c r="L1541" s="5" t="n">
        <f aca="false">IFERROR(K1541/I1541,0)</f>
        <v>0.359059843307218</v>
      </c>
    </row>
    <row r="1542" customFormat="false" ht="15" hidden="false" customHeight="false" outlineLevel="0" collapsed="false">
      <c r="A1542" s="2" t="s">
        <v>50</v>
      </c>
      <c r="B1542" s="2" t="s">
        <v>51</v>
      </c>
      <c r="C1542" s="2" t="s">
        <v>32</v>
      </c>
      <c r="D1542" s="2" t="s">
        <v>33</v>
      </c>
      <c r="E1542" s="3" t="n">
        <v>46082</v>
      </c>
      <c r="F1542" s="2" t="n">
        <v>11</v>
      </c>
      <c r="G1542" s="4" t="n">
        <v>49.99</v>
      </c>
      <c r="H1542" s="4" t="n">
        <v>34.97</v>
      </c>
      <c r="I1542" s="4" t="n">
        <f aca="false">F1542*G1542</f>
        <v>549.89</v>
      </c>
      <c r="J1542" s="4" t="n">
        <f aca="false">F1542*H1542</f>
        <v>384.67</v>
      </c>
      <c r="K1542" s="4" t="n">
        <f aca="false">I1542-J1542</f>
        <v>165.22</v>
      </c>
      <c r="L1542" s="5" t="n">
        <f aca="false">IFERROR(K1542/I1542,0)</f>
        <v>0.300460092018404</v>
      </c>
    </row>
    <row r="1543" customFormat="false" ht="15" hidden="false" customHeight="false" outlineLevel="0" collapsed="false">
      <c r="A1543" s="2" t="s">
        <v>50</v>
      </c>
      <c r="B1543" s="2" t="s">
        <v>51</v>
      </c>
      <c r="C1543" s="2" t="s">
        <v>32</v>
      </c>
      <c r="D1543" s="2" t="s">
        <v>34</v>
      </c>
      <c r="E1543" s="3" t="n">
        <v>46082</v>
      </c>
      <c r="F1543" s="2" t="n">
        <v>18</v>
      </c>
      <c r="G1543" s="4" t="n">
        <v>27.99</v>
      </c>
      <c r="H1543" s="4" t="n">
        <v>20.33</v>
      </c>
      <c r="I1543" s="4" t="n">
        <f aca="false">F1543*G1543</f>
        <v>503.82</v>
      </c>
      <c r="J1543" s="4" t="n">
        <f aca="false">F1543*H1543</f>
        <v>365.94</v>
      </c>
      <c r="K1543" s="4" t="n">
        <f aca="false">I1543-J1543</f>
        <v>137.88</v>
      </c>
      <c r="L1543" s="5" t="n">
        <f aca="false">IFERROR(K1543/I1543,0)</f>
        <v>0.273669167559843</v>
      </c>
    </row>
    <row r="1544" customFormat="false" ht="15" hidden="false" customHeight="false" outlineLevel="0" collapsed="false">
      <c r="A1544" s="2" t="s">
        <v>50</v>
      </c>
      <c r="B1544" s="2" t="s">
        <v>51</v>
      </c>
      <c r="C1544" s="2" t="s">
        <v>32</v>
      </c>
      <c r="D1544" s="2" t="s">
        <v>35</v>
      </c>
      <c r="E1544" s="3" t="n">
        <v>46082</v>
      </c>
      <c r="F1544" s="2" t="n">
        <v>11</v>
      </c>
      <c r="G1544" s="4" t="n">
        <v>64.99</v>
      </c>
      <c r="H1544" s="4" t="n">
        <v>46.18</v>
      </c>
      <c r="I1544" s="4" t="n">
        <f aca="false">F1544*G1544</f>
        <v>714.89</v>
      </c>
      <c r="J1544" s="4" t="n">
        <f aca="false">F1544*H1544</f>
        <v>507.98</v>
      </c>
      <c r="K1544" s="4" t="n">
        <f aca="false">I1544-J1544</f>
        <v>206.91</v>
      </c>
      <c r="L1544" s="5" t="n">
        <f aca="false">IFERROR(K1544/I1544,0)</f>
        <v>0.289429142945068</v>
      </c>
    </row>
    <row r="1545" customFormat="false" ht="15" hidden="false" customHeight="false" outlineLevel="0" collapsed="false">
      <c r="A1545" s="2" t="s">
        <v>50</v>
      </c>
      <c r="B1545" s="2" t="s">
        <v>51</v>
      </c>
      <c r="C1545" s="2" t="s">
        <v>32</v>
      </c>
      <c r="D1545" s="2" t="s">
        <v>36</v>
      </c>
      <c r="E1545" s="3" t="n">
        <v>46082</v>
      </c>
      <c r="F1545" s="2" t="n">
        <v>20</v>
      </c>
      <c r="G1545" s="4" t="n">
        <v>22.99</v>
      </c>
      <c r="H1545" s="4" t="n">
        <v>16.76</v>
      </c>
      <c r="I1545" s="4" t="n">
        <f aca="false">F1545*G1545</f>
        <v>459.8</v>
      </c>
      <c r="J1545" s="4" t="n">
        <f aca="false">F1545*H1545</f>
        <v>335.2</v>
      </c>
      <c r="K1545" s="4" t="n">
        <f aca="false">I1545-J1545</f>
        <v>124.6</v>
      </c>
      <c r="L1545" s="5" t="n">
        <f aca="false">IFERROR(K1545/I1545,0)</f>
        <v>0.270987385819922</v>
      </c>
    </row>
    <row r="1546" customFormat="false" ht="15" hidden="false" customHeight="false" outlineLevel="0" collapsed="false">
      <c r="A1546" s="2" t="s">
        <v>50</v>
      </c>
      <c r="B1546" s="2" t="s">
        <v>51</v>
      </c>
      <c r="C1546" s="2" t="s">
        <v>32</v>
      </c>
      <c r="D1546" s="2" t="s">
        <v>37</v>
      </c>
      <c r="E1546" s="3" t="n">
        <v>46082</v>
      </c>
      <c r="F1546" s="2" t="n">
        <v>15</v>
      </c>
      <c r="G1546" s="4" t="n">
        <v>29.99</v>
      </c>
      <c r="H1546" s="4" t="n">
        <v>20.94</v>
      </c>
      <c r="I1546" s="4" t="n">
        <f aca="false">F1546*G1546</f>
        <v>449.85</v>
      </c>
      <c r="J1546" s="4" t="n">
        <f aca="false">F1546*H1546</f>
        <v>314.1</v>
      </c>
      <c r="K1546" s="4" t="n">
        <f aca="false">I1546-J1546</f>
        <v>135.75</v>
      </c>
      <c r="L1546" s="5" t="n">
        <f aca="false">IFERROR(K1546/I1546,0)</f>
        <v>0.301767255751917</v>
      </c>
    </row>
    <row r="1547" customFormat="false" ht="15" hidden="false" customHeight="false" outlineLevel="0" collapsed="false">
      <c r="A1547" s="2" t="s">
        <v>50</v>
      </c>
      <c r="B1547" s="2" t="s">
        <v>51</v>
      </c>
      <c r="C1547" s="2" t="s">
        <v>38</v>
      </c>
      <c r="D1547" s="2" t="s">
        <v>39</v>
      </c>
      <c r="E1547" s="3" t="n">
        <v>46082</v>
      </c>
      <c r="F1547" s="2" t="n">
        <v>1</v>
      </c>
      <c r="G1547" s="4" t="n">
        <v>129.99</v>
      </c>
      <c r="H1547" s="4" t="n">
        <v>77.21</v>
      </c>
      <c r="I1547" s="4" t="n">
        <f aca="false">F1547*G1547</f>
        <v>129.99</v>
      </c>
      <c r="J1547" s="4" t="n">
        <f aca="false">F1547*H1547</f>
        <v>77.21</v>
      </c>
      <c r="K1547" s="4" t="n">
        <f aca="false">I1547-J1547</f>
        <v>52.78</v>
      </c>
      <c r="L1547" s="5" t="n">
        <f aca="false">IFERROR(K1547/I1547,0)</f>
        <v>0.406031233171783</v>
      </c>
    </row>
    <row r="1548" customFormat="false" ht="15" hidden="false" customHeight="false" outlineLevel="0" collapsed="false">
      <c r="A1548" s="2" t="s">
        <v>50</v>
      </c>
      <c r="B1548" s="2" t="s">
        <v>51</v>
      </c>
      <c r="C1548" s="2" t="s">
        <v>38</v>
      </c>
      <c r="D1548" s="2" t="s">
        <v>40</v>
      </c>
      <c r="E1548" s="3" t="n">
        <v>46082</v>
      </c>
      <c r="F1548" s="2" t="n">
        <v>3</v>
      </c>
      <c r="G1548" s="4" t="n">
        <v>74.99</v>
      </c>
      <c r="H1548" s="4" t="n">
        <v>41.47</v>
      </c>
      <c r="I1548" s="4" t="n">
        <f aca="false">F1548*G1548</f>
        <v>224.97</v>
      </c>
      <c r="J1548" s="4" t="n">
        <f aca="false">F1548*H1548</f>
        <v>124.41</v>
      </c>
      <c r="K1548" s="4" t="n">
        <f aca="false">I1548-J1548</f>
        <v>100.56</v>
      </c>
      <c r="L1548" s="5" t="n">
        <f aca="false">IFERROR(K1548/I1548,0)</f>
        <v>0.446992932390985</v>
      </c>
    </row>
    <row r="1549" customFormat="false" ht="15" hidden="false" customHeight="false" outlineLevel="0" collapsed="false">
      <c r="A1549" s="2" t="s">
        <v>50</v>
      </c>
      <c r="B1549" s="2" t="s">
        <v>51</v>
      </c>
      <c r="C1549" s="2" t="s">
        <v>38</v>
      </c>
      <c r="D1549" s="2" t="s">
        <v>41</v>
      </c>
      <c r="E1549" s="3" t="n">
        <v>46082</v>
      </c>
      <c r="F1549" s="2" t="n">
        <v>4</v>
      </c>
      <c r="G1549" s="4" t="n">
        <v>19.99</v>
      </c>
      <c r="H1549" s="4" t="n">
        <v>9.74</v>
      </c>
      <c r="I1549" s="4" t="n">
        <f aca="false">F1549*G1549</f>
        <v>79.96</v>
      </c>
      <c r="J1549" s="4" t="n">
        <f aca="false">F1549*H1549</f>
        <v>38.96</v>
      </c>
      <c r="K1549" s="4" t="n">
        <f aca="false">I1549-J1549</f>
        <v>41</v>
      </c>
      <c r="L1549" s="5" t="n">
        <f aca="false">IFERROR(K1549/I1549,0)</f>
        <v>0.512756378189095</v>
      </c>
    </row>
    <row r="1550" customFormat="false" ht="15" hidden="false" customHeight="false" outlineLevel="0" collapsed="false">
      <c r="A1550" s="2" t="s">
        <v>50</v>
      </c>
      <c r="B1550" s="2" t="s">
        <v>51</v>
      </c>
      <c r="C1550" s="2" t="s">
        <v>38</v>
      </c>
      <c r="D1550" s="2" t="s">
        <v>42</v>
      </c>
      <c r="E1550" s="3" t="n">
        <v>46082</v>
      </c>
      <c r="F1550" s="2" t="n">
        <v>3</v>
      </c>
      <c r="G1550" s="4" t="n">
        <v>16.99</v>
      </c>
      <c r="H1550" s="4" t="n">
        <v>8.37</v>
      </c>
      <c r="I1550" s="4" t="n">
        <f aca="false">F1550*G1550</f>
        <v>50.97</v>
      </c>
      <c r="J1550" s="4" t="n">
        <f aca="false">F1550*H1550</f>
        <v>25.11</v>
      </c>
      <c r="K1550" s="4" t="n">
        <f aca="false">I1550-J1550</f>
        <v>25.86</v>
      </c>
      <c r="L1550" s="5" t="n">
        <f aca="false">IFERROR(K1550/I1550,0)</f>
        <v>0.507357268981754</v>
      </c>
    </row>
    <row r="1551" customFormat="false" ht="15" hidden="false" customHeight="false" outlineLevel="0" collapsed="false">
      <c r="A1551" s="2" t="s">
        <v>50</v>
      </c>
      <c r="B1551" s="2" t="s">
        <v>51</v>
      </c>
      <c r="C1551" s="2" t="s">
        <v>38</v>
      </c>
      <c r="D1551" s="2" t="s">
        <v>43</v>
      </c>
      <c r="E1551" s="3" t="n">
        <v>46082</v>
      </c>
      <c r="F1551" s="2" t="n">
        <v>3</v>
      </c>
      <c r="G1551" s="4" t="n">
        <v>24.99</v>
      </c>
      <c r="H1551" s="4" t="n">
        <v>12.77</v>
      </c>
      <c r="I1551" s="4" t="n">
        <f aca="false">F1551*G1551</f>
        <v>74.97</v>
      </c>
      <c r="J1551" s="4" t="n">
        <f aca="false">F1551*H1551</f>
        <v>38.31</v>
      </c>
      <c r="K1551" s="4" t="n">
        <f aca="false">I1551-J1551</f>
        <v>36.66</v>
      </c>
      <c r="L1551" s="5" t="n">
        <f aca="false">IFERROR(K1551/I1551,0)</f>
        <v>0.488995598239296</v>
      </c>
    </row>
    <row r="1552" customFormat="false" ht="15" hidden="false" customHeight="false" outlineLevel="0" collapsed="false">
      <c r="A1552" s="2" t="s">
        <v>52</v>
      </c>
      <c r="B1552" s="2" t="s">
        <v>53</v>
      </c>
      <c r="C1552" s="2" t="s">
        <v>14</v>
      </c>
      <c r="D1552" s="2" t="s">
        <v>15</v>
      </c>
      <c r="E1552" s="3" t="n">
        <v>46082</v>
      </c>
      <c r="F1552" s="2" t="n">
        <v>14</v>
      </c>
      <c r="G1552" s="4" t="n">
        <v>69.99</v>
      </c>
      <c r="H1552" s="4" t="n">
        <v>32.7</v>
      </c>
      <c r="I1552" s="4" t="n">
        <f aca="false">F1552*G1552</f>
        <v>979.86</v>
      </c>
      <c r="J1552" s="4" t="n">
        <f aca="false">F1552*H1552</f>
        <v>457.8</v>
      </c>
      <c r="K1552" s="4" t="n">
        <f aca="false">I1552-J1552</f>
        <v>522.06</v>
      </c>
      <c r="L1552" s="5" t="n">
        <f aca="false">IFERROR(K1552/I1552,0)</f>
        <v>0.532790398628375</v>
      </c>
    </row>
    <row r="1553" customFormat="false" ht="15" hidden="false" customHeight="false" outlineLevel="0" collapsed="false">
      <c r="A1553" s="2" t="s">
        <v>52</v>
      </c>
      <c r="B1553" s="2" t="s">
        <v>53</v>
      </c>
      <c r="C1553" s="2" t="s">
        <v>14</v>
      </c>
      <c r="D1553" s="2" t="s">
        <v>16</v>
      </c>
      <c r="E1553" s="3" t="n">
        <v>46082</v>
      </c>
      <c r="F1553" s="2" t="n">
        <v>18</v>
      </c>
      <c r="G1553" s="4" t="n">
        <v>19.99</v>
      </c>
      <c r="H1553" s="4" t="n">
        <v>9.02</v>
      </c>
      <c r="I1553" s="4" t="n">
        <f aca="false">F1553*G1553</f>
        <v>359.82</v>
      </c>
      <c r="J1553" s="4" t="n">
        <f aca="false">F1553*H1553</f>
        <v>162.36</v>
      </c>
      <c r="K1553" s="4" t="n">
        <f aca="false">I1553-J1553</f>
        <v>197.46</v>
      </c>
      <c r="L1553" s="5" t="n">
        <f aca="false">IFERROR(K1553/I1553,0)</f>
        <v>0.548774387193597</v>
      </c>
    </row>
    <row r="1554" customFormat="false" ht="15" hidden="false" customHeight="false" outlineLevel="0" collapsed="false">
      <c r="A1554" s="2" t="s">
        <v>52</v>
      </c>
      <c r="B1554" s="2" t="s">
        <v>53</v>
      </c>
      <c r="C1554" s="2" t="s">
        <v>14</v>
      </c>
      <c r="D1554" s="2" t="s">
        <v>17</v>
      </c>
      <c r="E1554" s="3" t="n">
        <v>46082</v>
      </c>
      <c r="F1554" s="2" t="n">
        <v>18</v>
      </c>
      <c r="G1554" s="4" t="n">
        <v>79.99</v>
      </c>
      <c r="H1554" s="4" t="n">
        <v>38.88</v>
      </c>
      <c r="I1554" s="4" t="n">
        <f aca="false">F1554*G1554</f>
        <v>1439.82</v>
      </c>
      <c r="J1554" s="4" t="n">
        <f aca="false">F1554*H1554</f>
        <v>699.84</v>
      </c>
      <c r="K1554" s="4" t="n">
        <f aca="false">I1554-J1554</f>
        <v>739.98</v>
      </c>
      <c r="L1554" s="5" t="n">
        <f aca="false">IFERROR(K1554/I1554,0)</f>
        <v>0.513939242405301</v>
      </c>
    </row>
    <row r="1555" customFormat="false" ht="15" hidden="false" customHeight="false" outlineLevel="0" collapsed="false">
      <c r="A1555" s="2" t="s">
        <v>52</v>
      </c>
      <c r="B1555" s="2" t="s">
        <v>53</v>
      </c>
      <c r="C1555" s="2" t="s">
        <v>14</v>
      </c>
      <c r="D1555" s="2" t="s">
        <v>18</v>
      </c>
      <c r="E1555" s="3" t="n">
        <v>46082</v>
      </c>
      <c r="F1555" s="2" t="n">
        <v>18</v>
      </c>
      <c r="G1555" s="4" t="n">
        <v>34.99</v>
      </c>
      <c r="H1555" s="4" t="n">
        <v>14.79</v>
      </c>
      <c r="I1555" s="4" t="n">
        <f aca="false">F1555*G1555</f>
        <v>629.82</v>
      </c>
      <c r="J1555" s="4" t="n">
        <f aca="false">F1555*H1555</f>
        <v>266.22</v>
      </c>
      <c r="K1555" s="4" t="n">
        <f aca="false">I1555-J1555</f>
        <v>363.6</v>
      </c>
      <c r="L1555" s="5" t="n">
        <f aca="false">IFERROR(K1555/I1555,0)</f>
        <v>0.577307802229208</v>
      </c>
    </row>
    <row r="1556" customFormat="false" ht="15" hidden="false" customHeight="false" outlineLevel="0" collapsed="false">
      <c r="A1556" s="2" t="s">
        <v>52</v>
      </c>
      <c r="B1556" s="2" t="s">
        <v>53</v>
      </c>
      <c r="C1556" s="2" t="s">
        <v>14</v>
      </c>
      <c r="D1556" s="2" t="s">
        <v>19</v>
      </c>
      <c r="E1556" s="3" t="n">
        <v>46082</v>
      </c>
      <c r="F1556" s="2" t="n">
        <v>17</v>
      </c>
      <c r="G1556" s="4" t="n">
        <v>54.99</v>
      </c>
      <c r="H1556" s="4" t="n">
        <v>24.68</v>
      </c>
      <c r="I1556" s="4" t="n">
        <f aca="false">F1556*G1556</f>
        <v>934.83</v>
      </c>
      <c r="J1556" s="4" t="n">
        <f aca="false">F1556*H1556</f>
        <v>419.56</v>
      </c>
      <c r="K1556" s="4" t="n">
        <f aca="false">I1556-J1556</f>
        <v>515.27</v>
      </c>
      <c r="L1556" s="5" t="n">
        <f aca="false">IFERROR(K1556/I1556,0)</f>
        <v>0.551191125659211</v>
      </c>
    </row>
    <row r="1557" customFormat="false" ht="15" hidden="false" customHeight="false" outlineLevel="0" collapsed="false">
      <c r="A1557" s="2" t="s">
        <v>52</v>
      </c>
      <c r="B1557" s="2" t="s">
        <v>53</v>
      </c>
      <c r="C1557" s="2" t="s">
        <v>20</v>
      </c>
      <c r="D1557" s="2" t="s">
        <v>21</v>
      </c>
      <c r="E1557" s="3" t="n">
        <v>46082</v>
      </c>
      <c r="F1557" s="2" t="n">
        <v>15</v>
      </c>
      <c r="G1557" s="4" t="n">
        <v>44.99</v>
      </c>
      <c r="H1557" s="4" t="n">
        <v>19.85</v>
      </c>
      <c r="I1557" s="4" t="n">
        <f aca="false">F1557*G1557</f>
        <v>674.85</v>
      </c>
      <c r="J1557" s="4" t="n">
        <f aca="false">F1557*H1557</f>
        <v>297.75</v>
      </c>
      <c r="K1557" s="4" t="n">
        <f aca="false">I1557-J1557</f>
        <v>377.1</v>
      </c>
      <c r="L1557" s="5" t="n">
        <f aca="false">IFERROR(K1557/I1557,0)</f>
        <v>0.558790842409424</v>
      </c>
    </row>
    <row r="1558" customFormat="false" ht="15" hidden="false" customHeight="false" outlineLevel="0" collapsed="false">
      <c r="A1558" s="2" t="s">
        <v>52</v>
      </c>
      <c r="B1558" s="2" t="s">
        <v>53</v>
      </c>
      <c r="C1558" s="2" t="s">
        <v>20</v>
      </c>
      <c r="D1558" s="2" t="s">
        <v>22</v>
      </c>
      <c r="E1558" s="3" t="n">
        <v>46082</v>
      </c>
      <c r="F1558" s="2" t="n">
        <v>16</v>
      </c>
      <c r="G1558" s="4" t="n">
        <v>14.99</v>
      </c>
      <c r="H1558" s="4" t="n">
        <v>5.53</v>
      </c>
      <c r="I1558" s="4" t="n">
        <f aca="false">F1558*G1558</f>
        <v>239.84</v>
      </c>
      <c r="J1558" s="4" t="n">
        <f aca="false">F1558*H1558</f>
        <v>88.48</v>
      </c>
      <c r="K1558" s="4" t="n">
        <f aca="false">I1558-J1558</f>
        <v>151.36</v>
      </c>
      <c r="L1558" s="5" t="n">
        <f aca="false">IFERROR(K1558/I1558,0)</f>
        <v>0.631087391594396</v>
      </c>
    </row>
    <row r="1559" customFormat="false" ht="15" hidden="false" customHeight="false" outlineLevel="0" collapsed="false">
      <c r="A1559" s="2" t="s">
        <v>52</v>
      </c>
      <c r="B1559" s="2" t="s">
        <v>53</v>
      </c>
      <c r="C1559" s="2" t="s">
        <v>20</v>
      </c>
      <c r="D1559" s="2" t="s">
        <v>23</v>
      </c>
      <c r="E1559" s="3" t="n">
        <v>46082</v>
      </c>
      <c r="F1559" s="2" t="n">
        <v>22</v>
      </c>
      <c r="G1559" s="4" t="n">
        <v>39.99</v>
      </c>
      <c r="H1559" s="4" t="n">
        <v>16.59</v>
      </c>
      <c r="I1559" s="4" t="n">
        <f aca="false">F1559*G1559</f>
        <v>879.78</v>
      </c>
      <c r="J1559" s="4" t="n">
        <f aca="false">F1559*H1559</f>
        <v>364.98</v>
      </c>
      <c r="K1559" s="4" t="n">
        <f aca="false">I1559-J1559</f>
        <v>514.8</v>
      </c>
      <c r="L1559" s="5" t="n">
        <f aca="false">IFERROR(K1559/I1559,0)</f>
        <v>0.585146286571643</v>
      </c>
    </row>
    <row r="1560" customFormat="false" ht="15" hidden="false" customHeight="false" outlineLevel="0" collapsed="false">
      <c r="A1560" s="2" t="s">
        <v>52</v>
      </c>
      <c r="B1560" s="2" t="s">
        <v>53</v>
      </c>
      <c r="C1560" s="2" t="s">
        <v>20</v>
      </c>
      <c r="D1560" s="2" t="s">
        <v>24</v>
      </c>
      <c r="E1560" s="3" t="n">
        <v>46082</v>
      </c>
      <c r="F1560" s="2" t="n">
        <v>13</v>
      </c>
      <c r="G1560" s="4" t="n">
        <v>18.99</v>
      </c>
      <c r="H1560" s="4" t="n">
        <v>7.6</v>
      </c>
      <c r="I1560" s="4" t="n">
        <f aca="false">F1560*G1560</f>
        <v>246.87</v>
      </c>
      <c r="J1560" s="4" t="n">
        <f aca="false">F1560*H1560</f>
        <v>98.8</v>
      </c>
      <c r="K1560" s="4" t="n">
        <f aca="false">I1560-J1560</f>
        <v>148.07</v>
      </c>
      <c r="L1560" s="5" t="n">
        <f aca="false">IFERROR(K1560/I1560,0)</f>
        <v>0.599789362822538</v>
      </c>
    </row>
    <row r="1561" customFormat="false" ht="15" hidden="false" customHeight="false" outlineLevel="0" collapsed="false">
      <c r="A1561" s="2" t="s">
        <v>52</v>
      </c>
      <c r="B1561" s="2" t="s">
        <v>53</v>
      </c>
      <c r="C1561" s="2" t="s">
        <v>20</v>
      </c>
      <c r="D1561" s="2" t="s">
        <v>25</v>
      </c>
      <c r="E1561" s="3" t="n">
        <v>46082</v>
      </c>
      <c r="F1561" s="2" t="n">
        <v>18</v>
      </c>
      <c r="G1561" s="4" t="n">
        <v>42.99</v>
      </c>
      <c r="H1561" s="4" t="n">
        <v>16.12</v>
      </c>
      <c r="I1561" s="4" t="n">
        <f aca="false">F1561*G1561</f>
        <v>773.82</v>
      </c>
      <c r="J1561" s="4" t="n">
        <f aca="false">F1561*H1561</f>
        <v>290.16</v>
      </c>
      <c r="K1561" s="4" t="n">
        <f aca="false">I1561-J1561</f>
        <v>483.66</v>
      </c>
      <c r="L1561" s="5" t="n">
        <f aca="false">IFERROR(K1561/I1561,0)</f>
        <v>0.625029076529425</v>
      </c>
    </row>
    <row r="1562" customFormat="false" ht="15" hidden="false" customHeight="false" outlineLevel="0" collapsed="false">
      <c r="A1562" s="2" t="s">
        <v>52</v>
      </c>
      <c r="B1562" s="2" t="s">
        <v>53</v>
      </c>
      <c r="C1562" s="2" t="s">
        <v>26</v>
      </c>
      <c r="D1562" s="2" t="s">
        <v>27</v>
      </c>
      <c r="E1562" s="3" t="n">
        <v>46082</v>
      </c>
      <c r="F1562" s="2" t="n">
        <v>15</v>
      </c>
      <c r="G1562" s="4" t="n">
        <v>44.99</v>
      </c>
      <c r="H1562" s="4" t="n">
        <v>28.28</v>
      </c>
      <c r="I1562" s="4" t="n">
        <f aca="false">F1562*G1562</f>
        <v>674.85</v>
      </c>
      <c r="J1562" s="4" t="n">
        <f aca="false">F1562*H1562</f>
        <v>424.2</v>
      </c>
      <c r="K1562" s="4" t="n">
        <f aca="false">I1562-J1562</f>
        <v>250.65</v>
      </c>
      <c r="L1562" s="5" t="n">
        <f aca="false">IFERROR(K1562/I1562,0)</f>
        <v>0.371415870193376</v>
      </c>
    </row>
    <row r="1563" customFormat="false" ht="15" hidden="false" customHeight="false" outlineLevel="0" collapsed="false">
      <c r="A1563" s="2" t="s">
        <v>52</v>
      </c>
      <c r="B1563" s="2" t="s">
        <v>53</v>
      </c>
      <c r="C1563" s="2" t="s">
        <v>26</v>
      </c>
      <c r="D1563" s="2" t="s">
        <v>28</v>
      </c>
      <c r="E1563" s="3" t="n">
        <v>46082</v>
      </c>
      <c r="F1563" s="2" t="n">
        <v>13</v>
      </c>
      <c r="G1563" s="4" t="n">
        <v>34.99</v>
      </c>
      <c r="H1563" s="4" t="n">
        <v>22.17</v>
      </c>
      <c r="I1563" s="4" t="n">
        <f aca="false">F1563*G1563</f>
        <v>454.87</v>
      </c>
      <c r="J1563" s="4" t="n">
        <f aca="false">F1563*H1563</f>
        <v>288.21</v>
      </c>
      <c r="K1563" s="4" t="n">
        <f aca="false">I1563-J1563</f>
        <v>166.66</v>
      </c>
      <c r="L1563" s="5" t="n">
        <f aca="false">IFERROR(K1563/I1563,0)</f>
        <v>0.366390397256359</v>
      </c>
    </row>
    <row r="1564" customFormat="false" ht="15" hidden="false" customHeight="false" outlineLevel="0" collapsed="false">
      <c r="A1564" s="2" t="s">
        <v>52</v>
      </c>
      <c r="B1564" s="2" t="s">
        <v>53</v>
      </c>
      <c r="C1564" s="2" t="s">
        <v>26</v>
      </c>
      <c r="D1564" s="2" t="s">
        <v>29</v>
      </c>
      <c r="E1564" s="3" t="n">
        <v>46082</v>
      </c>
      <c r="F1564" s="2" t="n">
        <v>9</v>
      </c>
      <c r="G1564" s="4" t="n">
        <v>119.99</v>
      </c>
      <c r="H1564" s="4" t="n">
        <v>81.2</v>
      </c>
      <c r="I1564" s="4" t="n">
        <f aca="false">F1564*G1564</f>
        <v>1079.91</v>
      </c>
      <c r="J1564" s="4" t="n">
        <f aca="false">F1564*H1564</f>
        <v>730.8</v>
      </c>
      <c r="K1564" s="4" t="n">
        <f aca="false">I1564-J1564</f>
        <v>349.11</v>
      </c>
      <c r="L1564" s="5" t="n">
        <f aca="false">IFERROR(K1564/I1564,0)</f>
        <v>0.323276939744979</v>
      </c>
    </row>
    <row r="1565" customFormat="false" ht="15" hidden="false" customHeight="false" outlineLevel="0" collapsed="false">
      <c r="A1565" s="2" t="s">
        <v>52</v>
      </c>
      <c r="B1565" s="2" t="s">
        <v>53</v>
      </c>
      <c r="C1565" s="2" t="s">
        <v>26</v>
      </c>
      <c r="D1565" s="2" t="s">
        <v>30</v>
      </c>
      <c r="E1565" s="3" t="n">
        <v>46082</v>
      </c>
      <c r="F1565" s="2" t="n">
        <v>16</v>
      </c>
      <c r="G1565" s="4" t="n">
        <v>24.99</v>
      </c>
      <c r="H1565" s="4" t="n">
        <v>14.62</v>
      </c>
      <c r="I1565" s="4" t="n">
        <f aca="false">F1565*G1565</f>
        <v>399.84</v>
      </c>
      <c r="J1565" s="4" t="n">
        <f aca="false">F1565*H1565</f>
        <v>233.92</v>
      </c>
      <c r="K1565" s="4" t="n">
        <f aca="false">I1565-J1565</f>
        <v>165.92</v>
      </c>
      <c r="L1565" s="5" t="n">
        <f aca="false">IFERROR(K1565/I1565,0)</f>
        <v>0.414965986394558</v>
      </c>
    </row>
    <row r="1566" customFormat="false" ht="15" hidden="false" customHeight="false" outlineLevel="0" collapsed="false">
      <c r="A1566" s="2" t="s">
        <v>52</v>
      </c>
      <c r="B1566" s="2" t="s">
        <v>53</v>
      </c>
      <c r="C1566" s="2" t="s">
        <v>26</v>
      </c>
      <c r="D1566" s="2" t="s">
        <v>31</v>
      </c>
      <c r="E1566" s="3" t="n">
        <v>46082</v>
      </c>
      <c r="F1566" s="2" t="n">
        <v>24</v>
      </c>
      <c r="G1566" s="4" t="n">
        <v>59.99</v>
      </c>
      <c r="H1566" s="4" t="n">
        <v>40.03</v>
      </c>
      <c r="I1566" s="4" t="n">
        <f aca="false">F1566*G1566</f>
        <v>1439.76</v>
      </c>
      <c r="J1566" s="4" t="n">
        <f aca="false">F1566*H1566</f>
        <v>960.72</v>
      </c>
      <c r="K1566" s="4" t="n">
        <f aca="false">I1566-J1566</f>
        <v>479.04</v>
      </c>
      <c r="L1566" s="5" t="n">
        <f aca="false">IFERROR(K1566/I1566,0)</f>
        <v>0.332722120353392</v>
      </c>
    </row>
    <row r="1567" customFormat="false" ht="15" hidden="false" customHeight="false" outlineLevel="0" collapsed="false">
      <c r="A1567" s="2" t="s">
        <v>52</v>
      </c>
      <c r="B1567" s="2" t="s">
        <v>53</v>
      </c>
      <c r="C1567" s="2" t="s">
        <v>32</v>
      </c>
      <c r="D1567" s="2" t="s">
        <v>33</v>
      </c>
      <c r="E1567" s="3" t="n">
        <v>46082</v>
      </c>
      <c r="F1567" s="2" t="n">
        <v>16</v>
      </c>
      <c r="G1567" s="4" t="n">
        <v>49.99</v>
      </c>
      <c r="H1567" s="4" t="n">
        <v>35.71</v>
      </c>
      <c r="I1567" s="4" t="n">
        <f aca="false">F1567*G1567</f>
        <v>799.84</v>
      </c>
      <c r="J1567" s="4" t="n">
        <f aca="false">F1567*H1567</f>
        <v>571.36</v>
      </c>
      <c r="K1567" s="4" t="n">
        <f aca="false">I1567-J1567</f>
        <v>228.48</v>
      </c>
      <c r="L1567" s="5" t="n">
        <f aca="false">IFERROR(K1567/I1567,0)</f>
        <v>0.285657131426285</v>
      </c>
    </row>
    <row r="1568" customFormat="false" ht="15" hidden="false" customHeight="false" outlineLevel="0" collapsed="false">
      <c r="A1568" s="2" t="s">
        <v>52</v>
      </c>
      <c r="B1568" s="2" t="s">
        <v>53</v>
      </c>
      <c r="C1568" s="2" t="s">
        <v>32</v>
      </c>
      <c r="D1568" s="2" t="s">
        <v>34</v>
      </c>
      <c r="E1568" s="3" t="n">
        <v>46082</v>
      </c>
      <c r="F1568" s="2" t="n">
        <v>18</v>
      </c>
      <c r="G1568" s="4" t="n">
        <v>27.99</v>
      </c>
      <c r="H1568" s="4" t="n">
        <v>19.5</v>
      </c>
      <c r="I1568" s="4" t="n">
        <f aca="false">F1568*G1568</f>
        <v>503.82</v>
      </c>
      <c r="J1568" s="4" t="n">
        <f aca="false">F1568*H1568</f>
        <v>351</v>
      </c>
      <c r="K1568" s="4" t="n">
        <f aca="false">I1568-J1568</f>
        <v>152.82</v>
      </c>
      <c r="L1568" s="5" t="n">
        <f aca="false">IFERROR(K1568/I1568,0)</f>
        <v>0.303322615219721</v>
      </c>
    </row>
    <row r="1569" customFormat="false" ht="15" hidden="false" customHeight="false" outlineLevel="0" collapsed="false">
      <c r="A1569" s="2" t="s">
        <v>52</v>
      </c>
      <c r="B1569" s="2" t="s">
        <v>53</v>
      </c>
      <c r="C1569" s="2" t="s">
        <v>32</v>
      </c>
      <c r="D1569" s="2" t="s">
        <v>35</v>
      </c>
      <c r="E1569" s="3" t="n">
        <v>46082</v>
      </c>
      <c r="F1569" s="2" t="n">
        <v>23</v>
      </c>
      <c r="G1569" s="4" t="n">
        <v>64.99</v>
      </c>
      <c r="H1569" s="4" t="n">
        <v>45.39</v>
      </c>
      <c r="I1569" s="4" t="n">
        <f aca="false">F1569*G1569</f>
        <v>1494.77</v>
      </c>
      <c r="J1569" s="4" t="n">
        <f aca="false">F1569*H1569</f>
        <v>1043.97</v>
      </c>
      <c r="K1569" s="4" t="n">
        <f aca="false">I1569-J1569</f>
        <v>450.8</v>
      </c>
      <c r="L1569" s="5" t="n">
        <f aca="false">IFERROR(K1569/I1569,0)</f>
        <v>0.301584859209109</v>
      </c>
    </row>
    <row r="1570" customFormat="false" ht="15" hidden="false" customHeight="false" outlineLevel="0" collapsed="false">
      <c r="A1570" s="2" t="s">
        <v>52</v>
      </c>
      <c r="B1570" s="2" t="s">
        <v>53</v>
      </c>
      <c r="C1570" s="2" t="s">
        <v>32</v>
      </c>
      <c r="D1570" s="2" t="s">
        <v>36</v>
      </c>
      <c r="E1570" s="3" t="n">
        <v>46082</v>
      </c>
      <c r="F1570" s="2" t="n">
        <v>10</v>
      </c>
      <c r="G1570" s="4" t="n">
        <v>22.99</v>
      </c>
      <c r="H1570" s="4" t="n">
        <v>17.16</v>
      </c>
      <c r="I1570" s="4" t="n">
        <f aca="false">F1570*G1570</f>
        <v>229.9</v>
      </c>
      <c r="J1570" s="4" t="n">
        <f aca="false">F1570*H1570</f>
        <v>171.6</v>
      </c>
      <c r="K1570" s="4" t="n">
        <f aca="false">I1570-J1570</f>
        <v>58.3</v>
      </c>
      <c r="L1570" s="5" t="n">
        <f aca="false">IFERROR(K1570/I1570,0)</f>
        <v>0.253588516746411</v>
      </c>
    </row>
    <row r="1571" customFormat="false" ht="15" hidden="false" customHeight="false" outlineLevel="0" collapsed="false">
      <c r="A1571" s="2" t="s">
        <v>52</v>
      </c>
      <c r="B1571" s="2" t="s">
        <v>53</v>
      </c>
      <c r="C1571" s="2" t="s">
        <v>32</v>
      </c>
      <c r="D1571" s="2" t="s">
        <v>37</v>
      </c>
      <c r="E1571" s="3" t="n">
        <v>46082</v>
      </c>
      <c r="F1571" s="2" t="n">
        <v>23</v>
      </c>
      <c r="G1571" s="4" t="n">
        <v>29.99</v>
      </c>
      <c r="H1571" s="4" t="n">
        <v>20.93</v>
      </c>
      <c r="I1571" s="4" t="n">
        <f aca="false">F1571*G1571</f>
        <v>689.77</v>
      </c>
      <c r="J1571" s="4" t="n">
        <f aca="false">F1571*H1571</f>
        <v>481.39</v>
      </c>
      <c r="K1571" s="4" t="n">
        <f aca="false">I1571-J1571</f>
        <v>208.38</v>
      </c>
      <c r="L1571" s="5" t="n">
        <f aca="false">IFERROR(K1571/I1571,0)</f>
        <v>0.302100700233411</v>
      </c>
    </row>
    <row r="1572" customFormat="false" ht="15" hidden="false" customHeight="false" outlineLevel="0" collapsed="false">
      <c r="A1572" s="2" t="s">
        <v>52</v>
      </c>
      <c r="B1572" s="2" t="s">
        <v>53</v>
      </c>
      <c r="C1572" s="2" t="s">
        <v>38</v>
      </c>
      <c r="D1572" s="2" t="s">
        <v>39</v>
      </c>
      <c r="E1572" s="3" t="n">
        <v>46082</v>
      </c>
      <c r="F1572" s="2" t="n">
        <v>18</v>
      </c>
      <c r="G1572" s="4" t="n">
        <v>129.99</v>
      </c>
      <c r="H1572" s="4" t="n">
        <v>74.91</v>
      </c>
      <c r="I1572" s="4" t="n">
        <f aca="false">F1572*G1572</f>
        <v>2339.82</v>
      </c>
      <c r="J1572" s="4" t="n">
        <f aca="false">F1572*H1572</f>
        <v>1348.38</v>
      </c>
      <c r="K1572" s="4" t="n">
        <f aca="false">I1572-J1572</f>
        <v>991.44</v>
      </c>
      <c r="L1572" s="5" t="n">
        <f aca="false">IFERROR(K1572/I1572,0)</f>
        <v>0.423724901915532</v>
      </c>
    </row>
    <row r="1573" customFormat="false" ht="15" hidden="false" customHeight="false" outlineLevel="0" collapsed="false">
      <c r="A1573" s="2" t="s">
        <v>52</v>
      </c>
      <c r="B1573" s="2" t="s">
        <v>53</v>
      </c>
      <c r="C1573" s="2" t="s">
        <v>38</v>
      </c>
      <c r="D1573" s="2" t="s">
        <v>40</v>
      </c>
      <c r="E1573" s="3" t="n">
        <v>46082</v>
      </c>
      <c r="F1573" s="2" t="n">
        <v>17</v>
      </c>
      <c r="G1573" s="4" t="n">
        <v>74.99</v>
      </c>
      <c r="H1573" s="4" t="n">
        <v>42.41</v>
      </c>
      <c r="I1573" s="4" t="n">
        <f aca="false">F1573*G1573</f>
        <v>1274.83</v>
      </c>
      <c r="J1573" s="4" t="n">
        <f aca="false">F1573*H1573</f>
        <v>720.97</v>
      </c>
      <c r="K1573" s="4" t="n">
        <f aca="false">I1573-J1573</f>
        <v>553.86</v>
      </c>
      <c r="L1573" s="5" t="n">
        <f aca="false">IFERROR(K1573/I1573,0)</f>
        <v>0.434457927723697</v>
      </c>
    </row>
    <row r="1574" customFormat="false" ht="15" hidden="false" customHeight="false" outlineLevel="0" collapsed="false">
      <c r="A1574" s="2" t="s">
        <v>52</v>
      </c>
      <c r="B1574" s="2" t="s">
        <v>53</v>
      </c>
      <c r="C1574" s="2" t="s">
        <v>38</v>
      </c>
      <c r="D1574" s="2" t="s">
        <v>41</v>
      </c>
      <c r="E1574" s="3" t="n">
        <v>46082</v>
      </c>
      <c r="F1574" s="2" t="n">
        <v>18</v>
      </c>
      <c r="G1574" s="4" t="n">
        <v>19.99</v>
      </c>
      <c r="H1574" s="4" t="n">
        <v>9.63</v>
      </c>
      <c r="I1574" s="4" t="n">
        <f aca="false">F1574*G1574</f>
        <v>359.82</v>
      </c>
      <c r="J1574" s="4" t="n">
        <f aca="false">F1574*H1574</f>
        <v>173.34</v>
      </c>
      <c r="K1574" s="4" t="n">
        <f aca="false">I1574-J1574</f>
        <v>186.48</v>
      </c>
      <c r="L1574" s="5" t="n">
        <f aca="false">IFERROR(K1574/I1574,0)</f>
        <v>0.518259129564782</v>
      </c>
    </row>
    <row r="1575" customFormat="false" ht="15" hidden="false" customHeight="false" outlineLevel="0" collapsed="false">
      <c r="A1575" s="2" t="s">
        <v>52</v>
      </c>
      <c r="B1575" s="2" t="s">
        <v>53</v>
      </c>
      <c r="C1575" s="2" t="s">
        <v>38</v>
      </c>
      <c r="D1575" s="2" t="s">
        <v>42</v>
      </c>
      <c r="E1575" s="3" t="n">
        <v>46082</v>
      </c>
      <c r="F1575" s="2" t="n">
        <v>16</v>
      </c>
      <c r="G1575" s="4" t="n">
        <v>16.99</v>
      </c>
      <c r="H1575" s="4" t="n">
        <v>8.65</v>
      </c>
      <c r="I1575" s="4" t="n">
        <f aca="false">F1575*G1575</f>
        <v>271.84</v>
      </c>
      <c r="J1575" s="4" t="n">
        <f aca="false">F1575*H1575</f>
        <v>138.4</v>
      </c>
      <c r="K1575" s="4" t="n">
        <f aca="false">I1575-J1575</f>
        <v>133.44</v>
      </c>
      <c r="L1575" s="5" t="n">
        <f aca="false">IFERROR(K1575/I1575,0)</f>
        <v>0.490876986462625</v>
      </c>
    </row>
    <row r="1576" customFormat="false" ht="15" hidden="false" customHeight="false" outlineLevel="0" collapsed="false">
      <c r="A1576" s="2" t="s">
        <v>52</v>
      </c>
      <c r="B1576" s="2" t="s">
        <v>53</v>
      </c>
      <c r="C1576" s="2" t="s">
        <v>38</v>
      </c>
      <c r="D1576" s="2" t="s">
        <v>43</v>
      </c>
      <c r="E1576" s="3" t="n">
        <v>46082</v>
      </c>
      <c r="F1576" s="2" t="n">
        <v>18</v>
      </c>
      <c r="G1576" s="4" t="n">
        <v>24.99</v>
      </c>
      <c r="H1576" s="4" t="n">
        <v>13.22</v>
      </c>
      <c r="I1576" s="4" t="n">
        <f aca="false">F1576*G1576</f>
        <v>449.82</v>
      </c>
      <c r="J1576" s="4" t="n">
        <f aca="false">F1576*H1576</f>
        <v>237.96</v>
      </c>
      <c r="K1576" s="4" t="n">
        <f aca="false">I1576-J1576</f>
        <v>211.86</v>
      </c>
      <c r="L1576" s="5" t="n">
        <f aca="false">IFERROR(K1576/I1576,0)</f>
        <v>0.470988395358143</v>
      </c>
    </row>
    <row r="1577" customFormat="false" ht="15" hidden="false" customHeight="false" outlineLevel="0" collapsed="false">
      <c r="A1577" s="2" t="s">
        <v>52</v>
      </c>
      <c r="B1577" s="2" t="s">
        <v>54</v>
      </c>
      <c r="C1577" s="2" t="s">
        <v>14</v>
      </c>
      <c r="D1577" s="2" t="s">
        <v>15</v>
      </c>
      <c r="E1577" s="3" t="n">
        <v>46082</v>
      </c>
      <c r="F1577" s="2" t="n">
        <v>10</v>
      </c>
      <c r="G1577" s="4" t="n">
        <v>69.99</v>
      </c>
      <c r="H1577" s="4" t="n">
        <v>33.93</v>
      </c>
      <c r="I1577" s="4" t="n">
        <f aca="false">F1577*G1577</f>
        <v>699.9</v>
      </c>
      <c r="J1577" s="4" t="n">
        <f aca="false">F1577*H1577</f>
        <v>339.3</v>
      </c>
      <c r="K1577" s="4" t="n">
        <f aca="false">I1577-J1577</f>
        <v>360.6</v>
      </c>
      <c r="L1577" s="5" t="n">
        <f aca="false">IFERROR(K1577/I1577,0)</f>
        <v>0.515216459494214</v>
      </c>
    </row>
    <row r="1578" customFormat="false" ht="15" hidden="false" customHeight="false" outlineLevel="0" collapsed="false">
      <c r="A1578" s="2" t="s">
        <v>52</v>
      </c>
      <c r="B1578" s="2" t="s">
        <v>54</v>
      </c>
      <c r="C1578" s="2" t="s">
        <v>14</v>
      </c>
      <c r="D1578" s="2" t="s">
        <v>16</v>
      </c>
      <c r="E1578" s="3" t="n">
        <v>46082</v>
      </c>
      <c r="F1578" s="2" t="n">
        <v>10</v>
      </c>
      <c r="G1578" s="4" t="n">
        <v>19.99</v>
      </c>
      <c r="H1578" s="4" t="n">
        <v>8.78</v>
      </c>
      <c r="I1578" s="4" t="n">
        <f aca="false">F1578*G1578</f>
        <v>199.9</v>
      </c>
      <c r="J1578" s="4" t="n">
        <f aca="false">F1578*H1578</f>
        <v>87.8</v>
      </c>
      <c r="K1578" s="4" t="n">
        <f aca="false">I1578-J1578</f>
        <v>112.1</v>
      </c>
      <c r="L1578" s="5" t="n">
        <f aca="false">IFERROR(K1578/I1578,0)</f>
        <v>0.560780390195098</v>
      </c>
    </row>
    <row r="1579" customFormat="false" ht="15" hidden="false" customHeight="false" outlineLevel="0" collapsed="false">
      <c r="A1579" s="2" t="s">
        <v>52</v>
      </c>
      <c r="B1579" s="2" t="s">
        <v>54</v>
      </c>
      <c r="C1579" s="2" t="s">
        <v>14</v>
      </c>
      <c r="D1579" s="2" t="s">
        <v>17</v>
      </c>
      <c r="E1579" s="3" t="n">
        <v>46082</v>
      </c>
      <c r="F1579" s="2" t="n">
        <v>19</v>
      </c>
      <c r="G1579" s="4" t="n">
        <v>79.99</v>
      </c>
      <c r="H1579" s="4" t="n">
        <v>40.28</v>
      </c>
      <c r="I1579" s="4" t="n">
        <f aca="false">F1579*G1579</f>
        <v>1519.81</v>
      </c>
      <c r="J1579" s="4" t="n">
        <f aca="false">F1579*H1579</f>
        <v>765.32</v>
      </c>
      <c r="K1579" s="4" t="n">
        <f aca="false">I1579-J1579</f>
        <v>754.49</v>
      </c>
      <c r="L1579" s="5" t="n">
        <f aca="false">IFERROR(K1579/I1579,0)</f>
        <v>0.496437054631829</v>
      </c>
    </row>
    <row r="1580" customFormat="false" ht="15" hidden="false" customHeight="false" outlineLevel="0" collapsed="false">
      <c r="A1580" s="2" t="s">
        <v>52</v>
      </c>
      <c r="B1580" s="2" t="s">
        <v>54</v>
      </c>
      <c r="C1580" s="2" t="s">
        <v>14</v>
      </c>
      <c r="D1580" s="2" t="s">
        <v>18</v>
      </c>
      <c r="E1580" s="3" t="n">
        <v>46082</v>
      </c>
      <c r="F1580" s="2" t="n">
        <v>15</v>
      </c>
      <c r="G1580" s="4" t="n">
        <v>34.99</v>
      </c>
      <c r="H1580" s="4" t="n">
        <v>14.68</v>
      </c>
      <c r="I1580" s="4" t="n">
        <f aca="false">F1580*G1580</f>
        <v>524.85</v>
      </c>
      <c r="J1580" s="4" t="n">
        <f aca="false">F1580*H1580</f>
        <v>220.2</v>
      </c>
      <c r="K1580" s="4" t="n">
        <f aca="false">I1580-J1580</f>
        <v>304.65</v>
      </c>
      <c r="L1580" s="5" t="n">
        <f aca="false">IFERROR(K1580/I1580,0)</f>
        <v>0.580451557587882</v>
      </c>
    </row>
    <row r="1581" customFormat="false" ht="15" hidden="false" customHeight="false" outlineLevel="0" collapsed="false">
      <c r="A1581" s="2" t="s">
        <v>52</v>
      </c>
      <c r="B1581" s="2" t="s">
        <v>54</v>
      </c>
      <c r="C1581" s="2" t="s">
        <v>14</v>
      </c>
      <c r="D1581" s="2" t="s">
        <v>19</v>
      </c>
      <c r="E1581" s="3" t="n">
        <v>46082</v>
      </c>
      <c r="F1581" s="2" t="n">
        <v>17</v>
      </c>
      <c r="G1581" s="4" t="n">
        <v>54.99</v>
      </c>
      <c r="H1581" s="4" t="n">
        <v>24.32</v>
      </c>
      <c r="I1581" s="4" t="n">
        <f aca="false">F1581*G1581</f>
        <v>934.83</v>
      </c>
      <c r="J1581" s="4" t="n">
        <f aca="false">F1581*H1581</f>
        <v>413.44</v>
      </c>
      <c r="K1581" s="4" t="n">
        <f aca="false">I1581-J1581</f>
        <v>521.39</v>
      </c>
      <c r="L1581" s="5" t="n">
        <f aca="false">IFERROR(K1581/I1581,0)</f>
        <v>0.557737770503728</v>
      </c>
    </row>
    <row r="1582" customFormat="false" ht="15" hidden="false" customHeight="false" outlineLevel="0" collapsed="false">
      <c r="A1582" s="2" t="s">
        <v>52</v>
      </c>
      <c r="B1582" s="2" t="s">
        <v>54</v>
      </c>
      <c r="C1582" s="2" t="s">
        <v>20</v>
      </c>
      <c r="D1582" s="2" t="s">
        <v>21</v>
      </c>
      <c r="E1582" s="3" t="n">
        <v>46082</v>
      </c>
      <c r="F1582" s="2" t="n">
        <v>15</v>
      </c>
      <c r="G1582" s="4" t="n">
        <v>44.99</v>
      </c>
      <c r="H1582" s="4" t="n">
        <v>20.38</v>
      </c>
      <c r="I1582" s="4" t="n">
        <f aca="false">F1582*G1582</f>
        <v>674.85</v>
      </c>
      <c r="J1582" s="4" t="n">
        <f aca="false">F1582*H1582</f>
        <v>305.7</v>
      </c>
      <c r="K1582" s="4" t="n">
        <f aca="false">I1582-J1582</f>
        <v>369.15</v>
      </c>
      <c r="L1582" s="5" t="n">
        <f aca="false">IFERROR(K1582/I1582,0)</f>
        <v>0.547010446765948</v>
      </c>
    </row>
    <row r="1583" customFormat="false" ht="15" hidden="false" customHeight="false" outlineLevel="0" collapsed="false">
      <c r="A1583" s="2" t="s">
        <v>52</v>
      </c>
      <c r="B1583" s="2" t="s">
        <v>54</v>
      </c>
      <c r="C1583" s="2" t="s">
        <v>20</v>
      </c>
      <c r="D1583" s="2" t="s">
        <v>22</v>
      </c>
      <c r="E1583" s="3" t="n">
        <v>46082</v>
      </c>
      <c r="F1583" s="2" t="n">
        <v>18</v>
      </c>
      <c r="G1583" s="4" t="n">
        <v>14.99</v>
      </c>
      <c r="H1583" s="4" t="n">
        <v>5.59</v>
      </c>
      <c r="I1583" s="4" t="n">
        <f aca="false">F1583*G1583</f>
        <v>269.82</v>
      </c>
      <c r="J1583" s="4" t="n">
        <f aca="false">F1583*H1583</f>
        <v>100.62</v>
      </c>
      <c r="K1583" s="4" t="n">
        <f aca="false">I1583-J1583</f>
        <v>169.2</v>
      </c>
      <c r="L1583" s="5" t="n">
        <f aca="false">IFERROR(K1583/I1583,0)</f>
        <v>0.627084723148766</v>
      </c>
    </row>
    <row r="1584" customFormat="false" ht="15" hidden="false" customHeight="false" outlineLevel="0" collapsed="false">
      <c r="A1584" s="2" t="s">
        <v>52</v>
      </c>
      <c r="B1584" s="2" t="s">
        <v>54</v>
      </c>
      <c r="C1584" s="2" t="s">
        <v>20</v>
      </c>
      <c r="D1584" s="2" t="s">
        <v>23</v>
      </c>
      <c r="E1584" s="3" t="n">
        <v>46082</v>
      </c>
      <c r="F1584" s="2" t="n">
        <v>16</v>
      </c>
      <c r="G1584" s="4" t="n">
        <v>39.99</v>
      </c>
      <c r="H1584" s="4" t="n">
        <v>17.21</v>
      </c>
      <c r="I1584" s="4" t="n">
        <f aca="false">F1584*G1584</f>
        <v>639.84</v>
      </c>
      <c r="J1584" s="4" t="n">
        <f aca="false">F1584*H1584</f>
        <v>275.36</v>
      </c>
      <c r="K1584" s="4" t="n">
        <f aca="false">I1584-J1584</f>
        <v>364.48</v>
      </c>
      <c r="L1584" s="5" t="n">
        <f aca="false">IFERROR(K1584/I1584,0)</f>
        <v>0.569642410602651</v>
      </c>
    </row>
    <row r="1585" customFormat="false" ht="15" hidden="false" customHeight="false" outlineLevel="0" collapsed="false">
      <c r="A1585" s="2" t="s">
        <v>52</v>
      </c>
      <c r="B1585" s="2" t="s">
        <v>54</v>
      </c>
      <c r="C1585" s="2" t="s">
        <v>20</v>
      </c>
      <c r="D1585" s="2" t="s">
        <v>24</v>
      </c>
      <c r="E1585" s="3" t="n">
        <v>46082</v>
      </c>
      <c r="F1585" s="2" t="n">
        <v>19</v>
      </c>
      <c r="G1585" s="4" t="n">
        <v>18.99</v>
      </c>
      <c r="H1585" s="4" t="n">
        <v>7.55</v>
      </c>
      <c r="I1585" s="4" t="n">
        <f aca="false">F1585*G1585</f>
        <v>360.81</v>
      </c>
      <c r="J1585" s="4" t="n">
        <f aca="false">F1585*H1585</f>
        <v>143.45</v>
      </c>
      <c r="K1585" s="4" t="n">
        <f aca="false">I1585-J1585</f>
        <v>217.36</v>
      </c>
      <c r="L1585" s="5" t="n">
        <f aca="false">IFERROR(K1585/I1585,0)</f>
        <v>0.602422327540811</v>
      </c>
    </row>
    <row r="1586" customFormat="false" ht="15" hidden="false" customHeight="false" outlineLevel="0" collapsed="false">
      <c r="A1586" s="2" t="s">
        <v>52</v>
      </c>
      <c r="B1586" s="2" t="s">
        <v>54</v>
      </c>
      <c r="C1586" s="2" t="s">
        <v>20</v>
      </c>
      <c r="D1586" s="2" t="s">
        <v>25</v>
      </c>
      <c r="E1586" s="3" t="n">
        <v>46082</v>
      </c>
      <c r="F1586" s="2" t="n">
        <v>14</v>
      </c>
      <c r="G1586" s="4" t="n">
        <v>42.99</v>
      </c>
      <c r="H1586" s="4" t="n">
        <v>15.98</v>
      </c>
      <c r="I1586" s="4" t="n">
        <f aca="false">F1586*G1586</f>
        <v>601.86</v>
      </c>
      <c r="J1586" s="4" t="n">
        <f aca="false">F1586*H1586</f>
        <v>223.72</v>
      </c>
      <c r="K1586" s="4" t="n">
        <f aca="false">I1586-J1586</f>
        <v>378.14</v>
      </c>
      <c r="L1586" s="5" t="n">
        <f aca="false">IFERROR(K1586/I1586,0)</f>
        <v>0.628285647825076</v>
      </c>
    </row>
    <row r="1587" customFormat="false" ht="15" hidden="false" customHeight="false" outlineLevel="0" collapsed="false">
      <c r="A1587" s="2" t="s">
        <v>52</v>
      </c>
      <c r="B1587" s="2" t="s">
        <v>54</v>
      </c>
      <c r="C1587" s="2" t="s">
        <v>26</v>
      </c>
      <c r="D1587" s="2" t="s">
        <v>27</v>
      </c>
      <c r="E1587" s="3" t="n">
        <v>46082</v>
      </c>
      <c r="F1587" s="2" t="n">
        <v>16</v>
      </c>
      <c r="G1587" s="4" t="n">
        <v>44.99</v>
      </c>
      <c r="H1587" s="4" t="n">
        <v>28.61</v>
      </c>
      <c r="I1587" s="4" t="n">
        <f aca="false">F1587*G1587</f>
        <v>719.84</v>
      </c>
      <c r="J1587" s="4" t="n">
        <f aca="false">F1587*H1587</f>
        <v>457.76</v>
      </c>
      <c r="K1587" s="4" t="n">
        <f aca="false">I1587-J1587</f>
        <v>262.08</v>
      </c>
      <c r="L1587" s="5" t="n">
        <f aca="false">IFERROR(K1587/I1587,0)</f>
        <v>0.364080906868193</v>
      </c>
    </row>
    <row r="1588" customFormat="false" ht="15" hidden="false" customHeight="false" outlineLevel="0" collapsed="false">
      <c r="A1588" s="2" t="s">
        <v>52</v>
      </c>
      <c r="B1588" s="2" t="s">
        <v>54</v>
      </c>
      <c r="C1588" s="2" t="s">
        <v>26</v>
      </c>
      <c r="D1588" s="2" t="s">
        <v>28</v>
      </c>
      <c r="E1588" s="3" t="n">
        <v>46082</v>
      </c>
      <c r="F1588" s="2" t="n">
        <v>23</v>
      </c>
      <c r="G1588" s="4" t="n">
        <v>34.99</v>
      </c>
      <c r="H1588" s="4" t="n">
        <v>21.89</v>
      </c>
      <c r="I1588" s="4" t="n">
        <f aca="false">F1588*G1588</f>
        <v>804.77</v>
      </c>
      <c r="J1588" s="4" t="n">
        <f aca="false">F1588*H1588</f>
        <v>503.47</v>
      </c>
      <c r="K1588" s="4" t="n">
        <f aca="false">I1588-J1588</f>
        <v>301.3</v>
      </c>
      <c r="L1588" s="5" t="n">
        <f aca="false">IFERROR(K1588/I1588,0)</f>
        <v>0.374392683623893</v>
      </c>
    </row>
    <row r="1589" customFormat="false" ht="15" hidden="false" customHeight="false" outlineLevel="0" collapsed="false">
      <c r="A1589" s="2" t="s">
        <v>52</v>
      </c>
      <c r="B1589" s="2" t="s">
        <v>54</v>
      </c>
      <c r="C1589" s="2" t="s">
        <v>26</v>
      </c>
      <c r="D1589" s="2" t="s">
        <v>29</v>
      </c>
      <c r="E1589" s="3" t="n">
        <v>46082</v>
      </c>
      <c r="F1589" s="2" t="n">
        <v>19</v>
      </c>
      <c r="G1589" s="4" t="n">
        <v>119.99</v>
      </c>
      <c r="H1589" s="4" t="n">
        <v>80.1</v>
      </c>
      <c r="I1589" s="4" t="n">
        <f aca="false">F1589*G1589</f>
        <v>2279.81</v>
      </c>
      <c r="J1589" s="4" t="n">
        <f aca="false">F1589*H1589</f>
        <v>1521.9</v>
      </c>
      <c r="K1589" s="4" t="n">
        <f aca="false">I1589-J1589</f>
        <v>757.91</v>
      </c>
      <c r="L1589" s="5" t="n">
        <f aca="false">IFERROR(K1589/I1589,0)</f>
        <v>0.332444370364197</v>
      </c>
    </row>
    <row r="1590" customFormat="false" ht="15" hidden="false" customHeight="false" outlineLevel="0" collapsed="false">
      <c r="A1590" s="2" t="s">
        <v>52</v>
      </c>
      <c r="B1590" s="2" t="s">
        <v>54</v>
      </c>
      <c r="C1590" s="2" t="s">
        <v>26</v>
      </c>
      <c r="D1590" s="2" t="s">
        <v>30</v>
      </c>
      <c r="E1590" s="3" t="n">
        <v>46082</v>
      </c>
      <c r="F1590" s="2" t="n">
        <v>17</v>
      </c>
      <c r="G1590" s="4" t="n">
        <v>24.99</v>
      </c>
      <c r="H1590" s="4" t="n">
        <v>14.66</v>
      </c>
      <c r="I1590" s="4" t="n">
        <f aca="false">F1590*G1590</f>
        <v>424.83</v>
      </c>
      <c r="J1590" s="4" t="n">
        <f aca="false">F1590*H1590</f>
        <v>249.22</v>
      </c>
      <c r="K1590" s="4" t="n">
        <f aca="false">I1590-J1590</f>
        <v>175.61</v>
      </c>
      <c r="L1590" s="5" t="n">
        <f aca="false">IFERROR(K1590/I1590,0)</f>
        <v>0.413365346138455</v>
      </c>
    </row>
    <row r="1591" customFormat="false" ht="15" hidden="false" customHeight="false" outlineLevel="0" collapsed="false">
      <c r="A1591" s="2" t="s">
        <v>52</v>
      </c>
      <c r="B1591" s="2" t="s">
        <v>54</v>
      </c>
      <c r="C1591" s="2" t="s">
        <v>26</v>
      </c>
      <c r="D1591" s="2" t="s">
        <v>31</v>
      </c>
      <c r="E1591" s="3" t="n">
        <v>46082</v>
      </c>
      <c r="F1591" s="2" t="n">
        <v>9</v>
      </c>
      <c r="G1591" s="4" t="n">
        <v>59.99</v>
      </c>
      <c r="H1591" s="4" t="n">
        <v>39.2</v>
      </c>
      <c r="I1591" s="4" t="n">
        <f aca="false">F1591*G1591</f>
        <v>539.91</v>
      </c>
      <c r="J1591" s="4" t="n">
        <f aca="false">F1591*H1591</f>
        <v>352.8</v>
      </c>
      <c r="K1591" s="4" t="n">
        <f aca="false">I1591-J1591</f>
        <v>187.11</v>
      </c>
      <c r="L1591" s="5" t="n">
        <f aca="false">IFERROR(K1591/I1591,0)</f>
        <v>0.346557759626604</v>
      </c>
    </row>
    <row r="1592" customFormat="false" ht="15" hidden="false" customHeight="false" outlineLevel="0" collapsed="false">
      <c r="A1592" s="2" t="s">
        <v>52</v>
      </c>
      <c r="B1592" s="2" t="s">
        <v>54</v>
      </c>
      <c r="C1592" s="2" t="s">
        <v>32</v>
      </c>
      <c r="D1592" s="2" t="s">
        <v>33</v>
      </c>
      <c r="E1592" s="3" t="n">
        <v>46082</v>
      </c>
      <c r="F1592" s="2" t="n">
        <v>14</v>
      </c>
      <c r="G1592" s="4" t="n">
        <v>49.99</v>
      </c>
      <c r="H1592" s="4" t="n">
        <v>36.47</v>
      </c>
      <c r="I1592" s="4" t="n">
        <f aca="false">F1592*G1592</f>
        <v>699.86</v>
      </c>
      <c r="J1592" s="4" t="n">
        <f aca="false">F1592*H1592</f>
        <v>510.58</v>
      </c>
      <c r="K1592" s="4" t="n">
        <f aca="false">I1592-J1592</f>
        <v>189.28</v>
      </c>
      <c r="L1592" s="5" t="n">
        <f aca="false">IFERROR(K1592/I1592,0)</f>
        <v>0.270454090818164</v>
      </c>
    </row>
    <row r="1593" customFormat="false" ht="15" hidden="false" customHeight="false" outlineLevel="0" collapsed="false">
      <c r="A1593" s="2" t="s">
        <v>52</v>
      </c>
      <c r="B1593" s="2" t="s">
        <v>54</v>
      </c>
      <c r="C1593" s="2" t="s">
        <v>32</v>
      </c>
      <c r="D1593" s="2" t="s">
        <v>34</v>
      </c>
      <c r="E1593" s="3" t="n">
        <v>46082</v>
      </c>
      <c r="F1593" s="2" t="n">
        <v>19</v>
      </c>
      <c r="G1593" s="4" t="n">
        <v>27.99</v>
      </c>
      <c r="H1593" s="4" t="n">
        <v>19.59</v>
      </c>
      <c r="I1593" s="4" t="n">
        <f aca="false">F1593*G1593</f>
        <v>531.81</v>
      </c>
      <c r="J1593" s="4" t="n">
        <f aca="false">F1593*H1593</f>
        <v>372.21</v>
      </c>
      <c r="K1593" s="4" t="n">
        <f aca="false">I1593-J1593</f>
        <v>159.6</v>
      </c>
      <c r="L1593" s="5" t="n">
        <f aca="false">IFERROR(K1593/I1593,0)</f>
        <v>0.30010718113612</v>
      </c>
    </row>
    <row r="1594" customFormat="false" ht="15" hidden="false" customHeight="false" outlineLevel="0" collapsed="false">
      <c r="A1594" s="2" t="s">
        <v>52</v>
      </c>
      <c r="B1594" s="2" t="s">
        <v>54</v>
      </c>
      <c r="C1594" s="2" t="s">
        <v>32</v>
      </c>
      <c r="D1594" s="2" t="s">
        <v>35</v>
      </c>
      <c r="E1594" s="3" t="n">
        <v>46082</v>
      </c>
      <c r="F1594" s="2" t="n">
        <v>19</v>
      </c>
      <c r="G1594" s="4" t="n">
        <v>64.99</v>
      </c>
      <c r="H1594" s="4" t="n">
        <v>44.31</v>
      </c>
      <c r="I1594" s="4" t="n">
        <f aca="false">F1594*G1594</f>
        <v>1234.81</v>
      </c>
      <c r="J1594" s="4" t="n">
        <f aca="false">F1594*H1594</f>
        <v>841.89</v>
      </c>
      <c r="K1594" s="4" t="n">
        <f aca="false">I1594-J1594</f>
        <v>392.92</v>
      </c>
      <c r="L1594" s="5" t="n">
        <f aca="false">IFERROR(K1594/I1594,0)</f>
        <v>0.318202800430835</v>
      </c>
    </row>
    <row r="1595" customFormat="false" ht="15" hidden="false" customHeight="false" outlineLevel="0" collapsed="false">
      <c r="A1595" s="2" t="s">
        <v>52</v>
      </c>
      <c r="B1595" s="2" t="s">
        <v>54</v>
      </c>
      <c r="C1595" s="2" t="s">
        <v>32</v>
      </c>
      <c r="D1595" s="2" t="s">
        <v>36</v>
      </c>
      <c r="E1595" s="3" t="n">
        <v>46082</v>
      </c>
      <c r="F1595" s="2" t="n">
        <v>17</v>
      </c>
      <c r="G1595" s="4" t="n">
        <v>22.99</v>
      </c>
      <c r="H1595" s="4" t="n">
        <v>16.58</v>
      </c>
      <c r="I1595" s="4" t="n">
        <f aca="false">F1595*G1595</f>
        <v>390.83</v>
      </c>
      <c r="J1595" s="4" t="n">
        <f aca="false">F1595*H1595</f>
        <v>281.86</v>
      </c>
      <c r="K1595" s="4" t="n">
        <f aca="false">I1595-J1595</f>
        <v>108.97</v>
      </c>
      <c r="L1595" s="5" t="n">
        <f aca="false">IFERROR(K1595/I1595,0)</f>
        <v>0.278816876903001</v>
      </c>
    </row>
    <row r="1596" customFormat="false" ht="15" hidden="false" customHeight="false" outlineLevel="0" collapsed="false">
      <c r="A1596" s="2" t="s">
        <v>52</v>
      </c>
      <c r="B1596" s="2" t="s">
        <v>54</v>
      </c>
      <c r="C1596" s="2" t="s">
        <v>32</v>
      </c>
      <c r="D1596" s="2" t="s">
        <v>37</v>
      </c>
      <c r="E1596" s="3" t="n">
        <v>46082</v>
      </c>
      <c r="F1596" s="2" t="n">
        <v>12</v>
      </c>
      <c r="G1596" s="4" t="n">
        <v>29.99</v>
      </c>
      <c r="H1596" s="4" t="n">
        <v>20.85</v>
      </c>
      <c r="I1596" s="4" t="n">
        <f aca="false">F1596*G1596</f>
        <v>359.88</v>
      </c>
      <c r="J1596" s="4" t="n">
        <f aca="false">F1596*H1596</f>
        <v>250.2</v>
      </c>
      <c r="K1596" s="4" t="n">
        <f aca="false">I1596-J1596</f>
        <v>109.68</v>
      </c>
      <c r="L1596" s="5" t="n">
        <f aca="false">IFERROR(K1596/I1596,0)</f>
        <v>0.304768256085362</v>
      </c>
    </row>
    <row r="1597" customFormat="false" ht="15" hidden="false" customHeight="false" outlineLevel="0" collapsed="false">
      <c r="A1597" s="2" t="s">
        <v>52</v>
      </c>
      <c r="B1597" s="2" t="s">
        <v>54</v>
      </c>
      <c r="C1597" s="2" t="s">
        <v>38</v>
      </c>
      <c r="D1597" s="2" t="s">
        <v>39</v>
      </c>
      <c r="E1597" s="3" t="n">
        <v>46082</v>
      </c>
      <c r="F1597" s="2" t="n">
        <v>20</v>
      </c>
      <c r="G1597" s="4" t="n">
        <v>129.99</v>
      </c>
      <c r="H1597" s="4" t="n">
        <v>74.53</v>
      </c>
      <c r="I1597" s="4" t="n">
        <f aca="false">F1597*G1597</f>
        <v>2599.8</v>
      </c>
      <c r="J1597" s="4" t="n">
        <f aca="false">F1597*H1597</f>
        <v>1490.6</v>
      </c>
      <c r="K1597" s="4" t="n">
        <f aca="false">I1597-J1597</f>
        <v>1109.2</v>
      </c>
      <c r="L1597" s="5" t="n">
        <f aca="false">IFERROR(K1597/I1597,0)</f>
        <v>0.426648203707978</v>
      </c>
    </row>
    <row r="1598" customFormat="false" ht="15" hidden="false" customHeight="false" outlineLevel="0" collapsed="false">
      <c r="A1598" s="2" t="s">
        <v>52</v>
      </c>
      <c r="B1598" s="2" t="s">
        <v>54</v>
      </c>
      <c r="C1598" s="2" t="s">
        <v>38</v>
      </c>
      <c r="D1598" s="2" t="s">
        <v>40</v>
      </c>
      <c r="E1598" s="3" t="n">
        <v>46082</v>
      </c>
      <c r="F1598" s="2" t="n">
        <v>16</v>
      </c>
      <c r="G1598" s="4" t="n">
        <v>74.99</v>
      </c>
      <c r="H1598" s="4" t="n">
        <v>40.97</v>
      </c>
      <c r="I1598" s="4" t="n">
        <f aca="false">F1598*G1598</f>
        <v>1199.84</v>
      </c>
      <c r="J1598" s="4" t="n">
        <f aca="false">F1598*H1598</f>
        <v>655.52</v>
      </c>
      <c r="K1598" s="4" t="n">
        <f aca="false">I1598-J1598</f>
        <v>544.32</v>
      </c>
      <c r="L1598" s="5" t="n">
        <f aca="false">IFERROR(K1598/I1598,0)</f>
        <v>0.453660488065075</v>
      </c>
    </row>
    <row r="1599" customFormat="false" ht="15" hidden="false" customHeight="false" outlineLevel="0" collapsed="false">
      <c r="A1599" s="2" t="s">
        <v>52</v>
      </c>
      <c r="B1599" s="2" t="s">
        <v>54</v>
      </c>
      <c r="C1599" s="2" t="s">
        <v>38</v>
      </c>
      <c r="D1599" s="2" t="s">
        <v>41</v>
      </c>
      <c r="E1599" s="3" t="n">
        <v>46082</v>
      </c>
      <c r="F1599" s="2" t="n">
        <v>19</v>
      </c>
      <c r="G1599" s="4" t="n">
        <v>19.99</v>
      </c>
      <c r="H1599" s="4" t="n">
        <v>9.52</v>
      </c>
      <c r="I1599" s="4" t="n">
        <f aca="false">F1599*G1599</f>
        <v>379.81</v>
      </c>
      <c r="J1599" s="4" t="n">
        <f aca="false">F1599*H1599</f>
        <v>180.88</v>
      </c>
      <c r="K1599" s="4" t="n">
        <f aca="false">I1599-J1599</f>
        <v>198.93</v>
      </c>
      <c r="L1599" s="5" t="n">
        <f aca="false">IFERROR(K1599/I1599,0)</f>
        <v>0.52376188094047</v>
      </c>
    </row>
    <row r="1600" customFormat="false" ht="15" hidden="false" customHeight="false" outlineLevel="0" collapsed="false">
      <c r="A1600" s="2" t="s">
        <v>52</v>
      </c>
      <c r="B1600" s="2" t="s">
        <v>54</v>
      </c>
      <c r="C1600" s="2" t="s">
        <v>38</v>
      </c>
      <c r="D1600" s="2" t="s">
        <v>42</v>
      </c>
      <c r="E1600" s="3" t="n">
        <v>46082</v>
      </c>
      <c r="F1600" s="2" t="n">
        <v>17</v>
      </c>
      <c r="G1600" s="4" t="n">
        <v>16.99</v>
      </c>
      <c r="H1600" s="4" t="n">
        <v>8.46</v>
      </c>
      <c r="I1600" s="4" t="n">
        <f aca="false">F1600*G1600</f>
        <v>288.83</v>
      </c>
      <c r="J1600" s="4" t="n">
        <f aca="false">F1600*H1600</f>
        <v>143.82</v>
      </c>
      <c r="K1600" s="4" t="n">
        <f aca="false">I1600-J1600</f>
        <v>145.01</v>
      </c>
      <c r="L1600" s="5" t="n">
        <f aca="false">IFERROR(K1600/I1600,0)</f>
        <v>0.502060035314891</v>
      </c>
    </row>
    <row r="1601" customFormat="false" ht="15" hidden="false" customHeight="false" outlineLevel="0" collapsed="false">
      <c r="A1601" s="2" t="s">
        <v>52</v>
      </c>
      <c r="B1601" s="2" t="s">
        <v>54</v>
      </c>
      <c r="C1601" s="2" t="s">
        <v>38</v>
      </c>
      <c r="D1601" s="2" t="s">
        <v>43</v>
      </c>
      <c r="E1601" s="3" t="n">
        <v>46082</v>
      </c>
      <c r="F1601" s="2" t="n">
        <v>17</v>
      </c>
      <c r="G1601" s="4" t="n">
        <v>24.99</v>
      </c>
      <c r="H1601" s="4" t="n">
        <v>13.32</v>
      </c>
      <c r="I1601" s="4" t="n">
        <f aca="false">F1601*G1601</f>
        <v>424.83</v>
      </c>
      <c r="J1601" s="4" t="n">
        <f aca="false">F1601*H1601</f>
        <v>226.44</v>
      </c>
      <c r="K1601" s="4" t="n">
        <f aca="false">I1601-J1601</f>
        <v>198.39</v>
      </c>
      <c r="L1601" s="5" t="n">
        <f aca="false">IFERROR(K1601/I1601,0)</f>
        <v>0.466986794717887</v>
      </c>
    </row>
    <row r="1602" customFormat="false" ht="15" hidden="false" customHeight="false" outlineLevel="0" collapsed="false">
      <c r="A1602" s="2" t="s">
        <v>12</v>
      </c>
      <c r="B1602" s="2" t="s">
        <v>13</v>
      </c>
      <c r="C1602" s="2" t="s">
        <v>14</v>
      </c>
      <c r="D1602" s="2" t="s">
        <v>15</v>
      </c>
      <c r="E1602" s="3" t="n">
        <v>46113</v>
      </c>
      <c r="F1602" s="2" t="n">
        <v>22</v>
      </c>
      <c r="G1602" s="4" t="n">
        <v>69.99</v>
      </c>
      <c r="H1602" s="4" t="n">
        <v>33.16</v>
      </c>
      <c r="I1602" s="4" t="n">
        <f aca="false">F1602*G1602</f>
        <v>1539.78</v>
      </c>
      <c r="J1602" s="4" t="n">
        <f aca="false">F1602*H1602</f>
        <v>729.52</v>
      </c>
      <c r="K1602" s="4" t="n">
        <f aca="false">I1602-J1602</f>
        <v>810.26</v>
      </c>
      <c r="L1602" s="5" t="n">
        <f aca="false">IFERROR(K1602/I1602,0)</f>
        <v>0.526218031147307</v>
      </c>
    </row>
    <row r="1603" customFormat="false" ht="15" hidden="false" customHeight="false" outlineLevel="0" collapsed="false">
      <c r="A1603" s="2" t="s">
        <v>12</v>
      </c>
      <c r="B1603" s="2" t="s">
        <v>13</v>
      </c>
      <c r="C1603" s="2" t="s">
        <v>14</v>
      </c>
      <c r="D1603" s="2" t="s">
        <v>16</v>
      </c>
      <c r="E1603" s="3" t="n">
        <v>46113</v>
      </c>
      <c r="F1603" s="2" t="n">
        <v>20</v>
      </c>
      <c r="G1603" s="4" t="n">
        <v>19.99</v>
      </c>
      <c r="H1603" s="4" t="n">
        <v>9.11</v>
      </c>
      <c r="I1603" s="4" t="n">
        <f aca="false">F1603*G1603</f>
        <v>399.8</v>
      </c>
      <c r="J1603" s="4" t="n">
        <f aca="false">F1603*H1603</f>
        <v>182.2</v>
      </c>
      <c r="K1603" s="4" t="n">
        <f aca="false">I1603-J1603</f>
        <v>217.6</v>
      </c>
      <c r="L1603" s="5" t="n">
        <f aca="false">IFERROR(K1603/I1603,0)</f>
        <v>0.544272136068034</v>
      </c>
    </row>
    <row r="1604" customFormat="false" ht="15" hidden="false" customHeight="false" outlineLevel="0" collapsed="false">
      <c r="A1604" s="2" t="s">
        <v>12</v>
      </c>
      <c r="B1604" s="2" t="s">
        <v>13</v>
      </c>
      <c r="C1604" s="2" t="s">
        <v>14</v>
      </c>
      <c r="D1604" s="2" t="s">
        <v>17</v>
      </c>
      <c r="E1604" s="3" t="n">
        <v>46113</v>
      </c>
      <c r="F1604" s="2" t="n">
        <v>23</v>
      </c>
      <c r="G1604" s="4" t="n">
        <v>79.99</v>
      </c>
      <c r="H1604" s="4" t="n">
        <v>40.56</v>
      </c>
      <c r="I1604" s="4" t="n">
        <f aca="false">F1604*G1604</f>
        <v>1839.77</v>
      </c>
      <c r="J1604" s="4" t="n">
        <f aca="false">F1604*H1604</f>
        <v>932.88</v>
      </c>
      <c r="K1604" s="4" t="n">
        <f aca="false">I1604-J1604</f>
        <v>906.89</v>
      </c>
      <c r="L1604" s="5" t="n">
        <f aca="false">IFERROR(K1604/I1604,0)</f>
        <v>0.492936617077135</v>
      </c>
    </row>
    <row r="1605" customFormat="false" ht="15" hidden="false" customHeight="false" outlineLevel="0" collapsed="false">
      <c r="A1605" s="2" t="s">
        <v>12</v>
      </c>
      <c r="B1605" s="2" t="s">
        <v>13</v>
      </c>
      <c r="C1605" s="2" t="s">
        <v>14</v>
      </c>
      <c r="D1605" s="2" t="s">
        <v>18</v>
      </c>
      <c r="E1605" s="3" t="n">
        <v>46113</v>
      </c>
      <c r="F1605" s="2" t="n">
        <v>14</v>
      </c>
      <c r="G1605" s="4" t="n">
        <v>34.99</v>
      </c>
      <c r="H1605" s="4" t="n">
        <v>14.87</v>
      </c>
      <c r="I1605" s="4" t="n">
        <f aca="false">F1605*G1605</f>
        <v>489.86</v>
      </c>
      <c r="J1605" s="4" t="n">
        <f aca="false">F1605*H1605</f>
        <v>208.18</v>
      </c>
      <c r="K1605" s="4" t="n">
        <f aca="false">I1605-J1605</f>
        <v>281.68</v>
      </c>
      <c r="L1605" s="5" t="n">
        <f aca="false">IFERROR(K1605/I1605,0)</f>
        <v>0.575021434695627</v>
      </c>
    </row>
    <row r="1606" customFormat="false" ht="15" hidden="false" customHeight="false" outlineLevel="0" collapsed="false">
      <c r="A1606" s="2" t="s">
        <v>12</v>
      </c>
      <c r="B1606" s="2" t="s">
        <v>13</v>
      </c>
      <c r="C1606" s="2" t="s">
        <v>14</v>
      </c>
      <c r="D1606" s="2" t="s">
        <v>19</v>
      </c>
      <c r="E1606" s="3" t="n">
        <v>46113</v>
      </c>
      <c r="F1606" s="2" t="n">
        <v>20</v>
      </c>
      <c r="G1606" s="4" t="n">
        <v>54.99</v>
      </c>
      <c r="H1606" s="4" t="n">
        <v>24.2</v>
      </c>
      <c r="I1606" s="4" t="n">
        <f aca="false">F1606*G1606</f>
        <v>1099.8</v>
      </c>
      <c r="J1606" s="4" t="n">
        <f aca="false">F1606*H1606</f>
        <v>484</v>
      </c>
      <c r="K1606" s="4" t="n">
        <f aca="false">I1606-J1606</f>
        <v>615.8</v>
      </c>
      <c r="L1606" s="5" t="n">
        <f aca="false">IFERROR(K1606/I1606,0)</f>
        <v>0.5599199854519</v>
      </c>
    </row>
    <row r="1607" customFormat="false" ht="15" hidden="false" customHeight="false" outlineLevel="0" collapsed="false">
      <c r="A1607" s="2" t="s">
        <v>12</v>
      </c>
      <c r="B1607" s="2" t="s">
        <v>13</v>
      </c>
      <c r="C1607" s="2" t="s">
        <v>20</v>
      </c>
      <c r="D1607" s="2" t="s">
        <v>21</v>
      </c>
      <c r="E1607" s="3" t="n">
        <v>46113</v>
      </c>
      <c r="F1607" s="2" t="n">
        <v>23</v>
      </c>
      <c r="G1607" s="4" t="n">
        <v>44.99</v>
      </c>
      <c r="H1607" s="4" t="n">
        <v>20.55</v>
      </c>
      <c r="I1607" s="4" t="n">
        <f aca="false">F1607*G1607</f>
        <v>1034.77</v>
      </c>
      <c r="J1607" s="4" t="n">
        <f aca="false">F1607*H1607</f>
        <v>472.65</v>
      </c>
      <c r="K1607" s="4" t="n">
        <f aca="false">I1607-J1607</f>
        <v>562.12</v>
      </c>
      <c r="L1607" s="5" t="n">
        <f aca="false">IFERROR(K1607/I1607,0)</f>
        <v>0.543231829295399</v>
      </c>
    </row>
    <row r="1608" customFormat="false" ht="15" hidden="false" customHeight="false" outlineLevel="0" collapsed="false">
      <c r="A1608" s="2" t="s">
        <v>12</v>
      </c>
      <c r="B1608" s="2" t="s">
        <v>13</v>
      </c>
      <c r="C1608" s="2" t="s">
        <v>20</v>
      </c>
      <c r="D1608" s="2" t="s">
        <v>22</v>
      </c>
      <c r="E1608" s="3" t="n">
        <v>46113</v>
      </c>
      <c r="F1608" s="2" t="n">
        <v>20</v>
      </c>
      <c r="G1608" s="4" t="n">
        <v>14.99</v>
      </c>
      <c r="H1608" s="4" t="n">
        <v>5.79</v>
      </c>
      <c r="I1608" s="4" t="n">
        <f aca="false">F1608*G1608</f>
        <v>299.8</v>
      </c>
      <c r="J1608" s="4" t="n">
        <f aca="false">F1608*H1608</f>
        <v>115.8</v>
      </c>
      <c r="K1608" s="4" t="n">
        <f aca="false">I1608-J1608</f>
        <v>184</v>
      </c>
      <c r="L1608" s="5" t="n">
        <f aca="false">IFERROR(K1608/I1608,0)</f>
        <v>0.613742494996664</v>
      </c>
    </row>
    <row r="1609" customFormat="false" ht="15" hidden="false" customHeight="false" outlineLevel="0" collapsed="false">
      <c r="A1609" s="2" t="s">
        <v>12</v>
      </c>
      <c r="B1609" s="2" t="s">
        <v>13</v>
      </c>
      <c r="C1609" s="2" t="s">
        <v>20</v>
      </c>
      <c r="D1609" s="2" t="s">
        <v>23</v>
      </c>
      <c r="E1609" s="3" t="n">
        <v>46113</v>
      </c>
      <c r="F1609" s="2" t="n">
        <v>14</v>
      </c>
      <c r="G1609" s="4" t="n">
        <v>39.99</v>
      </c>
      <c r="H1609" s="4" t="n">
        <v>16.82</v>
      </c>
      <c r="I1609" s="4" t="n">
        <f aca="false">F1609*G1609</f>
        <v>559.86</v>
      </c>
      <c r="J1609" s="4" t="n">
        <f aca="false">F1609*H1609</f>
        <v>235.48</v>
      </c>
      <c r="K1609" s="4" t="n">
        <f aca="false">I1609-J1609</f>
        <v>324.38</v>
      </c>
      <c r="L1609" s="5" t="n">
        <f aca="false">IFERROR(K1609/I1609,0)</f>
        <v>0.579394848712178</v>
      </c>
    </row>
    <row r="1610" customFormat="false" ht="15" hidden="false" customHeight="false" outlineLevel="0" collapsed="false">
      <c r="A1610" s="2" t="s">
        <v>12</v>
      </c>
      <c r="B1610" s="2" t="s">
        <v>13</v>
      </c>
      <c r="C1610" s="2" t="s">
        <v>20</v>
      </c>
      <c r="D1610" s="2" t="s">
        <v>24</v>
      </c>
      <c r="E1610" s="3" t="n">
        <v>46113</v>
      </c>
      <c r="F1610" s="2" t="n">
        <v>16</v>
      </c>
      <c r="G1610" s="4" t="n">
        <v>18.99</v>
      </c>
      <c r="H1610" s="4" t="n">
        <v>7.47</v>
      </c>
      <c r="I1610" s="4" t="n">
        <f aca="false">F1610*G1610</f>
        <v>303.84</v>
      </c>
      <c r="J1610" s="4" t="n">
        <f aca="false">F1610*H1610</f>
        <v>119.52</v>
      </c>
      <c r="K1610" s="4" t="n">
        <f aca="false">I1610-J1610</f>
        <v>184.32</v>
      </c>
      <c r="L1610" s="5" t="n">
        <f aca="false">IFERROR(K1610/I1610,0)</f>
        <v>0.606635071090047</v>
      </c>
    </row>
    <row r="1611" customFormat="false" ht="15" hidden="false" customHeight="false" outlineLevel="0" collapsed="false">
      <c r="A1611" s="2" t="s">
        <v>12</v>
      </c>
      <c r="B1611" s="2" t="s">
        <v>13</v>
      </c>
      <c r="C1611" s="2" t="s">
        <v>20</v>
      </c>
      <c r="D1611" s="2" t="s">
        <v>25</v>
      </c>
      <c r="E1611" s="3" t="n">
        <v>46113</v>
      </c>
      <c r="F1611" s="2" t="n">
        <v>8</v>
      </c>
      <c r="G1611" s="4" t="n">
        <v>42.99</v>
      </c>
      <c r="H1611" s="4" t="n">
        <v>16.26</v>
      </c>
      <c r="I1611" s="4" t="n">
        <f aca="false">F1611*G1611</f>
        <v>343.92</v>
      </c>
      <c r="J1611" s="4" t="n">
        <f aca="false">F1611*H1611</f>
        <v>130.08</v>
      </c>
      <c r="K1611" s="4" t="n">
        <f aca="false">I1611-J1611</f>
        <v>213.84</v>
      </c>
      <c r="L1611" s="5" t="n">
        <f aca="false">IFERROR(K1611/I1611,0)</f>
        <v>0.621772505233775</v>
      </c>
    </row>
    <row r="1612" customFormat="false" ht="15" hidden="false" customHeight="false" outlineLevel="0" collapsed="false">
      <c r="A1612" s="2" t="s">
        <v>12</v>
      </c>
      <c r="B1612" s="2" t="s">
        <v>13</v>
      </c>
      <c r="C1612" s="2" t="s">
        <v>26</v>
      </c>
      <c r="D1612" s="2" t="s">
        <v>27</v>
      </c>
      <c r="E1612" s="3" t="n">
        <v>46113</v>
      </c>
      <c r="F1612" s="2" t="n">
        <v>18</v>
      </c>
      <c r="G1612" s="4" t="n">
        <v>44.99</v>
      </c>
      <c r="H1612" s="4" t="n">
        <v>28.08</v>
      </c>
      <c r="I1612" s="4" t="n">
        <f aca="false">F1612*G1612</f>
        <v>809.82</v>
      </c>
      <c r="J1612" s="4" t="n">
        <f aca="false">F1612*H1612</f>
        <v>505.44</v>
      </c>
      <c r="K1612" s="4" t="n">
        <f aca="false">I1612-J1612</f>
        <v>304.38</v>
      </c>
      <c r="L1612" s="5" t="n">
        <f aca="false">IFERROR(K1612/I1612,0)</f>
        <v>0.375861302511669</v>
      </c>
    </row>
    <row r="1613" customFormat="false" ht="15" hidden="false" customHeight="false" outlineLevel="0" collapsed="false">
      <c r="A1613" s="2" t="s">
        <v>12</v>
      </c>
      <c r="B1613" s="2" t="s">
        <v>13</v>
      </c>
      <c r="C1613" s="2" t="s">
        <v>26</v>
      </c>
      <c r="D1613" s="2" t="s">
        <v>28</v>
      </c>
      <c r="E1613" s="3" t="n">
        <v>46113</v>
      </c>
      <c r="F1613" s="2" t="n">
        <v>27</v>
      </c>
      <c r="G1613" s="4" t="n">
        <v>34.99</v>
      </c>
      <c r="H1613" s="4" t="n">
        <v>22.98</v>
      </c>
      <c r="I1613" s="4" t="n">
        <f aca="false">F1613*G1613</f>
        <v>944.73</v>
      </c>
      <c r="J1613" s="4" t="n">
        <f aca="false">F1613*H1613</f>
        <v>620.46</v>
      </c>
      <c r="K1613" s="4" t="n">
        <f aca="false">I1613-J1613</f>
        <v>324.27</v>
      </c>
      <c r="L1613" s="5" t="n">
        <f aca="false">IFERROR(K1613/I1613,0)</f>
        <v>0.343240925978851</v>
      </c>
    </row>
    <row r="1614" customFormat="false" ht="15" hidden="false" customHeight="false" outlineLevel="0" collapsed="false">
      <c r="A1614" s="2" t="s">
        <v>12</v>
      </c>
      <c r="B1614" s="2" t="s">
        <v>13</v>
      </c>
      <c r="C1614" s="2" t="s">
        <v>26</v>
      </c>
      <c r="D1614" s="2" t="s">
        <v>29</v>
      </c>
      <c r="E1614" s="3" t="n">
        <v>46113</v>
      </c>
      <c r="F1614" s="2" t="n">
        <v>22</v>
      </c>
      <c r="G1614" s="4" t="n">
        <v>119.99</v>
      </c>
      <c r="H1614" s="4" t="n">
        <v>79.76</v>
      </c>
      <c r="I1614" s="4" t="n">
        <f aca="false">F1614*G1614</f>
        <v>2639.78</v>
      </c>
      <c r="J1614" s="4" t="n">
        <f aca="false">F1614*H1614</f>
        <v>1754.72</v>
      </c>
      <c r="K1614" s="4" t="n">
        <f aca="false">I1614-J1614</f>
        <v>885.06</v>
      </c>
      <c r="L1614" s="5" t="n">
        <f aca="false">IFERROR(K1614/I1614,0)</f>
        <v>0.335277939828319</v>
      </c>
    </row>
    <row r="1615" customFormat="false" ht="15" hidden="false" customHeight="false" outlineLevel="0" collapsed="false">
      <c r="A1615" s="2" t="s">
        <v>12</v>
      </c>
      <c r="B1615" s="2" t="s">
        <v>13</v>
      </c>
      <c r="C1615" s="2" t="s">
        <v>26</v>
      </c>
      <c r="D1615" s="2" t="s">
        <v>30</v>
      </c>
      <c r="E1615" s="3" t="n">
        <v>46113</v>
      </c>
      <c r="F1615" s="2" t="n">
        <v>16</v>
      </c>
      <c r="G1615" s="4" t="n">
        <v>24.99</v>
      </c>
      <c r="H1615" s="4" t="n">
        <v>15.1</v>
      </c>
      <c r="I1615" s="4" t="n">
        <f aca="false">F1615*G1615</f>
        <v>399.84</v>
      </c>
      <c r="J1615" s="4" t="n">
        <f aca="false">F1615*H1615</f>
        <v>241.6</v>
      </c>
      <c r="K1615" s="4" t="n">
        <f aca="false">I1615-J1615</f>
        <v>158.24</v>
      </c>
      <c r="L1615" s="5" t="n">
        <f aca="false">IFERROR(K1615/I1615,0)</f>
        <v>0.395758303321329</v>
      </c>
    </row>
    <row r="1616" customFormat="false" ht="15" hidden="false" customHeight="false" outlineLevel="0" collapsed="false">
      <c r="A1616" s="2" t="s">
        <v>12</v>
      </c>
      <c r="B1616" s="2" t="s">
        <v>13</v>
      </c>
      <c r="C1616" s="2" t="s">
        <v>26</v>
      </c>
      <c r="D1616" s="2" t="s">
        <v>31</v>
      </c>
      <c r="E1616" s="3" t="n">
        <v>46113</v>
      </c>
      <c r="F1616" s="2" t="n">
        <v>20</v>
      </c>
      <c r="G1616" s="4" t="n">
        <v>59.99</v>
      </c>
      <c r="H1616" s="4" t="n">
        <v>39.27</v>
      </c>
      <c r="I1616" s="4" t="n">
        <f aca="false">F1616*G1616</f>
        <v>1199.8</v>
      </c>
      <c r="J1616" s="4" t="n">
        <f aca="false">F1616*H1616</f>
        <v>785.4</v>
      </c>
      <c r="K1616" s="4" t="n">
        <f aca="false">I1616-J1616</f>
        <v>414.4</v>
      </c>
      <c r="L1616" s="5" t="n">
        <f aca="false">IFERROR(K1616/I1616,0)</f>
        <v>0.34539089848308</v>
      </c>
    </row>
    <row r="1617" customFormat="false" ht="15" hidden="false" customHeight="false" outlineLevel="0" collapsed="false">
      <c r="A1617" s="2" t="s">
        <v>12</v>
      </c>
      <c r="B1617" s="2" t="s">
        <v>13</v>
      </c>
      <c r="C1617" s="2" t="s">
        <v>32</v>
      </c>
      <c r="D1617" s="2" t="s">
        <v>33</v>
      </c>
      <c r="E1617" s="3" t="n">
        <v>46113</v>
      </c>
      <c r="F1617" s="2" t="n">
        <v>14</v>
      </c>
      <c r="G1617" s="4" t="n">
        <v>49.99</v>
      </c>
      <c r="H1617" s="4" t="n">
        <v>36.52</v>
      </c>
      <c r="I1617" s="4" t="n">
        <f aca="false">F1617*G1617</f>
        <v>699.86</v>
      </c>
      <c r="J1617" s="4" t="n">
        <f aca="false">F1617*H1617</f>
        <v>511.28</v>
      </c>
      <c r="K1617" s="4" t="n">
        <f aca="false">I1617-J1617</f>
        <v>188.58</v>
      </c>
      <c r="L1617" s="5" t="n">
        <f aca="false">IFERROR(K1617/I1617,0)</f>
        <v>0.269453890778156</v>
      </c>
    </row>
    <row r="1618" customFormat="false" ht="15" hidden="false" customHeight="false" outlineLevel="0" collapsed="false">
      <c r="A1618" s="2" t="s">
        <v>12</v>
      </c>
      <c r="B1618" s="2" t="s">
        <v>13</v>
      </c>
      <c r="C1618" s="2" t="s">
        <v>32</v>
      </c>
      <c r="D1618" s="2" t="s">
        <v>34</v>
      </c>
      <c r="E1618" s="3" t="n">
        <v>46113</v>
      </c>
      <c r="F1618" s="2" t="n">
        <v>16</v>
      </c>
      <c r="G1618" s="4" t="n">
        <v>27.99</v>
      </c>
      <c r="H1618" s="4" t="n">
        <v>19.66</v>
      </c>
      <c r="I1618" s="4" t="n">
        <f aca="false">F1618*G1618</f>
        <v>447.84</v>
      </c>
      <c r="J1618" s="4" t="n">
        <f aca="false">F1618*H1618</f>
        <v>314.56</v>
      </c>
      <c r="K1618" s="4" t="n">
        <f aca="false">I1618-J1618</f>
        <v>133.28</v>
      </c>
      <c r="L1618" s="5" t="n">
        <f aca="false">IFERROR(K1618/I1618,0)</f>
        <v>0.297606287959986</v>
      </c>
    </row>
    <row r="1619" customFormat="false" ht="15" hidden="false" customHeight="false" outlineLevel="0" collapsed="false">
      <c r="A1619" s="2" t="s">
        <v>12</v>
      </c>
      <c r="B1619" s="2" t="s">
        <v>13</v>
      </c>
      <c r="C1619" s="2" t="s">
        <v>32</v>
      </c>
      <c r="D1619" s="2" t="s">
        <v>35</v>
      </c>
      <c r="E1619" s="3" t="n">
        <v>46113</v>
      </c>
      <c r="F1619" s="2" t="n">
        <v>23</v>
      </c>
      <c r="G1619" s="4" t="n">
        <v>64.99</v>
      </c>
      <c r="H1619" s="4" t="n">
        <v>44.43</v>
      </c>
      <c r="I1619" s="4" t="n">
        <f aca="false">F1619*G1619</f>
        <v>1494.77</v>
      </c>
      <c r="J1619" s="4" t="n">
        <f aca="false">F1619*H1619</f>
        <v>1021.89</v>
      </c>
      <c r="K1619" s="4" t="n">
        <f aca="false">I1619-J1619</f>
        <v>472.88</v>
      </c>
      <c r="L1619" s="5" t="n">
        <f aca="false">IFERROR(K1619/I1619,0)</f>
        <v>0.31635636251731</v>
      </c>
    </row>
    <row r="1620" customFormat="false" ht="15" hidden="false" customHeight="false" outlineLevel="0" collapsed="false">
      <c r="A1620" s="2" t="s">
        <v>12</v>
      </c>
      <c r="B1620" s="2" t="s">
        <v>13</v>
      </c>
      <c r="C1620" s="2" t="s">
        <v>32</v>
      </c>
      <c r="D1620" s="2" t="s">
        <v>36</v>
      </c>
      <c r="E1620" s="3" t="n">
        <v>46113</v>
      </c>
      <c r="F1620" s="2" t="n">
        <v>7</v>
      </c>
      <c r="G1620" s="4" t="n">
        <v>22.99</v>
      </c>
      <c r="H1620" s="4" t="n">
        <v>17.12</v>
      </c>
      <c r="I1620" s="4" t="n">
        <f aca="false">F1620*G1620</f>
        <v>160.93</v>
      </c>
      <c r="J1620" s="4" t="n">
        <f aca="false">F1620*H1620</f>
        <v>119.84</v>
      </c>
      <c r="K1620" s="4" t="n">
        <f aca="false">I1620-J1620</f>
        <v>41.09</v>
      </c>
      <c r="L1620" s="5" t="n">
        <f aca="false">IFERROR(K1620/I1620,0)</f>
        <v>0.255328403653762</v>
      </c>
    </row>
    <row r="1621" customFormat="false" ht="15" hidden="false" customHeight="false" outlineLevel="0" collapsed="false">
      <c r="A1621" s="2" t="s">
        <v>12</v>
      </c>
      <c r="B1621" s="2" t="s">
        <v>13</v>
      </c>
      <c r="C1621" s="2" t="s">
        <v>32</v>
      </c>
      <c r="D1621" s="2" t="s">
        <v>37</v>
      </c>
      <c r="E1621" s="3" t="n">
        <v>46113</v>
      </c>
      <c r="F1621" s="2" t="n">
        <v>12</v>
      </c>
      <c r="G1621" s="4" t="n">
        <v>29.99</v>
      </c>
      <c r="H1621" s="4" t="n">
        <v>19.96</v>
      </c>
      <c r="I1621" s="4" t="n">
        <f aca="false">F1621*G1621</f>
        <v>359.88</v>
      </c>
      <c r="J1621" s="4" t="n">
        <f aca="false">F1621*H1621</f>
        <v>239.52</v>
      </c>
      <c r="K1621" s="4" t="n">
        <f aca="false">I1621-J1621</f>
        <v>120.36</v>
      </c>
      <c r="L1621" s="5" t="n">
        <f aca="false">IFERROR(K1621/I1621,0)</f>
        <v>0.334444814938313</v>
      </c>
    </row>
    <row r="1622" customFormat="false" ht="15" hidden="false" customHeight="false" outlineLevel="0" collapsed="false">
      <c r="A1622" s="2" t="s">
        <v>12</v>
      </c>
      <c r="B1622" s="2" t="s">
        <v>13</v>
      </c>
      <c r="C1622" s="2" t="s">
        <v>38</v>
      </c>
      <c r="D1622" s="2" t="s">
        <v>39</v>
      </c>
      <c r="E1622" s="3" t="n">
        <v>46113</v>
      </c>
      <c r="F1622" s="2" t="n">
        <v>16</v>
      </c>
      <c r="G1622" s="4" t="n">
        <v>129.99</v>
      </c>
      <c r="H1622" s="4" t="n">
        <v>77.36</v>
      </c>
      <c r="I1622" s="4" t="n">
        <f aca="false">F1622*G1622</f>
        <v>2079.84</v>
      </c>
      <c r="J1622" s="4" t="n">
        <f aca="false">F1622*H1622</f>
        <v>1237.76</v>
      </c>
      <c r="K1622" s="4" t="n">
        <f aca="false">I1622-J1622</f>
        <v>842.08</v>
      </c>
      <c r="L1622" s="5" t="n">
        <f aca="false">IFERROR(K1622/I1622,0)</f>
        <v>0.404877298253712</v>
      </c>
    </row>
    <row r="1623" customFormat="false" ht="15" hidden="false" customHeight="false" outlineLevel="0" collapsed="false">
      <c r="A1623" s="2" t="s">
        <v>12</v>
      </c>
      <c r="B1623" s="2" t="s">
        <v>13</v>
      </c>
      <c r="C1623" s="2" t="s">
        <v>38</v>
      </c>
      <c r="D1623" s="2" t="s">
        <v>40</v>
      </c>
      <c r="E1623" s="3" t="n">
        <v>46113</v>
      </c>
      <c r="F1623" s="2" t="n">
        <v>22</v>
      </c>
      <c r="G1623" s="4" t="n">
        <v>74.99</v>
      </c>
      <c r="H1623" s="4" t="n">
        <v>40.62</v>
      </c>
      <c r="I1623" s="4" t="n">
        <f aca="false">F1623*G1623</f>
        <v>1649.78</v>
      </c>
      <c r="J1623" s="4" t="n">
        <f aca="false">F1623*H1623</f>
        <v>893.64</v>
      </c>
      <c r="K1623" s="4" t="n">
        <f aca="false">I1623-J1623</f>
        <v>756.14</v>
      </c>
      <c r="L1623" s="5" t="n">
        <f aca="false">IFERROR(K1623/I1623,0)</f>
        <v>0.458327777036938</v>
      </c>
    </row>
    <row r="1624" customFormat="false" ht="15" hidden="false" customHeight="false" outlineLevel="0" collapsed="false">
      <c r="A1624" s="2" t="s">
        <v>12</v>
      </c>
      <c r="B1624" s="2" t="s">
        <v>13</v>
      </c>
      <c r="C1624" s="2" t="s">
        <v>38</v>
      </c>
      <c r="D1624" s="2" t="s">
        <v>41</v>
      </c>
      <c r="E1624" s="3" t="n">
        <v>46113</v>
      </c>
      <c r="F1624" s="2" t="n">
        <v>18</v>
      </c>
      <c r="G1624" s="4" t="n">
        <v>19.99</v>
      </c>
      <c r="H1624" s="4" t="n">
        <v>9.72</v>
      </c>
      <c r="I1624" s="4" t="n">
        <f aca="false">F1624*G1624</f>
        <v>359.82</v>
      </c>
      <c r="J1624" s="4" t="n">
        <f aca="false">F1624*H1624</f>
        <v>174.96</v>
      </c>
      <c r="K1624" s="4" t="n">
        <f aca="false">I1624-J1624</f>
        <v>184.86</v>
      </c>
      <c r="L1624" s="5" t="n">
        <f aca="false">IFERROR(K1624/I1624,0)</f>
        <v>0.51375687843922</v>
      </c>
    </row>
    <row r="1625" customFormat="false" ht="15" hidden="false" customHeight="false" outlineLevel="0" collapsed="false">
      <c r="A1625" s="2" t="s">
        <v>12</v>
      </c>
      <c r="B1625" s="2" t="s">
        <v>13</v>
      </c>
      <c r="C1625" s="2" t="s">
        <v>38</v>
      </c>
      <c r="D1625" s="2" t="s">
        <v>42</v>
      </c>
      <c r="E1625" s="3" t="n">
        <v>46113</v>
      </c>
      <c r="F1625" s="2" t="n">
        <v>12</v>
      </c>
      <c r="G1625" s="4" t="n">
        <v>16.99</v>
      </c>
      <c r="H1625" s="4" t="n">
        <v>8.71</v>
      </c>
      <c r="I1625" s="4" t="n">
        <f aca="false">F1625*G1625</f>
        <v>203.88</v>
      </c>
      <c r="J1625" s="4" t="n">
        <f aca="false">F1625*H1625</f>
        <v>104.52</v>
      </c>
      <c r="K1625" s="4" t="n">
        <f aca="false">I1625-J1625</f>
        <v>99.36</v>
      </c>
      <c r="L1625" s="5" t="n">
        <f aca="false">IFERROR(K1625/I1625,0)</f>
        <v>0.487345497351383</v>
      </c>
    </row>
    <row r="1626" customFormat="false" ht="15" hidden="false" customHeight="false" outlineLevel="0" collapsed="false">
      <c r="A1626" s="2" t="s">
        <v>12</v>
      </c>
      <c r="B1626" s="2" t="s">
        <v>13</v>
      </c>
      <c r="C1626" s="2" t="s">
        <v>38</v>
      </c>
      <c r="D1626" s="2" t="s">
        <v>43</v>
      </c>
      <c r="E1626" s="3" t="n">
        <v>46113</v>
      </c>
      <c r="F1626" s="2" t="n">
        <v>15</v>
      </c>
      <c r="G1626" s="4" t="n">
        <v>24.99</v>
      </c>
      <c r="H1626" s="4" t="n">
        <v>13.26</v>
      </c>
      <c r="I1626" s="4" t="n">
        <f aca="false">F1626*G1626</f>
        <v>374.85</v>
      </c>
      <c r="J1626" s="4" t="n">
        <f aca="false">F1626*H1626</f>
        <v>198.9</v>
      </c>
      <c r="K1626" s="4" t="n">
        <f aca="false">I1626-J1626</f>
        <v>175.95</v>
      </c>
      <c r="L1626" s="5" t="n">
        <f aca="false">IFERROR(K1626/I1626,0)</f>
        <v>0.469387755102041</v>
      </c>
    </row>
    <row r="1627" customFormat="false" ht="15" hidden="false" customHeight="false" outlineLevel="0" collapsed="false">
      <c r="A1627" s="2" t="s">
        <v>44</v>
      </c>
      <c r="B1627" s="2" t="s">
        <v>45</v>
      </c>
      <c r="C1627" s="2" t="s">
        <v>14</v>
      </c>
      <c r="D1627" s="2" t="s">
        <v>15</v>
      </c>
      <c r="E1627" s="3" t="n">
        <v>46113</v>
      </c>
      <c r="F1627" s="2" t="n">
        <v>20</v>
      </c>
      <c r="G1627" s="4" t="n">
        <v>69.99</v>
      </c>
      <c r="H1627" s="4" t="n">
        <v>33.83</v>
      </c>
      <c r="I1627" s="4" t="n">
        <f aca="false">F1627*G1627</f>
        <v>1399.8</v>
      </c>
      <c r="J1627" s="4" t="n">
        <f aca="false">F1627*H1627</f>
        <v>676.6</v>
      </c>
      <c r="K1627" s="4" t="n">
        <f aca="false">I1627-J1627</f>
        <v>723.2</v>
      </c>
      <c r="L1627" s="5" t="n">
        <f aca="false">IFERROR(K1627/I1627,0)</f>
        <v>0.516645235033576</v>
      </c>
    </row>
    <row r="1628" customFormat="false" ht="15" hidden="false" customHeight="false" outlineLevel="0" collapsed="false">
      <c r="A1628" s="2" t="s">
        <v>44</v>
      </c>
      <c r="B1628" s="2" t="s">
        <v>45</v>
      </c>
      <c r="C1628" s="2" t="s">
        <v>14</v>
      </c>
      <c r="D1628" s="2" t="s">
        <v>16</v>
      </c>
      <c r="E1628" s="3" t="n">
        <v>46113</v>
      </c>
      <c r="F1628" s="2" t="n">
        <v>30</v>
      </c>
      <c r="G1628" s="4" t="n">
        <v>19.99</v>
      </c>
      <c r="H1628" s="4" t="n">
        <v>9.04</v>
      </c>
      <c r="I1628" s="4" t="n">
        <f aca="false">F1628*G1628</f>
        <v>599.7</v>
      </c>
      <c r="J1628" s="4" t="n">
        <f aca="false">F1628*H1628</f>
        <v>271.2</v>
      </c>
      <c r="K1628" s="4" t="n">
        <f aca="false">I1628-J1628</f>
        <v>328.5</v>
      </c>
      <c r="L1628" s="5" t="n">
        <f aca="false">IFERROR(K1628/I1628,0)</f>
        <v>0.547773886943472</v>
      </c>
    </row>
    <row r="1629" customFormat="false" ht="15" hidden="false" customHeight="false" outlineLevel="0" collapsed="false">
      <c r="A1629" s="2" t="s">
        <v>44</v>
      </c>
      <c r="B1629" s="2" t="s">
        <v>45</v>
      </c>
      <c r="C1629" s="2" t="s">
        <v>14</v>
      </c>
      <c r="D1629" s="2" t="s">
        <v>17</v>
      </c>
      <c r="E1629" s="3" t="n">
        <v>46113</v>
      </c>
      <c r="F1629" s="2" t="n">
        <v>10</v>
      </c>
      <c r="G1629" s="4" t="n">
        <v>79.99</v>
      </c>
      <c r="H1629" s="4" t="n">
        <v>40.28</v>
      </c>
      <c r="I1629" s="4" t="n">
        <f aca="false">F1629*G1629</f>
        <v>799.9</v>
      </c>
      <c r="J1629" s="4" t="n">
        <f aca="false">F1629*H1629</f>
        <v>402.8</v>
      </c>
      <c r="K1629" s="4" t="n">
        <f aca="false">I1629-J1629</f>
        <v>397.1</v>
      </c>
      <c r="L1629" s="5" t="n">
        <f aca="false">IFERROR(K1629/I1629,0)</f>
        <v>0.496437054631829</v>
      </c>
    </row>
    <row r="1630" customFormat="false" ht="15" hidden="false" customHeight="false" outlineLevel="0" collapsed="false">
      <c r="A1630" s="2" t="s">
        <v>44</v>
      </c>
      <c r="B1630" s="2" t="s">
        <v>45</v>
      </c>
      <c r="C1630" s="2" t="s">
        <v>14</v>
      </c>
      <c r="D1630" s="2" t="s">
        <v>18</v>
      </c>
      <c r="E1630" s="3" t="n">
        <v>46113</v>
      </c>
      <c r="F1630" s="2" t="n">
        <v>21</v>
      </c>
      <c r="G1630" s="4" t="n">
        <v>34.99</v>
      </c>
      <c r="H1630" s="4" t="n">
        <v>14.39</v>
      </c>
      <c r="I1630" s="4" t="n">
        <f aca="false">F1630*G1630</f>
        <v>734.79</v>
      </c>
      <c r="J1630" s="4" t="n">
        <f aca="false">F1630*H1630</f>
        <v>302.19</v>
      </c>
      <c r="K1630" s="4" t="n">
        <f aca="false">I1630-J1630</f>
        <v>432.6</v>
      </c>
      <c r="L1630" s="5" t="n">
        <f aca="false">IFERROR(K1630/I1630,0)</f>
        <v>0.588739639897114</v>
      </c>
    </row>
    <row r="1631" customFormat="false" ht="15" hidden="false" customHeight="false" outlineLevel="0" collapsed="false">
      <c r="A1631" s="2" t="s">
        <v>44</v>
      </c>
      <c r="B1631" s="2" t="s">
        <v>45</v>
      </c>
      <c r="C1631" s="2" t="s">
        <v>14</v>
      </c>
      <c r="D1631" s="2" t="s">
        <v>19</v>
      </c>
      <c r="E1631" s="3" t="n">
        <v>46113</v>
      </c>
      <c r="F1631" s="2" t="n">
        <v>27</v>
      </c>
      <c r="G1631" s="4" t="n">
        <v>54.99</v>
      </c>
      <c r="H1631" s="4" t="n">
        <v>23.89</v>
      </c>
      <c r="I1631" s="4" t="n">
        <f aca="false">F1631*G1631</f>
        <v>1484.73</v>
      </c>
      <c r="J1631" s="4" t="n">
        <f aca="false">F1631*H1631</f>
        <v>645.03</v>
      </c>
      <c r="K1631" s="4" t="n">
        <f aca="false">I1631-J1631</f>
        <v>839.7</v>
      </c>
      <c r="L1631" s="5" t="n">
        <f aca="false">IFERROR(K1631/I1631,0)</f>
        <v>0.565557374068012</v>
      </c>
    </row>
    <row r="1632" customFormat="false" ht="15" hidden="false" customHeight="false" outlineLevel="0" collapsed="false">
      <c r="A1632" s="2" t="s">
        <v>44</v>
      </c>
      <c r="B1632" s="2" t="s">
        <v>45</v>
      </c>
      <c r="C1632" s="2" t="s">
        <v>20</v>
      </c>
      <c r="D1632" s="2" t="s">
        <v>21</v>
      </c>
      <c r="E1632" s="3" t="n">
        <v>46113</v>
      </c>
      <c r="F1632" s="2" t="n">
        <v>22</v>
      </c>
      <c r="G1632" s="4" t="n">
        <v>44.99</v>
      </c>
      <c r="H1632" s="4" t="n">
        <v>20.57</v>
      </c>
      <c r="I1632" s="4" t="n">
        <f aca="false">F1632*G1632</f>
        <v>989.78</v>
      </c>
      <c r="J1632" s="4" t="n">
        <f aca="false">F1632*H1632</f>
        <v>452.54</v>
      </c>
      <c r="K1632" s="4" t="n">
        <f aca="false">I1632-J1632</f>
        <v>537.24</v>
      </c>
      <c r="L1632" s="5" t="n">
        <f aca="false">IFERROR(K1632/I1632,0)</f>
        <v>0.54278728606357</v>
      </c>
    </row>
    <row r="1633" customFormat="false" ht="15" hidden="false" customHeight="false" outlineLevel="0" collapsed="false">
      <c r="A1633" s="2" t="s">
        <v>44</v>
      </c>
      <c r="B1633" s="2" t="s">
        <v>45</v>
      </c>
      <c r="C1633" s="2" t="s">
        <v>20</v>
      </c>
      <c r="D1633" s="2" t="s">
        <v>22</v>
      </c>
      <c r="E1633" s="3" t="n">
        <v>46113</v>
      </c>
      <c r="F1633" s="2" t="n">
        <v>17</v>
      </c>
      <c r="G1633" s="4" t="n">
        <v>14.99</v>
      </c>
      <c r="H1633" s="4" t="n">
        <v>5.85</v>
      </c>
      <c r="I1633" s="4" t="n">
        <f aca="false">F1633*G1633</f>
        <v>254.83</v>
      </c>
      <c r="J1633" s="4" t="n">
        <f aca="false">F1633*H1633</f>
        <v>99.45</v>
      </c>
      <c r="K1633" s="4" t="n">
        <f aca="false">I1633-J1633</f>
        <v>155.38</v>
      </c>
      <c r="L1633" s="5" t="n">
        <f aca="false">IFERROR(K1633/I1633,0)</f>
        <v>0.609739826551034</v>
      </c>
    </row>
    <row r="1634" customFormat="false" ht="15" hidden="false" customHeight="false" outlineLevel="0" collapsed="false">
      <c r="A1634" s="2" t="s">
        <v>44</v>
      </c>
      <c r="B1634" s="2" t="s">
        <v>45</v>
      </c>
      <c r="C1634" s="2" t="s">
        <v>20</v>
      </c>
      <c r="D1634" s="2" t="s">
        <v>23</v>
      </c>
      <c r="E1634" s="3" t="n">
        <v>46113</v>
      </c>
      <c r="F1634" s="2" t="n">
        <v>18</v>
      </c>
      <c r="G1634" s="4" t="n">
        <v>39.99</v>
      </c>
      <c r="H1634" s="4" t="n">
        <v>16.57</v>
      </c>
      <c r="I1634" s="4" t="n">
        <f aca="false">F1634*G1634</f>
        <v>719.82</v>
      </c>
      <c r="J1634" s="4" t="n">
        <f aca="false">F1634*H1634</f>
        <v>298.26</v>
      </c>
      <c r="K1634" s="4" t="n">
        <f aca="false">I1634-J1634</f>
        <v>421.56</v>
      </c>
      <c r="L1634" s="5" t="n">
        <f aca="false">IFERROR(K1634/I1634,0)</f>
        <v>0.585646411602901</v>
      </c>
    </row>
    <row r="1635" customFormat="false" ht="15" hidden="false" customHeight="false" outlineLevel="0" collapsed="false">
      <c r="A1635" s="2" t="s">
        <v>44</v>
      </c>
      <c r="B1635" s="2" t="s">
        <v>45</v>
      </c>
      <c r="C1635" s="2" t="s">
        <v>20</v>
      </c>
      <c r="D1635" s="2" t="s">
        <v>24</v>
      </c>
      <c r="E1635" s="3" t="n">
        <v>46113</v>
      </c>
      <c r="F1635" s="2" t="n">
        <v>17</v>
      </c>
      <c r="G1635" s="4" t="n">
        <v>18.99</v>
      </c>
      <c r="H1635" s="4" t="n">
        <v>7.73</v>
      </c>
      <c r="I1635" s="4" t="n">
        <f aca="false">F1635*G1635</f>
        <v>322.83</v>
      </c>
      <c r="J1635" s="4" t="n">
        <f aca="false">F1635*H1635</f>
        <v>131.41</v>
      </c>
      <c r="K1635" s="4" t="n">
        <f aca="false">I1635-J1635</f>
        <v>191.42</v>
      </c>
      <c r="L1635" s="5" t="n">
        <f aca="false">IFERROR(K1635/I1635,0)</f>
        <v>0.592943654555029</v>
      </c>
    </row>
    <row r="1636" customFormat="false" ht="15" hidden="false" customHeight="false" outlineLevel="0" collapsed="false">
      <c r="A1636" s="2" t="s">
        <v>44</v>
      </c>
      <c r="B1636" s="2" t="s">
        <v>45</v>
      </c>
      <c r="C1636" s="2" t="s">
        <v>20</v>
      </c>
      <c r="D1636" s="2" t="s">
        <v>25</v>
      </c>
      <c r="E1636" s="3" t="n">
        <v>46113</v>
      </c>
      <c r="F1636" s="2" t="n">
        <v>14</v>
      </c>
      <c r="G1636" s="4" t="n">
        <v>42.99</v>
      </c>
      <c r="H1636" s="4" t="n">
        <v>15.6</v>
      </c>
      <c r="I1636" s="4" t="n">
        <f aca="false">F1636*G1636</f>
        <v>601.86</v>
      </c>
      <c r="J1636" s="4" t="n">
        <f aca="false">F1636*H1636</f>
        <v>218.4</v>
      </c>
      <c r="K1636" s="4" t="n">
        <f aca="false">I1636-J1636</f>
        <v>383.46</v>
      </c>
      <c r="L1636" s="5" t="n">
        <f aca="false">IFERROR(K1636/I1636,0)</f>
        <v>0.637124912770412</v>
      </c>
    </row>
    <row r="1637" customFormat="false" ht="15" hidden="false" customHeight="false" outlineLevel="0" collapsed="false">
      <c r="A1637" s="2" t="s">
        <v>44</v>
      </c>
      <c r="B1637" s="2" t="s">
        <v>45</v>
      </c>
      <c r="C1637" s="2" t="s">
        <v>26</v>
      </c>
      <c r="D1637" s="2" t="s">
        <v>27</v>
      </c>
      <c r="E1637" s="3" t="n">
        <v>46113</v>
      </c>
      <c r="F1637" s="2" t="n">
        <v>17</v>
      </c>
      <c r="G1637" s="4" t="n">
        <v>44.99</v>
      </c>
      <c r="H1637" s="4" t="n">
        <v>27.86</v>
      </c>
      <c r="I1637" s="4" t="n">
        <f aca="false">F1637*G1637</f>
        <v>764.83</v>
      </c>
      <c r="J1637" s="4" t="n">
        <f aca="false">F1637*H1637</f>
        <v>473.62</v>
      </c>
      <c r="K1637" s="4" t="n">
        <f aca="false">I1637-J1637</f>
        <v>291.21</v>
      </c>
      <c r="L1637" s="5" t="n">
        <f aca="false">IFERROR(K1637/I1637,0)</f>
        <v>0.380751278061792</v>
      </c>
    </row>
    <row r="1638" customFormat="false" ht="15" hidden="false" customHeight="false" outlineLevel="0" collapsed="false">
      <c r="A1638" s="2" t="s">
        <v>44</v>
      </c>
      <c r="B1638" s="2" t="s">
        <v>45</v>
      </c>
      <c r="C1638" s="2" t="s">
        <v>26</v>
      </c>
      <c r="D1638" s="2" t="s">
        <v>28</v>
      </c>
      <c r="E1638" s="3" t="n">
        <v>46113</v>
      </c>
      <c r="F1638" s="2" t="n">
        <v>26</v>
      </c>
      <c r="G1638" s="4" t="n">
        <v>34.99</v>
      </c>
      <c r="H1638" s="4" t="n">
        <v>22.74</v>
      </c>
      <c r="I1638" s="4" t="n">
        <f aca="false">F1638*G1638</f>
        <v>909.74</v>
      </c>
      <c r="J1638" s="4" t="n">
        <f aca="false">F1638*H1638</f>
        <v>591.24</v>
      </c>
      <c r="K1638" s="4" t="n">
        <f aca="false">I1638-J1638</f>
        <v>318.5</v>
      </c>
      <c r="L1638" s="5" t="n">
        <f aca="false">IFERROR(K1638/I1638,0)</f>
        <v>0.350100028579594</v>
      </c>
    </row>
    <row r="1639" customFormat="false" ht="15" hidden="false" customHeight="false" outlineLevel="0" collapsed="false">
      <c r="A1639" s="2" t="s">
        <v>44</v>
      </c>
      <c r="B1639" s="2" t="s">
        <v>45</v>
      </c>
      <c r="C1639" s="2" t="s">
        <v>26</v>
      </c>
      <c r="D1639" s="2" t="s">
        <v>29</v>
      </c>
      <c r="E1639" s="3" t="n">
        <v>46113</v>
      </c>
      <c r="F1639" s="2" t="n">
        <v>18</v>
      </c>
      <c r="G1639" s="4" t="n">
        <v>119.99</v>
      </c>
      <c r="H1639" s="4" t="n">
        <v>83.52</v>
      </c>
      <c r="I1639" s="4" t="n">
        <f aca="false">F1639*G1639</f>
        <v>2159.82</v>
      </c>
      <c r="J1639" s="4" t="n">
        <f aca="false">F1639*H1639</f>
        <v>1503.36</v>
      </c>
      <c r="K1639" s="4" t="n">
        <f aca="false">I1639-J1639</f>
        <v>656.46</v>
      </c>
      <c r="L1639" s="5" t="n">
        <f aca="false">IFERROR(K1639/I1639,0)</f>
        <v>0.303941995166264</v>
      </c>
    </row>
    <row r="1640" customFormat="false" ht="15" hidden="false" customHeight="false" outlineLevel="0" collapsed="false">
      <c r="A1640" s="2" t="s">
        <v>44</v>
      </c>
      <c r="B1640" s="2" t="s">
        <v>45</v>
      </c>
      <c r="C1640" s="2" t="s">
        <v>26</v>
      </c>
      <c r="D1640" s="2" t="s">
        <v>30</v>
      </c>
      <c r="E1640" s="3" t="n">
        <v>46113</v>
      </c>
      <c r="F1640" s="2" t="n">
        <v>25</v>
      </c>
      <c r="G1640" s="4" t="n">
        <v>24.99</v>
      </c>
      <c r="H1640" s="4" t="n">
        <v>15.38</v>
      </c>
      <c r="I1640" s="4" t="n">
        <f aca="false">F1640*G1640</f>
        <v>624.75</v>
      </c>
      <c r="J1640" s="4" t="n">
        <f aca="false">F1640*H1640</f>
        <v>384.5</v>
      </c>
      <c r="K1640" s="4" t="n">
        <f aca="false">I1640-J1640</f>
        <v>240.25</v>
      </c>
      <c r="L1640" s="5" t="n">
        <f aca="false">IFERROR(K1640/I1640,0)</f>
        <v>0.384553821528611</v>
      </c>
    </row>
    <row r="1641" customFormat="false" ht="15" hidden="false" customHeight="false" outlineLevel="0" collapsed="false">
      <c r="A1641" s="2" t="s">
        <v>44</v>
      </c>
      <c r="B1641" s="2" t="s">
        <v>45</v>
      </c>
      <c r="C1641" s="2" t="s">
        <v>26</v>
      </c>
      <c r="D1641" s="2" t="s">
        <v>31</v>
      </c>
      <c r="E1641" s="3" t="n">
        <v>46113</v>
      </c>
      <c r="F1641" s="2" t="n">
        <v>16</v>
      </c>
      <c r="G1641" s="4" t="n">
        <v>59.99</v>
      </c>
      <c r="H1641" s="4" t="n">
        <v>39.79</v>
      </c>
      <c r="I1641" s="4" t="n">
        <f aca="false">F1641*G1641</f>
        <v>959.84</v>
      </c>
      <c r="J1641" s="4" t="n">
        <f aca="false">F1641*H1641</f>
        <v>636.64</v>
      </c>
      <c r="K1641" s="4" t="n">
        <f aca="false">I1641-J1641</f>
        <v>323.2</v>
      </c>
      <c r="L1641" s="5" t="n">
        <f aca="false">IFERROR(K1641/I1641,0)</f>
        <v>0.336722787131189</v>
      </c>
    </row>
    <row r="1642" customFormat="false" ht="15" hidden="false" customHeight="false" outlineLevel="0" collapsed="false">
      <c r="A1642" s="2" t="s">
        <v>44</v>
      </c>
      <c r="B1642" s="2" t="s">
        <v>45</v>
      </c>
      <c r="C1642" s="2" t="s">
        <v>32</v>
      </c>
      <c r="D1642" s="2" t="s">
        <v>33</v>
      </c>
      <c r="E1642" s="3" t="n">
        <v>46113</v>
      </c>
      <c r="F1642" s="2" t="n">
        <v>33</v>
      </c>
      <c r="G1642" s="4" t="n">
        <v>49.99</v>
      </c>
      <c r="H1642" s="4" t="n">
        <v>36.24</v>
      </c>
      <c r="I1642" s="4" t="n">
        <f aca="false">F1642*G1642</f>
        <v>1649.67</v>
      </c>
      <c r="J1642" s="4" t="n">
        <f aca="false">F1642*H1642</f>
        <v>1195.92</v>
      </c>
      <c r="K1642" s="4" t="n">
        <f aca="false">I1642-J1642</f>
        <v>453.75</v>
      </c>
      <c r="L1642" s="5" t="n">
        <f aca="false">IFERROR(K1642/I1642,0)</f>
        <v>0.2750550110022</v>
      </c>
    </row>
    <row r="1643" customFormat="false" ht="15" hidden="false" customHeight="false" outlineLevel="0" collapsed="false">
      <c r="A1643" s="2" t="s">
        <v>44</v>
      </c>
      <c r="B1643" s="2" t="s">
        <v>45</v>
      </c>
      <c r="C1643" s="2" t="s">
        <v>32</v>
      </c>
      <c r="D1643" s="2" t="s">
        <v>34</v>
      </c>
      <c r="E1643" s="3" t="n">
        <v>46113</v>
      </c>
      <c r="F1643" s="2" t="n">
        <v>31</v>
      </c>
      <c r="G1643" s="4" t="n">
        <v>27.99</v>
      </c>
      <c r="H1643" s="4" t="n">
        <v>20.29</v>
      </c>
      <c r="I1643" s="4" t="n">
        <f aca="false">F1643*G1643</f>
        <v>867.69</v>
      </c>
      <c r="J1643" s="4" t="n">
        <f aca="false">F1643*H1643</f>
        <v>628.99</v>
      </c>
      <c r="K1643" s="4" t="n">
        <f aca="false">I1643-J1643</f>
        <v>238.7</v>
      </c>
      <c r="L1643" s="5" t="n">
        <f aca="false">IFERROR(K1643/I1643,0)</f>
        <v>0.275098249374777</v>
      </c>
    </row>
    <row r="1644" customFormat="false" ht="15" hidden="false" customHeight="false" outlineLevel="0" collapsed="false">
      <c r="A1644" s="2" t="s">
        <v>44</v>
      </c>
      <c r="B1644" s="2" t="s">
        <v>45</v>
      </c>
      <c r="C1644" s="2" t="s">
        <v>32</v>
      </c>
      <c r="D1644" s="2" t="s">
        <v>35</v>
      </c>
      <c r="E1644" s="3" t="n">
        <v>46113</v>
      </c>
      <c r="F1644" s="2" t="n">
        <v>22</v>
      </c>
      <c r="G1644" s="4" t="n">
        <v>64.99</v>
      </c>
      <c r="H1644" s="4" t="n">
        <v>44.65</v>
      </c>
      <c r="I1644" s="4" t="n">
        <f aca="false">F1644*G1644</f>
        <v>1429.78</v>
      </c>
      <c r="J1644" s="4" t="n">
        <f aca="false">F1644*H1644</f>
        <v>982.3</v>
      </c>
      <c r="K1644" s="4" t="n">
        <f aca="false">I1644-J1644</f>
        <v>447.48</v>
      </c>
      <c r="L1644" s="5" t="n">
        <f aca="false">IFERROR(K1644/I1644,0)</f>
        <v>0.312971226342514</v>
      </c>
    </row>
    <row r="1645" customFormat="false" ht="15" hidden="false" customHeight="false" outlineLevel="0" collapsed="false">
      <c r="A1645" s="2" t="s">
        <v>44</v>
      </c>
      <c r="B1645" s="2" t="s">
        <v>45</v>
      </c>
      <c r="C1645" s="2" t="s">
        <v>32</v>
      </c>
      <c r="D1645" s="2" t="s">
        <v>36</v>
      </c>
      <c r="E1645" s="3" t="n">
        <v>46113</v>
      </c>
      <c r="F1645" s="2" t="n">
        <v>18</v>
      </c>
      <c r="G1645" s="4" t="n">
        <v>22.99</v>
      </c>
      <c r="H1645" s="4" t="n">
        <v>16.55</v>
      </c>
      <c r="I1645" s="4" t="n">
        <f aca="false">F1645*G1645</f>
        <v>413.82</v>
      </c>
      <c r="J1645" s="4" t="n">
        <f aca="false">F1645*H1645</f>
        <v>297.9</v>
      </c>
      <c r="K1645" s="4" t="n">
        <f aca="false">I1645-J1645</f>
        <v>115.92</v>
      </c>
      <c r="L1645" s="5" t="n">
        <f aca="false">IFERROR(K1645/I1645,0)</f>
        <v>0.280121792083514</v>
      </c>
    </row>
    <row r="1646" customFormat="false" ht="15" hidden="false" customHeight="false" outlineLevel="0" collapsed="false">
      <c r="A1646" s="2" t="s">
        <v>44</v>
      </c>
      <c r="B1646" s="2" t="s">
        <v>45</v>
      </c>
      <c r="C1646" s="2" t="s">
        <v>32</v>
      </c>
      <c r="D1646" s="2" t="s">
        <v>37</v>
      </c>
      <c r="E1646" s="3" t="n">
        <v>46113</v>
      </c>
      <c r="F1646" s="2" t="n">
        <v>17</v>
      </c>
      <c r="G1646" s="4" t="n">
        <v>29.99</v>
      </c>
      <c r="H1646" s="4" t="n">
        <v>19.87</v>
      </c>
      <c r="I1646" s="4" t="n">
        <f aca="false">F1646*G1646</f>
        <v>509.83</v>
      </c>
      <c r="J1646" s="4" t="n">
        <f aca="false">F1646*H1646</f>
        <v>337.79</v>
      </c>
      <c r="K1646" s="4" t="n">
        <f aca="false">I1646-J1646</f>
        <v>172.04</v>
      </c>
      <c r="L1646" s="5" t="n">
        <f aca="false">IFERROR(K1646/I1646,0)</f>
        <v>0.337445815271757</v>
      </c>
    </row>
    <row r="1647" customFormat="false" ht="15" hidden="false" customHeight="false" outlineLevel="0" collapsed="false">
      <c r="A1647" s="2" t="s">
        <v>44</v>
      </c>
      <c r="B1647" s="2" t="s">
        <v>45</v>
      </c>
      <c r="C1647" s="2" t="s">
        <v>38</v>
      </c>
      <c r="D1647" s="2" t="s">
        <v>39</v>
      </c>
      <c r="E1647" s="3" t="n">
        <v>46113</v>
      </c>
      <c r="F1647" s="2" t="n">
        <v>26</v>
      </c>
      <c r="G1647" s="4" t="n">
        <v>129.99</v>
      </c>
      <c r="H1647" s="4" t="n">
        <v>76.6</v>
      </c>
      <c r="I1647" s="4" t="n">
        <f aca="false">F1647*G1647</f>
        <v>3379.74</v>
      </c>
      <c r="J1647" s="4" t="n">
        <f aca="false">F1647*H1647</f>
        <v>1991.6</v>
      </c>
      <c r="K1647" s="4" t="n">
        <f aca="false">I1647-J1647</f>
        <v>1388.14</v>
      </c>
      <c r="L1647" s="5" t="n">
        <f aca="false">IFERROR(K1647/I1647,0)</f>
        <v>0.410723901838603</v>
      </c>
    </row>
    <row r="1648" customFormat="false" ht="15" hidden="false" customHeight="false" outlineLevel="0" collapsed="false">
      <c r="A1648" s="2" t="s">
        <v>44</v>
      </c>
      <c r="B1648" s="2" t="s">
        <v>45</v>
      </c>
      <c r="C1648" s="2" t="s">
        <v>38</v>
      </c>
      <c r="D1648" s="2" t="s">
        <v>40</v>
      </c>
      <c r="E1648" s="3" t="n">
        <v>46113</v>
      </c>
      <c r="F1648" s="2" t="n">
        <v>17</v>
      </c>
      <c r="G1648" s="4" t="n">
        <v>74.99</v>
      </c>
      <c r="H1648" s="4" t="n">
        <v>40.86</v>
      </c>
      <c r="I1648" s="4" t="n">
        <f aca="false">F1648*G1648</f>
        <v>1274.83</v>
      </c>
      <c r="J1648" s="4" t="n">
        <f aca="false">F1648*H1648</f>
        <v>694.62</v>
      </c>
      <c r="K1648" s="4" t="n">
        <f aca="false">I1648-J1648</f>
        <v>580.21</v>
      </c>
      <c r="L1648" s="5" t="n">
        <f aca="false">IFERROR(K1648/I1648,0)</f>
        <v>0.455127350313375</v>
      </c>
    </row>
    <row r="1649" customFormat="false" ht="15" hidden="false" customHeight="false" outlineLevel="0" collapsed="false">
      <c r="A1649" s="2" t="s">
        <v>44</v>
      </c>
      <c r="B1649" s="2" t="s">
        <v>45</v>
      </c>
      <c r="C1649" s="2" t="s">
        <v>38</v>
      </c>
      <c r="D1649" s="2" t="s">
        <v>41</v>
      </c>
      <c r="E1649" s="3" t="n">
        <v>46113</v>
      </c>
      <c r="F1649" s="2" t="n">
        <v>21</v>
      </c>
      <c r="G1649" s="4" t="n">
        <v>19.99</v>
      </c>
      <c r="H1649" s="4" t="n">
        <v>9.45</v>
      </c>
      <c r="I1649" s="4" t="n">
        <f aca="false">F1649*G1649</f>
        <v>419.79</v>
      </c>
      <c r="J1649" s="4" t="n">
        <f aca="false">F1649*H1649</f>
        <v>198.45</v>
      </c>
      <c r="K1649" s="4" t="n">
        <f aca="false">I1649-J1649</f>
        <v>221.34</v>
      </c>
      <c r="L1649" s="5" t="n">
        <f aca="false">IFERROR(K1649/I1649,0)</f>
        <v>0.527263631815908</v>
      </c>
    </row>
    <row r="1650" customFormat="false" ht="15" hidden="false" customHeight="false" outlineLevel="0" collapsed="false">
      <c r="A1650" s="2" t="s">
        <v>44</v>
      </c>
      <c r="B1650" s="2" t="s">
        <v>45</v>
      </c>
      <c r="C1650" s="2" t="s">
        <v>38</v>
      </c>
      <c r="D1650" s="2" t="s">
        <v>42</v>
      </c>
      <c r="E1650" s="3" t="n">
        <v>46113</v>
      </c>
      <c r="F1650" s="2" t="n">
        <v>18</v>
      </c>
      <c r="G1650" s="4" t="n">
        <v>16.99</v>
      </c>
      <c r="H1650" s="4" t="n">
        <v>8.58</v>
      </c>
      <c r="I1650" s="4" t="n">
        <f aca="false">F1650*G1650</f>
        <v>305.82</v>
      </c>
      <c r="J1650" s="4" t="n">
        <f aca="false">F1650*H1650</f>
        <v>154.44</v>
      </c>
      <c r="K1650" s="4" t="n">
        <f aca="false">I1650-J1650</f>
        <v>151.38</v>
      </c>
      <c r="L1650" s="5" t="n">
        <f aca="false">IFERROR(K1650/I1650,0)</f>
        <v>0.494997057092407</v>
      </c>
    </row>
    <row r="1651" customFormat="false" ht="15" hidden="false" customHeight="false" outlineLevel="0" collapsed="false">
      <c r="A1651" s="2" t="s">
        <v>44</v>
      </c>
      <c r="B1651" s="2" t="s">
        <v>45</v>
      </c>
      <c r="C1651" s="2" t="s">
        <v>38</v>
      </c>
      <c r="D1651" s="2" t="s">
        <v>43</v>
      </c>
      <c r="E1651" s="3" t="n">
        <v>46113</v>
      </c>
      <c r="F1651" s="2" t="n">
        <v>10</v>
      </c>
      <c r="G1651" s="4" t="n">
        <v>24.99</v>
      </c>
      <c r="H1651" s="4" t="n">
        <v>13.1</v>
      </c>
      <c r="I1651" s="4" t="n">
        <f aca="false">F1651*G1651</f>
        <v>249.9</v>
      </c>
      <c r="J1651" s="4" t="n">
        <f aca="false">F1651*H1651</f>
        <v>131</v>
      </c>
      <c r="K1651" s="4" t="n">
        <f aca="false">I1651-J1651</f>
        <v>118.9</v>
      </c>
      <c r="L1651" s="5" t="n">
        <f aca="false">IFERROR(K1651/I1651,0)</f>
        <v>0.475790316126451</v>
      </c>
    </row>
    <row r="1652" customFormat="false" ht="15" hidden="false" customHeight="false" outlineLevel="0" collapsed="false">
      <c r="A1652" s="2" t="s">
        <v>44</v>
      </c>
      <c r="B1652" s="2" t="s">
        <v>46</v>
      </c>
      <c r="C1652" s="2" t="s">
        <v>14</v>
      </c>
      <c r="D1652" s="2" t="s">
        <v>15</v>
      </c>
      <c r="E1652" s="3" t="n">
        <v>46113</v>
      </c>
      <c r="F1652" s="2" t="n">
        <v>12</v>
      </c>
      <c r="G1652" s="4" t="n">
        <v>69.99</v>
      </c>
      <c r="H1652" s="4" t="n">
        <v>33.18</v>
      </c>
      <c r="I1652" s="4" t="n">
        <f aca="false">F1652*G1652</f>
        <v>839.88</v>
      </c>
      <c r="J1652" s="4" t="n">
        <f aca="false">F1652*H1652</f>
        <v>398.16</v>
      </c>
      <c r="K1652" s="4" t="n">
        <f aca="false">I1652-J1652</f>
        <v>441.72</v>
      </c>
      <c r="L1652" s="5" t="n">
        <f aca="false">IFERROR(K1652/I1652,0)</f>
        <v>0.525932276039434</v>
      </c>
    </row>
    <row r="1653" customFormat="false" ht="15" hidden="false" customHeight="false" outlineLevel="0" collapsed="false">
      <c r="A1653" s="2" t="s">
        <v>44</v>
      </c>
      <c r="B1653" s="2" t="s">
        <v>46</v>
      </c>
      <c r="C1653" s="2" t="s">
        <v>14</v>
      </c>
      <c r="D1653" s="2" t="s">
        <v>16</v>
      </c>
      <c r="E1653" s="3" t="n">
        <v>46113</v>
      </c>
      <c r="F1653" s="2" t="n">
        <v>16</v>
      </c>
      <c r="G1653" s="4" t="n">
        <v>19.99</v>
      </c>
      <c r="H1653" s="4" t="n">
        <v>9.11</v>
      </c>
      <c r="I1653" s="4" t="n">
        <f aca="false">F1653*G1653</f>
        <v>319.84</v>
      </c>
      <c r="J1653" s="4" t="n">
        <f aca="false">F1653*H1653</f>
        <v>145.76</v>
      </c>
      <c r="K1653" s="4" t="n">
        <f aca="false">I1653-J1653</f>
        <v>174.08</v>
      </c>
      <c r="L1653" s="5" t="n">
        <f aca="false">IFERROR(K1653/I1653,0)</f>
        <v>0.544272136068034</v>
      </c>
    </row>
    <row r="1654" customFormat="false" ht="15" hidden="false" customHeight="false" outlineLevel="0" collapsed="false">
      <c r="A1654" s="2" t="s">
        <v>44</v>
      </c>
      <c r="B1654" s="2" t="s">
        <v>46</v>
      </c>
      <c r="C1654" s="2" t="s">
        <v>14</v>
      </c>
      <c r="D1654" s="2" t="s">
        <v>17</v>
      </c>
      <c r="E1654" s="3" t="n">
        <v>46113</v>
      </c>
      <c r="F1654" s="2" t="n">
        <v>12</v>
      </c>
      <c r="G1654" s="4" t="n">
        <v>79.99</v>
      </c>
      <c r="H1654" s="4" t="n">
        <v>39.13</v>
      </c>
      <c r="I1654" s="4" t="n">
        <f aca="false">F1654*G1654</f>
        <v>959.88</v>
      </c>
      <c r="J1654" s="4" t="n">
        <f aca="false">F1654*H1654</f>
        <v>469.56</v>
      </c>
      <c r="K1654" s="4" t="n">
        <f aca="false">I1654-J1654</f>
        <v>490.32</v>
      </c>
      <c r="L1654" s="5" t="n">
        <f aca="false">IFERROR(K1654/I1654,0)</f>
        <v>0.510813851731466</v>
      </c>
    </row>
    <row r="1655" customFormat="false" ht="15" hidden="false" customHeight="false" outlineLevel="0" collapsed="false">
      <c r="A1655" s="2" t="s">
        <v>44</v>
      </c>
      <c r="B1655" s="2" t="s">
        <v>46</v>
      </c>
      <c r="C1655" s="2" t="s">
        <v>14</v>
      </c>
      <c r="D1655" s="2" t="s">
        <v>18</v>
      </c>
      <c r="E1655" s="3" t="n">
        <v>46113</v>
      </c>
      <c r="F1655" s="2" t="n">
        <v>10</v>
      </c>
      <c r="G1655" s="4" t="n">
        <v>34.99</v>
      </c>
      <c r="H1655" s="4" t="n">
        <v>15.03</v>
      </c>
      <c r="I1655" s="4" t="n">
        <f aca="false">F1655*G1655</f>
        <v>349.9</v>
      </c>
      <c r="J1655" s="4" t="n">
        <f aca="false">F1655*H1655</f>
        <v>150.3</v>
      </c>
      <c r="K1655" s="4" t="n">
        <f aca="false">I1655-J1655</f>
        <v>199.6</v>
      </c>
      <c r="L1655" s="5" t="n">
        <f aca="false">IFERROR(K1655/I1655,0)</f>
        <v>0.570448699628465</v>
      </c>
    </row>
    <row r="1656" customFormat="false" ht="15" hidden="false" customHeight="false" outlineLevel="0" collapsed="false">
      <c r="A1656" s="2" t="s">
        <v>44</v>
      </c>
      <c r="B1656" s="2" t="s">
        <v>46</v>
      </c>
      <c r="C1656" s="2" t="s">
        <v>14</v>
      </c>
      <c r="D1656" s="2" t="s">
        <v>19</v>
      </c>
      <c r="E1656" s="3" t="n">
        <v>46113</v>
      </c>
      <c r="F1656" s="2" t="n">
        <v>9</v>
      </c>
      <c r="G1656" s="4" t="n">
        <v>54.99</v>
      </c>
      <c r="H1656" s="4" t="n">
        <v>24.1</v>
      </c>
      <c r="I1656" s="4" t="n">
        <f aca="false">F1656*G1656</f>
        <v>494.91</v>
      </c>
      <c r="J1656" s="4" t="n">
        <f aca="false">F1656*H1656</f>
        <v>216.9</v>
      </c>
      <c r="K1656" s="4" t="n">
        <f aca="false">I1656-J1656</f>
        <v>278.01</v>
      </c>
      <c r="L1656" s="5" t="n">
        <f aca="false">IFERROR(K1656/I1656,0)</f>
        <v>0.561738497908711</v>
      </c>
    </row>
    <row r="1657" customFormat="false" ht="15" hidden="false" customHeight="false" outlineLevel="0" collapsed="false">
      <c r="A1657" s="2" t="s">
        <v>44</v>
      </c>
      <c r="B1657" s="2" t="s">
        <v>46</v>
      </c>
      <c r="C1657" s="2" t="s">
        <v>20</v>
      </c>
      <c r="D1657" s="2" t="s">
        <v>21</v>
      </c>
      <c r="E1657" s="3" t="n">
        <v>46113</v>
      </c>
      <c r="F1657" s="2" t="n">
        <v>14</v>
      </c>
      <c r="G1657" s="4" t="n">
        <v>44.99</v>
      </c>
      <c r="H1657" s="4" t="n">
        <v>20.63</v>
      </c>
      <c r="I1657" s="4" t="n">
        <f aca="false">F1657*G1657</f>
        <v>629.86</v>
      </c>
      <c r="J1657" s="4" t="n">
        <f aca="false">F1657*H1657</f>
        <v>288.82</v>
      </c>
      <c r="K1657" s="4" t="n">
        <f aca="false">I1657-J1657</f>
        <v>341.04</v>
      </c>
      <c r="L1657" s="5" t="n">
        <f aca="false">IFERROR(K1657/I1657,0)</f>
        <v>0.541453656368082</v>
      </c>
    </row>
    <row r="1658" customFormat="false" ht="15" hidden="false" customHeight="false" outlineLevel="0" collapsed="false">
      <c r="A1658" s="2" t="s">
        <v>44</v>
      </c>
      <c r="B1658" s="2" t="s">
        <v>46</v>
      </c>
      <c r="C1658" s="2" t="s">
        <v>20</v>
      </c>
      <c r="D1658" s="2" t="s">
        <v>22</v>
      </c>
      <c r="E1658" s="3" t="n">
        <v>46113</v>
      </c>
      <c r="F1658" s="2" t="n">
        <v>18</v>
      </c>
      <c r="G1658" s="4" t="n">
        <v>14.99</v>
      </c>
      <c r="H1658" s="4" t="n">
        <v>5.86</v>
      </c>
      <c r="I1658" s="4" t="n">
        <f aca="false">F1658*G1658</f>
        <v>269.82</v>
      </c>
      <c r="J1658" s="4" t="n">
        <f aca="false">F1658*H1658</f>
        <v>105.48</v>
      </c>
      <c r="K1658" s="4" t="n">
        <f aca="false">I1658-J1658</f>
        <v>164.34</v>
      </c>
      <c r="L1658" s="5" t="n">
        <f aca="false">IFERROR(K1658/I1658,0)</f>
        <v>0.609072715143429</v>
      </c>
    </row>
    <row r="1659" customFormat="false" ht="15" hidden="false" customHeight="false" outlineLevel="0" collapsed="false">
      <c r="A1659" s="2" t="s">
        <v>44</v>
      </c>
      <c r="B1659" s="2" t="s">
        <v>46</v>
      </c>
      <c r="C1659" s="2" t="s">
        <v>20</v>
      </c>
      <c r="D1659" s="2" t="s">
        <v>23</v>
      </c>
      <c r="E1659" s="3" t="n">
        <v>46113</v>
      </c>
      <c r="F1659" s="2" t="n">
        <v>17</v>
      </c>
      <c r="G1659" s="4" t="n">
        <v>39.99</v>
      </c>
      <c r="H1659" s="4" t="n">
        <v>16.93</v>
      </c>
      <c r="I1659" s="4" t="n">
        <f aca="false">F1659*G1659</f>
        <v>679.83</v>
      </c>
      <c r="J1659" s="4" t="n">
        <f aca="false">F1659*H1659</f>
        <v>287.81</v>
      </c>
      <c r="K1659" s="4" t="n">
        <f aca="false">I1659-J1659</f>
        <v>392.02</v>
      </c>
      <c r="L1659" s="5" t="n">
        <f aca="false">IFERROR(K1659/I1659,0)</f>
        <v>0.57664416104026</v>
      </c>
    </row>
    <row r="1660" customFormat="false" ht="15" hidden="false" customHeight="false" outlineLevel="0" collapsed="false">
      <c r="A1660" s="2" t="s">
        <v>44</v>
      </c>
      <c r="B1660" s="2" t="s">
        <v>46</v>
      </c>
      <c r="C1660" s="2" t="s">
        <v>20</v>
      </c>
      <c r="D1660" s="2" t="s">
        <v>24</v>
      </c>
      <c r="E1660" s="3" t="n">
        <v>46113</v>
      </c>
      <c r="F1660" s="2" t="n">
        <v>6</v>
      </c>
      <c r="G1660" s="4" t="n">
        <v>18.99</v>
      </c>
      <c r="H1660" s="4" t="n">
        <v>7.47</v>
      </c>
      <c r="I1660" s="4" t="n">
        <f aca="false">F1660*G1660</f>
        <v>113.94</v>
      </c>
      <c r="J1660" s="4" t="n">
        <f aca="false">F1660*H1660</f>
        <v>44.82</v>
      </c>
      <c r="K1660" s="4" t="n">
        <f aca="false">I1660-J1660</f>
        <v>69.12</v>
      </c>
      <c r="L1660" s="5" t="n">
        <f aca="false">IFERROR(K1660/I1660,0)</f>
        <v>0.606635071090047</v>
      </c>
    </row>
    <row r="1661" customFormat="false" ht="15" hidden="false" customHeight="false" outlineLevel="0" collapsed="false">
      <c r="A1661" s="2" t="s">
        <v>44</v>
      </c>
      <c r="B1661" s="2" t="s">
        <v>46</v>
      </c>
      <c r="C1661" s="2" t="s">
        <v>20</v>
      </c>
      <c r="D1661" s="2" t="s">
        <v>25</v>
      </c>
      <c r="E1661" s="3" t="n">
        <v>46113</v>
      </c>
      <c r="F1661" s="2" t="n">
        <v>14</v>
      </c>
      <c r="G1661" s="4" t="n">
        <v>42.99</v>
      </c>
      <c r="H1661" s="4" t="n">
        <v>15.55</v>
      </c>
      <c r="I1661" s="4" t="n">
        <f aca="false">F1661*G1661</f>
        <v>601.86</v>
      </c>
      <c r="J1661" s="4" t="n">
        <f aca="false">F1661*H1661</f>
        <v>217.7</v>
      </c>
      <c r="K1661" s="4" t="n">
        <f aca="false">I1661-J1661</f>
        <v>384.16</v>
      </c>
      <c r="L1661" s="5" t="n">
        <f aca="false">IFERROR(K1661/I1661,0)</f>
        <v>0.63828797394743</v>
      </c>
    </row>
    <row r="1662" customFormat="false" ht="15" hidden="false" customHeight="false" outlineLevel="0" collapsed="false">
      <c r="A1662" s="2" t="s">
        <v>44</v>
      </c>
      <c r="B1662" s="2" t="s">
        <v>46</v>
      </c>
      <c r="C1662" s="2" t="s">
        <v>26</v>
      </c>
      <c r="D1662" s="2" t="s">
        <v>27</v>
      </c>
      <c r="E1662" s="3" t="n">
        <v>46113</v>
      </c>
      <c r="F1662" s="2" t="n">
        <v>9</v>
      </c>
      <c r="G1662" s="4" t="n">
        <v>44.99</v>
      </c>
      <c r="H1662" s="4" t="n">
        <v>27.93</v>
      </c>
      <c r="I1662" s="4" t="n">
        <f aca="false">F1662*G1662</f>
        <v>404.91</v>
      </c>
      <c r="J1662" s="4" t="n">
        <f aca="false">F1662*H1662</f>
        <v>251.37</v>
      </c>
      <c r="K1662" s="4" t="n">
        <f aca="false">I1662-J1662</f>
        <v>153.54</v>
      </c>
      <c r="L1662" s="5" t="n">
        <f aca="false">IFERROR(K1662/I1662,0)</f>
        <v>0.379195376750389</v>
      </c>
    </row>
    <row r="1663" customFormat="false" ht="15" hidden="false" customHeight="false" outlineLevel="0" collapsed="false">
      <c r="A1663" s="2" t="s">
        <v>44</v>
      </c>
      <c r="B1663" s="2" t="s">
        <v>46</v>
      </c>
      <c r="C1663" s="2" t="s">
        <v>26</v>
      </c>
      <c r="D1663" s="2" t="s">
        <v>28</v>
      </c>
      <c r="E1663" s="3" t="n">
        <v>46113</v>
      </c>
      <c r="F1663" s="2" t="n">
        <v>10</v>
      </c>
      <c r="G1663" s="4" t="n">
        <v>34.99</v>
      </c>
      <c r="H1663" s="4" t="n">
        <v>21.93</v>
      </c>
      <c r="I1663" s="4" t="n">
        <f aca="false">F1663*G1663</f>
        <v>349.9</v>
      </c>
      <c r="J1663" s="4" t="n">
        <f aca="false">F1663*H1663</f>
        <v>219.3</v>
      </c>
      <c r="K1663" s="4" t="n">
        <f aca="false">I1663-J1663</f>
        <v>130.6</v>
      </c>
      <c r="L1663" s="5" t="n">
        <f aca="false">IFERROR(K1663/I1663,0)</f>
        <v>0.373249499857102</v>
      </c>
    </row>
    <row r="1664" customFormat="false" ht="15" hidden="false" customHeight="false" outlineLevel="0" collapsed="false">
      <c r="A1664" s="2" t="s">
        <v>44</v>
      </c>
      <c r="B1664" s="2" t="s">
        <v>46</v>
      </c>
      <c r="C1664" s="2" t="s">
        <v>26</v>
      </c>
      <c r="D1664" s="2" t="s">
        <v>29</v>
      </c>
      <c r="E1664" s="3" t="n">
        <v>46113</v>
      </c>
      <c r="F1664" s="2" t="n">
        <v>14</v>
      </c>
      <c r="G1664" s="4" t="n">
        <v>119.99</v>
      </c>
      <c r="H1664" s="4" t="n">
        <v>82.89</v>
      </c>
      <c r="I1664" s="4" t="n">
        <f aca="false">F1664*G1664</f>
        <v>1679.86</v>
      </c>
      <c r="J1664" s="4" t="n">
        <f aca="false">F1664*H1664</f>
        <v>1160.46</v>
      </c>
      <c r="K1664" s="4" t="n">
        <f aca="false">I1664-J1664</f>
        <v>519.4</v>
      </c>
      <c r="L1664" s="5" t="n">
        <f aca="false">IFERROR(K1664/I1664,0)</f>
        <v>0.309192432702725</v>
      </c>
    </row>
    <row r="1665" customFormat="false" ht="15" hidden="false" customHeight="false" outlineLevel="0" collapsed="false">
      <c r="A1665" s="2" t="s">
        <v>44</v>
      </c>
      <c r="B1665" s="2" t="s">
        <v>46</v>
      </c>
      <c r="C1665" s="2" t="s">
        <v>26</v>
      </c>
      <c r="D1665" s="2" t="s">
        <v>30</v>
      </c>
      <c r="E1665" s="3" t="n">
        <v>46113</v>
      </c>
      <c r="F1665" s="2" t="n">
        <v>13</v>
      </c>
      <c r="G1665" s="4" t="n">
        <v>24.99</v>
      </c>
      <c r="H1665" s="4" t="n">
        <v>15.07</v>
      </c>
      <c r="I1665" s="4" t="n">
        <f aca="false">F1665*G1665</f>
        <v>324.87</v>
      </c>
      <c r="J1665" s="4" t="n">
        <f aca="false">F1665*H1665</f>
        <v>195.91</v>
      </c>
      <c r="K1665" s="4" t="n">
        <f aca="false">I1665-J1665</f>
        <v>128.96</v>
      </c>
      <c r="L1665" s="5" t="n">
        <f aca="false">IFERROR(K1665/I1665,0)</f>
        <v>0.396958783513405</v>
      </c>
    </row>
    <row r="1666" customFormat="false" ht="15" hidden="false" customHeight="false" outlineLevel="0" collapsed="false">
      <c r="A1666" s="2" t="s">
        <v>44</v>
      </c>
      <c r="B1666" s="2" t="s">
        <v>46</v>
      </c>
      <c r="C1666" s="2" t="s">
        <v>26</v>
      </c>
      <c r="D1666" s="2" t="s">
        <v>31</v>
      </c>
      <c r="E1666" s="3" t="n">
        <v>46113</v>
      </c>
      <c r="F1666" s="2" t="n">
        <v>10</v>
      </c>
      <c r="G1666" s="4" t="n">
        <v>59.99</v>
      </c>
      <c r="H1666" s="4" t="n">
        <v>39.5</v>
      </c>
      <c r="I1666" s="4" t="n">
        <f aca="false">F1666*G1666</f>
        <v>599.9</v>
      </c>
      <c r="J1666" s="4" t="n">
        <f aca="false">F1666*H1666</f>
        <v>395</v>
      </c>
      <c r="K1666" s="4" t="n">
        <f aca="false">I1666-J1666</f>
        <v>204.9</v>
      </c>
      <c r="L1666" s="5" t="n">
        <f aca="false">IFERROR(K1666/I1666,0)</f>
        <v>0.341556926154359</v>
      </c>
    </row>
    <row r="1667" customFormat="false" ht="15" hidden="false" customHeight="false" outlineLevel="0" collapsed="false">
      <c r="A1667" s="2" t="s">
        <v>44</v>
      </c>
      <c r="B1667" s="2" t="s">
        <v>46</v>
      </c>
      <c r="C1667" s="2" t="s">
        <v>32</v>
      </c>
      <c r="D1667" s="2" t="s">
        <v>33</v>
      </c>
      <c r="E1667" s="3" t="n">
        <v>46113</v>
      </c>
      <c r="F1667" s="2" t="n">
        <v>13</v>
      </c>
      <c r="G1667" s="4" t="n">
        <v>49.99</v>
      </c>
      <c r="H1667" s="4" t="n">
        <v>36.36</v>
      </c>
      <c r="I1667" s="4" t="n">
        <f aca="false">F1667*G1667</f>
        <v>649.87</v>
      </c>
      <c r="J1667" s="4" t="n">
        <f aca="false">F1667*H1667</f>
        <v>472.68</v>
      </c>
      <c r="K1667" s="4" t="n">
        <f aca="false">I1667-J1667</f>
        <v>177.19</v>
      </c>
      <c r="L1667" s="5" t="n">
        <f aca="false">IFERROR(K1667/I1667,0)</f>
        <v>0.272654530906181</v>
      </c>
    </row>
    <row r="1668" customFormat="false" ht="15" hidden="false" customHeight="false" outlineLevel="0" collapsed="false">
      <c r="A1668" s="2" t="s">
        <v>44</v>
      </c>
      <c r="B1668" s="2" t="s">
        <v>46</v>
      </c>
      <c r="C1668" s="2" t="s">
        <v>32</v>
      </c>
      <c r="D1668" s="2" t="s">
        <v>34</v>
      </c>
      <c r="E1668" s="3" t="n">
        <v>46113</v>
      </c>
      <c r="F1668" s="2" t="n">
        <v>10</v>
      </c>
      <c r="G1668" s="4" t="n">
        <v>27.99</v>
      </c>
      <c r="H1668" s="4" t="n">
        <v>19.51</v>
      </c>
      <c r="I1668" s="4" t="n">
        <f aca="false">F1668*G1668</f>
        <v>279.9</v>
      </c>
      <c r="J1668" s="4" t="n">
        <f aca="false">F1668*H1668</f>
        <v>195.1</v>
      </c>
      <c r="K1668" s="4" t="n">
        <f aca="false">I1668-J1668</f>
        <v>84.8</v>
      </c>
      <c r="L1668" s="5" t="n">
        <f aca="false">IFERROR(K1668/I1668,0)</f>
        <v>0.302965344765988</v>
      </c>
    </row>
    <row r="1669" customFormat="false" ht="15" hidden="false" customHeight="false" outlineLevel="0" collapsed="false">
      <c r="A1669" s="2" t="s">
        <v>44</v>
      </c>
      <c r="B1669" s="2" t="s">
        <v>46</v>
      </c>
      <c r="C1669" s="2" t="s">
        <v>32</v>
      </c>
      <c r="D1669" s="2" t="s">
        <v>35</v>
      </c>
      <c r="E1669" s="3" t="n">
        <v>46113</v>
      </c>
      <c r="F1669" s="2" t="n">
        <v>16</v>
      </c>
      <c r="G1669" s="4" t="n">
        <v>64.99</v>
      </c>
      <c r="H1669" s="4" t="n">
        <v>45.38</v>
      </c>
      <c r="I1669" s="4" t="n">
        <f aca="false">F1669*G1669</f>
        <v>1039.84</v>
      </c>
      <c r="J1669" s="4" t="n">
        <f aca="false">F1669*H1669</f>
        <v>726.08</v>
      </c>
      <c r="K1669" s="4" t="n">
        <f aca="false">I1669-J1669</f>
        <v>313.76</v>
      </c>
      <c r="L1669" s="5" t="n">
        <f aca="false">IFERROR(K1669/I1669,0)</f>
        <v>0.301738729035236</v>
      </c>
    </row>
    <row r="1670" customFormat="false" ht="15" hidden="false" customHeight="false" outlineLevel="0" collapsed="false">
      <c r="A1670" s="2" t="s">
        <v>44</v>
      </c>
      <c r="B1670" s="2" t="s">
        <v>46</v>
      </c>
      <c r="C1670" s="2" t="s">
        <v>32</v>
      </c>
      <c r="D1670" s="2" t="s">
        <v>36</v>
      </c>
      <c r="E1670" s="3" t="n">
        <v>46113</v>
      </c>
      <c r="F1670" s="2" t="n">
        <v>18</v>
      </c>
      <c r="G1670" s="4" t="n">
        <v>22.99</v>
      </c>
      <c r="H1670" s="4" t="n">
        <v>16.9</v>
      </c>
      <c r="I1670" s="4" t="n">
        <f aca="false">F1670*G1670</f>
        <v>413.82</v>
      </c>
      <c r="J1670" s="4" t="n">
        <f aca="false">F1670*H1670</f>
        <v>304.2</v>
      </c>
      <c r="K1670" s="4" t="n">
        <f aca="false">I1670-J1670</f>
        <v>109.62</v>
      </c>
      <c r="L1670" s="5" t="n">
        <f aca="false">IFERROR(K1670/I1670,0)</f>
        <v>0.264897781644193</v>
      </c>
    </row>
    <row r="1671" customFormat="false" ht="15" hidden="false" customHeight="false" outlineLevel="0" collapsed="false">
      <c r="A1671" s="2" t="s">
        <v>44</v>
      </c>
      <c r="B1671" s="2" t="s">
        <v>46</v>
      </c>
      <c r="C1671" s="2" t="s">
        <v>32</v>
      </c>
      <c r="D1671" s="2" t="s">
        <v>37</v>
      </c>
      <c r="E1671" s="3" t="n">
        <v>46113</v>
      </c>
      <c r="F1671" s="2" t="n">
        <v>11</v>
      </c>
      <c r="G1671" s="4" t="n">
        <v>29.99</v>
      </c>
      <c r="H1671" s="4" t="n">
        <v>20.86</v>
      </c>
      <c r="I1671" s="4" t="n">
        <f aca="false">F1671*G1671</f>
        <v>329.89</v>
      </c>
      <c r="J1671" s="4" t="n">
        <f aca="false">F1671*H1671</f>
        <v>229.46</v>
      </c>
      <c r="K1671" s="4" t="n">
        <f aca="false">I1671-J1671</f>
        <v>100.43</v>
      </c>
      <c r="L1671" s="5" t="n">
        <f aca="false">IFERROR(K1671/I1671,0)</f>
        <v>0.304434811603868</v>
      </c>
    </row>
    <row r="1672" customFormat="false" ht="15" hidden="false" customHeight="false" outlineLevel="0" collapsed="false">
      <c r="A1672" s="2" t="s">
        <v>44</v>
      </c>
      <c r="B1672" s="2" t="s">
        <v>46</v>
      </c>
      <c r="C1672" s="2" t="s">
        <v>38</v>
      </c>
      <c r="D1672" s="2" t="s">
        <v>39</v>
      </c>
      <c r="E1672" s="3" t="n">
        <v>46113</v>
      </c>
      <c r="F1672" s="2" t="n">
        <v>9</v>
      </c>
      <c r="G1672" s="4" t="n">
        <v>129.99</v>
      </c>
      <c r="H1672" s="4" t="n">
        <v>76.96</v>
      </c>
      <c r="I1672" s="4" t="n">
        <f aca="false">F1672*G1672</f>
        <v>1169.91</v>
      </c>
      <c r="J1672" s="4" t="n">
        <f aca="false">F1672*H1672</f>
        <v>692.64</v>
      </c>
      <c r="K1672" s="4" t="n">
        <f aca="false">I1672-J1672</f>
        <v>477.27</v>
      </c>
      <c r="L1672" s="5" t="n">
        <f aca="false">IFERROR(K1672/I1672,0)</f>
        <v>0.407954458035234</v>
      </c>
    </row>
    <row r="1673" customFormat="false" ht="15" hidden="false" customHeight="false" outlineLevel="0" collapsed="false">
      <c r="A1673" s="2" t="s">
        <v>44</v>
      </c>
      <c r="B1673" s="2" t="s">
        <v>46</v>
      </c>
      <c r="C1673" s="2" t="s">
        <v>38</v>
      </c>
      <c r="D1673" s="2" t="s">
        <v>40</v>
      </c>
      <c r="E1673" s="3" t="n">
        <v>46113</v>
      </c>
      <c r="F1673" s="2" t="n">
        <v>9</v>
      </c>
      <c r="G1673" s="4" t="n">
        <v>74.99</v>
      </c>
      <c r="H1673" s="4" t="n">
        <v>40.73</v>
      </c>
      <c r="I1673" s="4" t="n">
        <f aca="false">F1673*G1673</f>
        <v>674.91</v>
      </c>
      <c r="J1673" s="4" t="n">
        <f aca="false">F1673*H1673</f>
        <v>366.57</v>
      </c>
      <c r="K1673" s="4" t="n">
        <f aca="false">I1673-J1673</f>
        <v>308.34</v>
      </c>
      <c r="L1673" s="5" t="n">
        <f aca="false">IFERROR(K1673/I1673,0)</f>
        <v>0.456860914788639</v>
      </c>
    </row>
    <row r="1674" customFormat="false" ht="15" hidden="false" customHeight="false" outlineLevel="0" collapsed="false">
      <c r="A1674" s="2" t="s">
        <v>44</v>
      </c>
      <c r="B1674" s="2" t="s">
        <v>46</v>
      </c>
      <c r="C1674" s="2" t="s">
        <v>38</v>
      </c>
      <c r="D1674" s="2" t="s">
        <v>41</v>
      </c>
      <c r="E1674" s="3" t="n">
        <v>46113</v>
      </c>
      <c r="F1674" s="2" t="n">
        <v>16</v>
      </c>
      <c r="G1674" s="4" t="n">
        <v>19.99</v>
      </c>
      <c r="H1674" s="4" t="n">
        <v>9.55</v>
      </c>
      <c r="I1674" s="4" t="n">
        <f aca="false">F1674*G1674</f>
        <v>319.84</v>
      </c>
      <c r="J1674" s="4" t="n">
        <f aca="false">F1674*H1674</f>
        <v>152.8</v>
      </c>
      <c r="K1674" s="4" t="n">
        <f aca="false">I1674-J1674</f>
        <v>167.04</v>
      </c>
      <c r="L1674" s="5" t="n">
        <f aca="false">IFERROR(K1674/I1674,0)</f>
        <v>0.522261130565283</v>
      </c>
    </row>
    <row r="1675" customFormat="false" ht="15" hidden="false" customHeight="false" outlineLevel="0" collapsed="false">
      <c r="A1675" s="2" t="s">
        <v>44</v>
      </c>
      <c r="B1675" s="2" t="s">
        <v>46</v>
      </c>
      <c r="C1675" s="2" t="s">
        <v>38</v>
      </c>
      <c r="D1675" s="2" t="s">
        <v>42</v>
      </c>
      <c r="E1675" s="3" t="n">
        <v>46113</v>
      </c>
      <c r="F1675" s="2" t="n">
        <v>11</v>
      </c>
      <c r="G1675" s="4" t="n">
        <v>16.99</v>
      </c>
      <c r="H1675" s="4" t="n">
        <v>8.36</v>
      </c>
      <c r="I1675" s="4" t="n">
        <f aca="false">F1675*G1675</f>
        <v>186.89</v>
      </c>
      <c r="J1675" s="4" t="n">
        <f aca="false">F1675*H1675</f>
        <v>91.96</v>
      </c>
      <c r="K1675" s="4" t="n">
        <f aca="false">I1675-J1675</f>
        <v>94.93</v>
      </c>
      <c r="L1675" s="5" t="n">
        <f aca="false">IFERROR(K1675/I1675,0)</f>
        <v>0.507945850500294</v>
      </c>
    </row>
    <row r="1676" customFormat="false" ht="15" hidden="false" customHeight="false" outlineLevel="0" collapsed="false">
      <c r="A1676" s="2" t="s">
        <v>44</v>
      </c>
      <c r="B1676" s="2" t="s">
        <v>46</v>
      </c>
      <c r="C1676" s="2" t="s">
        <v>38</v>
      </c>
      <c r="D1676" s="2" t="s">
        <v>43</v>
      </c>
      <c r="E1676" s="3" t="n">
        <v>46113</v>
      </c>
      <c r="F1676" s="2" t="n">
        <v>15</v>
      </c>
      <c r="G1676" s="4" t="n">
        <v>24.99</v>
      </c>
      <c r="H1676" s="4" t="n">
        <v>12.87</v>
      </c>
      <c r="I1676" s="4" t="n">
        <f aca="false">F1676*G1676</f>
        <v>374.85</v>
      </c>
      <c r="J1676" s="4" t="n">
        <f aca="false">F1676*H1676</f>
        <v>193.05</v>
      </c>
      <c r="K1676" s="4" t="n">
        <f aca="false">I1676-J1676</f>
        <v>181.8</v>
      </c>
      <c r="L1676" s="5" t="n">
        <f aca="false">IFERROR(K1676/I1676,0)</f>
        <v>0.48499399759904</v>
      </c>
    </row>
    <row r="1677" customFormat="false" ht="15" hidden="false" customHeight="false" outlineLevel="0" collapsed="false">
      <c r="A1677" s="2" t="s">
        <v>47</v>
      </c>
      <c r="B1677" s="2" t="s">
        <v>48</v>
      </c>
      <c r="C1677" s="2" t="s">
        <v>14</v>
      </c>
      <c r="D1677" s="2" t="s">
        <v>15</v>
      </c>
      <c r="E1677" s="3" t="n">
        <v>46113</v>
      </c>
      <c r="F1677" s="2" t="n">
        <v>14</v>
      </c>
      <c r="G1677" s="4" t="n">
        <v>69.99</v>
      </c>
      <c r="H1677" s="4" t="n">
        <v>33.29</v>
      </c>
      <c r="I1677" s="4" t="n">
        <f aca="false">F1677*G1677</f>
        <v>979.86</v>
      </c>
      <c r="J1677" s="4" t="n">
        <f aca="false">F1677*H1677</f>
        <v>466.06</v>
      </c>
      <c r="K1677" s="4" t="n">
        <f aca="false">I1677-J1677</f>
        <v>513.8</v>
      </c>
      <c r="L1677" s="5" t="n">
        <f aca="false">IFERROR(K1677/I1677,0)</f>
        <v>0.524360622946135</v>
      </c>
    </row>
    <row r="1678" customFormat="false" ht="15" hidden="false" customHeight="false" outlineLevel="0" collapsed="false">
      <c r="A1678" s="2" t="s">
        <v>47</v>
      </c>
      <c r="B1678" s="2" t="s">
        <v>48</v>
      </c>
      <c r="C1678" s="2" t="s">
        <v>14</v>
      </c>
      <c r="D1678" s="2" t="s">
        <v>16</v>
      </c>
      <c r="E1678" s="3" t="n">
        <v>46113</v>
      </c>
      <c r="F1678" s="2" t="n">
        <v>11</v>
      </c>
      <c r="G1678" s="4" t="n">
        <v>19.99</v>
      </c>
      <c r="H1678" s="4" t="n">
        <v>8.93</v>
      </c>
      <c r="I1678" s="4" t="n">
        <f aca="false">F1678*G1678</f>
        <v>219.89</v>
      </c>
      <c r="J1678" s="4" t="n">
        <f aca="false">F1678*H1678</f>
        <v>98.23</v>
      </c>
      <c r="K1678" s="4" t="n">
        <f aca="false">I1678-J1678</f>
        <v>121.66</v>
      </c>
      <c r="L1678" s="5" t="n">
        <f aca="false">IFERROR(K1678/I1678,0)</f>
        <v>0.55327663831916</v>
      </c>
    </row>
    <row r="1679" customFormat="false" ht="15" hidden="false" customHeight="false" outlineLevel="0" collapsed="false">
      <c r="A1679" s="2" t="s">
        <v>47</v>
      </c>
      <c r="B1679" s="2" t="s">
        <v>48</v>
      </c>
      <c r="C1679" s="2" t="s">
        <v>14</v>
      </c>
      <c r="D1679" s="2" t="s">
        <v>17</v>
      </c>
      <c r="E1679" s="3" t="n">
        <v>46113</v>
      </c>
      <c r="F1679" s="2" t="n">
        <v>8</v>
      </c>
      <c r="G1679" s="4" t="n">
        <v>79.99</v>
      </c>
      <c r="H1679" s="4" t="n">
        <v>39.13</v>
      </c>
      <c r="I1679" s="4" t="n">
        <f aca="false">F1679*G1679</f>
        <v>639.92</v>
      </c>
      <c r="J1679" s="4" t="n">
        <f aca="false">F1679*H1679</f>
        <v>313.04</v>
      </c>
      <c r="K1679" s="4" t="n">
        <f aca="false">I1679-J1679</f>
        <v>326.88</v>
      </c>
      <c r="L1679" s="5" t="n">
        <f aca="false">IFERROR(K1679/I1679,0)</f>
        <v>0.510813851731466</v>
      </c>
    </row>
    <row r="1680" customFormat="false" ht="15" hidden="false" customHeight="false" outlineLevel="0" collapsed="false">
      <c r="A1680" s="2" t="s">
        <v>47</v>
      </c>
      <c r="B1680" s="2" t="s">
        <v>48</v>
      </c>
      <c r="C1680" s="2" t="s">
        <v>14</v>
      </c>
      <c r="D1680" s="2" t="s">
        <v>18</v>
      </c>
      <c r="E1680" s="3" t="n">
        <v>46113</v>
      </c>
      <c r="F1680" s="2" t="n">
        <v>11</v>
      </c>
      <c r="G1680" s="4" t="n">
        <v>34.99</v>
      </c>
      <c r="H1680" s="4" t="n">
        <v>14.38</v>
      </c>
      <c r="I1680" s="4" t="n">
        <f aca="false">F1680*G1680</f>
        <v>384.89</v>
      </c>
      <c r="J1680" s="4" t="n">
        <f aca="false">F1680*H1680</f>
        <v>158.18</v>
      </c>
      <c r="K1680" s="4" t="n">
        <f aca="false">I1680-J1680</f>
        <v>226.71</v>
      </c>
      <c r="L1680" s="5" t="n">
        <f aca="false">IFERROR(K1680/I1680,0)</f>
        <v>0.589025435838811</v>
      </c>
    </row>
    <row r="1681" customFormat="false" ht="15" hidden="false" customHeight="false" outlineLevel="0" collapsed="false">
      <c r="A1681" s="2" t="s">
        <v>47</v>
      </c>
      <c r="B1681" s="2" t="s">
        <v>48</v>
      </c>
      <c r="C1681" s="2" t="s">
        <v>14</v>
      </c>
      <c r="D1681" s="2" t="s">
        <v>19</v>
      </c>
      <c r="E1681" s="3" t="n">
        <v>46113</v>
      </c>
      <c r="F1681" s="2" t="n">
        <v>8</v>
      </c>
      <c r="G1681" s="4" t="n">
        <v>54.99</v>
      </c>
      <c r="H1681" s="4" t="n">
        <v>24.08</v>
      </c>
      <c r="I1681" s="4" t="n">
        <f aca="false">F1681*G1681</f>
        <v>439.92</v>
      </c>
      <c r="J1681" s="4" t="n">
        <f aca="false">F1681*H1681</f>
        <v>192.64</v>
      </c>
      <c r="K1681" s="4" t="n">
        <f aca="false">I1681-J1681</f>
        <v>247.28</v>
      </c>
      <c r="L1681" s="5" t="n">
        <f aca="false">IFERROR(K1681/I1681,0)</f>
        <v>0.562102200400073</v>
      </c>
    </row>
    <row r="1682" customFormat="false" ht="15" hidden="false" customHeight="false" outlineLevel="0" collapsed="false">
      <c r="A1682" s="2" t="s">
        <v>47</v>
      </c>
      <c r="B1682" s="2" t="s">
        <v>48</v>
      </c>
      <c r="C1682" s="2" t="s">
        <v>20</v>
      </c>
      <c r="D1682" s="2" t="s">
        <v>21</v>
      </c>
      <c r="E1682" s="3" t="n">
        <v>46113</v>
      </c>
      <c r="F1682" s="2" t="n">
        <v>12</v>
      </c>
      <c r="G1682" s="4" t="n">
        <v>44.99</v>
      </c>
      <c r="H1682" s="4" t="n">
        <v>20.41</v>
      </c>
      <c r="I1682" s="4" t="n">
        <f aca="false">F1682*G1682</f>
        <v>539.88</v>
      </c>
      <c r="J1682" s="4" t="n">
        <f aca="false">F1682*H1682</f>
        <v>244.92</v>
      </c>
      <c r="K1682" s="4" t="n">
        <f aca="false">I1682-J1682</f>
        <v>294.96</v>
      </c>
      <c r="L1682" s="5" t="n">
        <f aca="false">IFERROR(K1682/I1682,0)</f>
        <v>0.546343631918204</v>
      </c>
    </row>
    <row r="1683" customFormat="false" ht="15" hidden="false" customHeight="false" outlineLevel="0" collapsed="false">
      <c r="A1683" s="2" t="s">
        <v>47</v>
      </c>
      <c r="B1683" s="2" t="s">
        <v>48</v>
      </c>
      <c r="C1683" s="2" t="s">
        <v>20</v>
      </c>
      <c r="D1683" s="2" t="s">
        <v>22</v>
      </c>
      <c r="E1683" s="3" t="n">
        <v>46113</v>
      </c>
      <c r="F1683" s="2" t="n">
        <v>21</v>
      </c>
      <c r="G1683" s="4" t="n">
        <v>14.99</v>
      </c>
      <c r="H1683" s="4" t="n">
        <v>5.74</v>
      </c>
      <c r="I1683" s="4" t="n">
        <f aca="false">F1683*G1683</f>
        <v>314.79</v>
      </c>
      <c r="J1683" s="4" t="n">
        <f aca="false">F1683*H1683</f>
        <v>120.54</v>
      </c>
      <c r="K1683" s="4" t="n">
        <f aca="false">I1683-J1683</f>
        <v>194.25</v>
      </c>
      <c r="L1683" s="5" t="n">
        <f aca="false">IFERROR(K1683/I1683,0)</f>
        <v>0.61707805203469</v>
      </c>
    </row>
    <row r="1684" customFormat="false" ht="15" hidden="false" customHeight="false" outlineLevel="0" collapsed="false">
      <c r="A1684" s="2" t="s">
        <v>47</v>
      </c>
      <c r="B1684" s="2" t="s">
        <v>48</v>
      </c>
      <c r="C1684" s="2" t="s">
        <v>20</v>
      </c>
      <c r="D1684" s="2" t="s">
        <v>23</v>
      </c>
      <c r="E1684" s="3" t="n">
        <v>46113</v>
      </c>
      <c r="F1684" s="2" t="n">
        <v>12</v>
      </c>
      <c r="G1684" s="4" t="n">
        <v>39.99</v>
      </c>
      <c r="H1684" s="4" t="n">
        <v>16.62</v>
      </c>
      <c r="I1684" s="4" t="n">
        <f aca="false">F1684*G1684</f>
        <v>479.88</v>
      </c>
      <c r="J1684" s="4" t="n">
        <f aca="false">F1684*H1684</f>
        <v>199.44</v>
      </c>
      <c r="K1684" s="4" t="n">
        <f aca="false">I1684-J1684</f>
        <v>280.44</v>
      </c>
      <c r="L1684" s="5" t="n">
        <f aca="false">IFERROR(K1684/I1684,0)</f>
        <v>0.584396099024756</v>
      </c>
    </row>
    <row r="1685" customFormat="false" ht="15" hidden="false" customHeight="false" outlineLevel="0" collapsed="false">
      <c r="A1685" s="2" t="s">
        <v>47</v>
      </c>
      <c r="B1685" s="2" t="s">
        <v>48</v>
      </c>
      <c r="C1685" s="2" t="s">
        <v>20</v>
      </c>
      <c r="D1685" s="2" t="s">
        <v>24</v>
      </c>
      <c r="E1685" s="3" t="n">
        <v>46113</v>
      </c>
      <c r="F1685" s="2" t="n">
        <v>7</v>
      </c>
      <c r="G1685" s="4" t="n">
        <v>18.99</v>
      </c>
      <c r="H1685" s="4" t="n">
        <v>7.76</v>
      </c>
      <c r="I1685" s="4" t="n">
        <f aca="false">F1685*G1685</f>
        <v>132.93</v>
      </c>
      <c r="J1685" s="4" t="n">
        <f aca="false">F1685*H1685</f>
        <v>54.32</v>
      </c>
      <c r="K1685" s="4" t="n">
        <f aca="false">I1685-J1685</f>
        <v>78.61</v>
      </c>
      <c r="L1685" s="5" t="n">
        <f aca="false">IFERROR(K1685/I1685,0)</f>
        <v>0.591363875724065</v>
      </c>
    </row>
    <row r="1686" customFormat="false" ht="15" hidden="false" customHeight="false" outlineLevel="0" collapsed="false">
      <c r="A1686" s="2" t="s">
        <v>47</v>
      </c>
      <c r="B1686" s="2" t="s">
        <v>48</v>
      </c>
      <c r="C1686" s="2" t="s">
        <v>20</v>
      </c>
      <c r="D1686" s="2" t="s">
        <v>25</v>
      </c>
      <c r="E1686" s="3" t="n">
        <v>46113</v>
      </c>
      <c r="F1686" s="2" t="n">
        <v>13</v>
      </c>
      <c r="G1686" s="4" t="n">
        <v>42.99</v>
      </c>
      <c r="H1686" s="4" t="n">
        <v>16.15</v>
      </c>
      <c r="I1686" s="4" t="n">
        <f aca="false">F1686*G1686</f>
        <v>558.87</v>
      </c>
      <c r="J1686" s="4" t="n">
        <f aca="false">F1686*H1686</f>
        <v>209.95</v>
      </c>
      <c r="K1686" s="4" t="n">
        <f aca="false">I1686-J1686</f>
        <v>348.92</v>
      </c>
      <c r="L1686" s="5" t="n">
        <f aca="false">IFERROR(K1686/I1686,0)</f>
        <v>0.624331239823215</v>
      </c>
    </row>
    <row r="1687" customFormat="false" ht="15" hidden="false" customHeight="false" outlineLevel="0" collapsed="false">
      <c r="A1687" s="2" t="s">
        <v>47</v>
      </c>
      <c r="B1687" s="2" t="s">
        <v>48</v>
      </c>
      <c r="C1687" s="2" t="s">
        <v>26</v>
      </c>
      <c r="D1687" s="2" t="s">
        <v>27</v>
      </c>
      <c r="E1687" s="3" t="n">
        <v>46113</v>
      </c>
      <c r="F1687" s="2" t="n">
        <v>10</v>
      </c>
      <c r="G1687" s="4" t="n">
        <v>44.99</v>
      </c>
      <c r="H1687" s="4" t="n">
        <v>28.18</v>
      </c>
      <c r="I1687" s="4" t="n">
        <f aca="false">F1687*G1687</f>
        <v>449.9</v>
      </c>
      <c r="J1687" s="4" t="n">
        <f aca="false">F1687*H1687</f>
        <v>281.8</v>
      </c>
      <c r="K1687" s="4" t="n">
        <f aca="false">I1687-J1687</f>
        <v>168.1</v>
      </c>
      <c r="L1687" s="5" t="n">
        <f aca="false">IFERROR(K1687/I1687,0)</f>
        <v>0.373638586352523</v>
      </c>
    </row>
    <row r="1688" customFormat="false" ht="15" hidden="false" customHeight="false" outlineLevel="0" collapsed="false">
      <c r="A1688" s="2" t="s">
        <v>47</v>
      </c>
      <c r="B1688" s="2" t="s">
        <v>48</v>
      </c>
      <c r="C1688" s="2" t="s">
        <v>26</v>
      </c>
      <c r="D1688" s="2" t="s">
        <v>28</v>
      </c>
      <c r="E1688" s="3" t="n">
        <v>46113</v>
      </c>
      <c r="F1688" s="2" t="n">
        <v>11</v>
      </c>
      <c r="G1688" s="4" t="n">
        <v>34.99</v>
      </c>
      <c r="H1688" s="4" t="n">
        <v>22.03</v>
      </c>
      <c r="I1688" s="4" t="n">
        <f aca="false">F1688*G1688</f>
        <v>384.89</v>
      </c>
      <c r="J1688" s="4" t="n">
        <f aca="false">F1688*H1688</f>
        <v>242.33</v>
      </c>
      <c r="K1688" s="4" t="n">
        <f aca="false">I1688-J1688</f>
        <v>142.56</v>
      </c>
      <c r="L1688" s="5" t="n">
        <f aca="false">IFERROR(K1688/I1688,0)</f>
        <v>0.370391540440126</v>
      </c>
    </row>
    <row r="1689" customFormat="false" ht="15" hidden="false" customHeight="false" outlineLevel="0" collapsed="false">
      <c r="A1689" s="2" t="s">
        <v>47</v>
      </c>
      <c r="B1689" s="2" t="s">
        <v>48</v>
      </c>
      <c r="C1689" s="2" t="s">
        <v>26</v>
      </c>
      <c r="D1689" s="2" t="s">
        <v>29</v>
      </c>
      <c r="E1689" s="3" t="n">
        <v>46113</v>
      </c>
      <c r="F1689" s="2" t="n">
        <v>9</v>
      </c>
      <c r="G1689" s="4" t="n">
        <v>119.99</v>
      </c>
      <c r="H1689" s="4" t="n">
        <v>83.7</v>
      </c>
      <c r="I1689" s="4" t="n">
        <f aca="false">F1689*G1689</f>
        <v>1079.91</v>
      </c>
      <c r="J1689" s="4" t="n">
        <f aca="false">F1689*H1689</f>
        <v>753.3</v>
      </c>
      <c r="K1689" s="4" t="n">
        <f aca="false">I1689-J1689</f>
        <v>326.61</v>
      </c>
      <c r="L1689" s="5" t="n">
        <f aca="false">IFERROR(K1689/I1689,0)</f>
        <v>0.302441870155846</v>
      </c>
    </row>
    <row r="1690" customFormat="false" ht="15" hidden="false" customHeight="false" outlineLevel="0" collapsed="false">
      <c r="A1690" s="2" t="s">
        <v>47</v>
      </c>
      <c r="B1690" s="2" t="s">
        <v>48</v>
      </c>
      <c r="C1690" s="2" t="s">
        <v>26</v>
      </c>
      <c r="D1690" s="2" t="s">
        <v>30</v>
      </c>
      <c r="E1690" s="3" t="n">
        <v>46113</v>
      </c>
      <c r="F1690" s="2" t="n">
        <v>15</v>
      </c>
      <c r="G1690" s="4" t="n">
        <v>24.99</v>
      </c>
      <c r="H1690" s="4" t="n">
        <v>14.99</v>
      </c>
      <c r="I1690" s="4" t="n">
        <f aca="false">F1690*G1690</f>
        <v>374.85</v>
      </c>
      <c r="J1690" s="4" t="n">
        <f aca="false">F1690*H1690</f>
        <v>224.85</v>
      </c>
      <c r="K1690" s="4" t="n">
        <f aca="false">I1690-J1690</f>
        <v>150</v>
      </c>
      <c r="L1690" s="5" t="n">
        <f aca="false">IFERROR(K1690/I1690,0)</f>
        <v>0.40016006402561</v>
      </c>
    </row>
    <row r="1691" customFormat="false" ht="15" hidden="false" customHeight="false" outlineLevel="0" collapsed="false">
      <c r="A1691" s="2" t="s">
        <v>47</v>
      </c>
      <c r="B1691" s="2" t="s">
        <v>48</v>
      </c>
      <c r="C1691" s="2" t="s">
        <v>26</v>
      </c>
      <c r="D1691" s="2" t="s">
        <v>31</v>
      </c>
      <c r="E1691" s="3" t="n">
        <v>46113</v>
      </c>
      <c r="F1691" s="2" t="n">
        <v>14</v>
      </c>
      <c r="G1691" s="4" t="n">
        <v>59.99</v>
      </c>
      <c r="H1691" s="4" t="n">
        <v>38.45</v>
      </c>
      <c r="I1691" s="4" t="n">
        <f aca="false">F1691*G1691</f>
        <v>839.86</v>
      </c>
      <c r="J1691" s="4" t="n">
        <f aca="false">F1691*H1691</f>
        <v>538.3</v>
      </c>
      <c r="K1691" s="4" t="n">
        <f aca="false">I1691-J1691</f>
        <v>301.56</v>
      </c>
      <c r="L1691" s="5" t="n">
        <f aca="false">IFERROR(K1691/I1691,0)</f>
        <v>0.359059843307218</v>
      </c>
    </row>
    <row r="1692" customFormat="false" ht="15" hidden="false" customHeight="false" outlineLevel="0" collapsed="false">
      <c r="A1692" s="2" t="s">
        <v>47</v>
      </c>
      <c r="B1692" s="2" t="s">
        <v>48</v>
      </c>
      <c r="C1692" s="2" t="s">
        <v>32</v>
      </c>
      <c r="D1692" s="2" t="s">
        <v>33</v>
      </c>
      <c r="E1692" s="3" t="n">
        <v>46113</v>
      </c>
      <c r="F1692" s="2" t="n">
        <v>17</v>
      </c>
      <c r="G1692" s="4" t="n">
        <v>49.99</v>
      </c>
      <c r="H1692" s="4" t="n">
        <v>35.82</v>
      </c>
      <c r="I1692" s="4" t="n">
        <f aca="false">F1692*G1692</f>
        <v>849.83</v>
      </c>
      <c r="J1692" s="4" t="n">
        <f aca="false">F1692*H1692</f>
        <v>608.94</v>
      </c>
      <c r="K1692" s="4" t="n">
        <f aca="false">I1692-J1692</f>
        <v>240.89</v>
      </c>
      <c r="L1692" s="5" t="n">
        <f aca="false">IFERROR(K1692/I1692,0)</f>
        <v>0.283456691338268</v>
      </c>
    </row>
    <row r="1693" customFormat="false" ht="15" hidden="false" customHeight="false" outlineLevel="0" collapsed="false">
      <c r="A1693" s="2" t="s">
        <v>47</v>
      </c>
      <c r="B1693" s="2" t="s">
        <v>48</v>
      </c>
      <c r="C1693" s="2" t="s">
        <v>32</v>
      </c>
      <c r="D1693" s="2" t="s">
        <v>34</v>
      </c>
      <c r="E1693" s="3" t="n">
        <v>46113</v>
      </c>
      <c r="F1693" s="2" t="n">
        <v>12</v>
      </c>
      <c r="G1693" s="4" t="n">
        <v>27.99</v>
      </c>
      <c r="H1693" s="4" t="n">
        <v>20.34</v>
      </c>
      <c r="I1693" s="4" t="n">
        <f aca="false">F1693*G1693</f>
        <v>335.88</v>
      </c>
      <c r="J1693" s="4" t="n">
        <f aca="false">F1693*H1693</f>
        <v>244.08</v>
      </c>
      <c r="K1693" s="4" t="n">
        <f aca="false">I1693-J1693</f>
        <v>91.8</v>
      </c>
      <c r="L1693" s="5" t="n">
        <f aca="false">IFERROR(K1693/I1693,0)</f>
        <v>0.273311897106109</v>
      </c>
    </row>
    <row r="1694" customFormat="false" ht="15" hidden="false" customHeight="false" outlineLevel="0" collapsed="false">
      <c r="A1694" s="2" t="s">
        <v>47</v>
      </c>
      <c r="B1694" s="2" t="s">
        <v>48</v>
      </c>
      <c r="C1694" s="2" t="s">
        <v>32</v>
      </c>
      <c r="D1694" s="2" t="s">
        <v>35</v>
      </c>
      <c r="E1694" s="3" t="n">
        <v>46113</v>
      </c>
      <c r="F1694" s="2" t="n">
        <v>15</v>
      </c>
      <c r="G1694" s="4" t="n">
        <v>64.99</v>
      </c>
      <c r="H1694" s="4" t="n">
        <v>46.84</v>
      </c>
      <c r="I1694" s="4" t="n">
        <f aca="false">F1694*G1694</f>
        <v>974.85</v>
      </c>
      <c r="J1694" s="4" t="n">
        <f aca="false">F1694*H1694</f>
        <v>702.6</v>
      </c>
      <c r="K1694" s="4" t="n">
        <f aca="false">I1694-J1694</f>
        <v>272.25</v>
      </c>
      <c r="L1694" s="5" t="n">
        <f aca="false">IFERROR(K1694/I1694,0)</f>
        <v>0.27927373442068</v>
      </c>
    </row>
    <row r="1695" customFormat="false" ht="15" hidden="false" customHeight="false" outlineLevel="0" collapsed="false">
      <c r="A1695" s="2" t="s">
        <v>47</v>
      </c>
      <c r="B1695" s="2" t="s">
        <v>48</v>
      </c>
      <c r="C1695" s="2" t="s">
        <v>32</v>
      </c>
      <c r="D1695" s="2" t="s">
        <v>36</v>
      </c>
      <c r="E1695" s="3" t="n">
        <v>46113</v>
      </c>
      <c r="F1695" s="2" t="n">
        <v>8</v>
      </c>
      <c r="G1695" s="4" t="n">
        <v>22.99</v>
      </c>
      <c r="H1695" s="4" t="n">
        <v>16.68</v>
      </c>
      <c r="I1695" s="4" t="n">
        <f aca="false">F1695*G1695</f>
        <v>183.92</v>
      </c>
      <c r="J1695" s="4" t="n">
        <f aca="false">F1695*H1695</f>
        <v>133.44</v>
      </c>
      <c r="K1695" s="4" t="n">
        <f aca="false">I1695-J1695</f>
        <v>50.48</v>
      </c>
      <c r="L1695" s="5" t="n">
        <f aca="false">IFERROR(K1695/I1695,0)</f>
        <v>0.274467159634624</v>
      </c>
    </row>
    <row r="1696" customFormat="false" ht="15" hidden="false" customHeight="false" outlineLevel="0" collapsed="false">
      <c r="A1696" s="2" t="s">
        <v>47</v>
      </c>
      <c r="B1696" s="2" t="s">
        <v>48</v>
      </c>
      <c r="C1696" s="2" t="s">
        <v>32</v>
      </c>
      <c r="D1696" s="2" t="s">
        <v>37</v>
      </c>
      <c r="E1696" s="3" t="n">
        <v>46113</v>
      </c>
      <c r="F1696" s="2" t="n">
        <v>11</v>
      </c>
      <c r="G1696" s="4" t="n">
        <v>29.99</v>
      </c>
      <c r="H1696" s="4" t="n">
        <v>20.1</v>
      </c>
      <c r="I1696" s="4" t="n">
        <f aca="false">F1696*G1696</f>
        <v>329.89</v>
      </c>
      <c r="J1696" s="4" t="n">
        <f aca="false">F1696*H1696</f>
        <v>221.1</v>
      </c>
      <c r="K1696" s="4" t="n">
        <f aca="false">I1696-J1696</f>
        <v>108.79</v>
      </c>
      <c r="L1696" s="5" t="n">
        <f aca="false">IFERROR(K1696/I1696,0)</f>
        <v>0.329776592197399</v>
      </c>
    </row>
    <row r="1697" customFormat="false" ht="15" hidden="false" customHeight="false" outlineLevel="0" collapsed="false">
      <c r="A1697" s="2" t="s">
        <v>47</v>
      </c>
      <c r="B1697" s="2" t="s">
        <v>48</v>
      </c>
      <c r="C1697" s="2" t="s">
        <v>38</v>
      </c>
      <c r="D1697" s="2" t="s">
        <v>39</v>
      </c>
      <c r="E1697" s="3" t="n">
        <v>46113</v>
      </c>
      <c r="F1697" s="2" t="n">
        <v>16</v>
      </c>
      <c r="G1697" s="4" t="n">
        <v>129.99</v>
      </c>
      <c r="H1697" s="4" t="n">
        <v>74.59</v>
      </c>
      <c r="I1697" s="4" t="n">
        <f aca="false">F1697*G1697</f>
        <v>2079.84</v>
      </c>
      <c r="J1697" s="4" t="n">
        <f aca="false">F1697*H1697</f>
        <v>1193.44</v>
      </c>
      <c r="K1697" s="4" t="n">
        <f aca="false">I1697-J1697</f>
        <v>886.4</v>
      </c>
      <c r="L1697" s="5" t="n">
        <f aca="false">IFERROR(K1697/I1697,0)</f>
        <v>0.426186629740749</v>
      </c>
    </row>
    <row r="1698" customFormat="false" ht="15" hidden="false" customHeight="false" outlineLevel="0" collapsed="false">
      <c r="A1698" s="2" t="s">
        <v>47</v>
      </c>
      <c r="B1698" s="2" t="s">
        <v>48</v>
      </c>
      <c r="C1698" s="2" t="s">
        <v>38</v>
      </c>
      <c r="D1698" s="2" t="s">
        <v>40</v>
      </c>
      <c r="E1698" s="3" t="n">
        <v>46113</v>
      </c>
      <c r="F1698" s="2" t="n">
        <v>14</v>
      </c>
      <c r="G1698" s="4" t="n">
        <v>74.99</v>
      </c>
      <c r="H1698" s="4" t="n">
        <v>42.24</v>
      </c>
      <c r="I1698" s="4" t="n">
        <f aca="false">F1698*G1698</f>
        <v>1049.86</v>
      </c>
      <c r="J1698" s="4" t="n">
        <f aca="false">F1698*H1698</f>
        <v>591.36</v>
      </c>
      <c r="K1698" s="4" t="n">
        <f aca="false">I1698-J1698</f>
        <v>458.5</v>
      </c>
      <c r="L1698" s="5" t="n">
        <f aca="false">IFERROR(K1698/I1698,0)</f>
        <v>0.436724896652887</v>
      </c>
    </row>
    <row r="1699" customFormat="false" ht="15" hidden="false" customHeight="false" outlineLevel="0" collapsed="false">
      <c r="A1699" s="2" t="s">
        <v>47</v>
      </c>
      <c r="B1699" s="2" t="s">
        <v>48</v>
      </c>
      <c r="C1699" s="2" t="s">
        <v>38</v>
      </c>
      <c r="D1699" s="2" t="s">
        <v>41</v>
      </c>
      <c r="E1699" s="3" t="n">
        <v>46113</v>
      </c>
      <c r="F1699" s="2" t="n">
        <v>15</v>
      </c>
      <c r="G1699" s="4" t="n">
        <v>19.99</v>
      </c>
      <c r="H1699" s="4" t="n">
        <v>9.54</v>
      </c>
      <c r="I1699" s="4" t="n">
        <f aca="false">F1699*G1699</f>
        <v>299.85</v>
      </c>
      <c r="J1699" s="4" t="n">
        <f aca="false">F1699*H1699</f>
        <v>143.1</v>
      </c>
      <c r="K1699" s="4" t="n">
        <f aca="false">I1699-J1699</f>
        <v>156.75</v>
      </c>
      <c r="L1699" s="5" t="n">
        <f aca="false">IFERROR(K1699/I1699,0)</f>
        <v>0.522761380690345</v>
      </c>
    </row>
    <row r="1700" customFormat="false" ht="15" hidden="false" customHeight="false" outlineLevel="0" collapsed="false">
      <c r="A1700" s="2" t="s">
        <v>47</v>
      </c>
      <c r="B1700" s="2" t="s">
        <v>48</v>
      </c>
      <c r="C1700" s="2" t="s">
        <v>38</v>
      </c>
      <c r="D1700" s="2" t="s">
        <v>42</v>
      </c>
      <c r="E1700" s="3" t="n">
        <v>46113</v>
      </c>
      <c r="F1700" s="2" t="n">
        <v>8</v>
      </c>
      <c r="G1700" s="4" t="n">
        <v>16.99</v>
      </c>
      <c r="H1700" s="4" t="n">
        <v>8.46</v>
      </c>
      <c r="I1700" s="4" t="n">
        <f aca="false">F1700*G1700</f>
        <v>135.92</v>
      </c>
      <c r="J1700" s="4" t="n">
        <f aca="false">F1700*H1700</f>
        <v>67.68</v>
      </c>
      <c r="K1700" s="4" t="n">
        <f aca="false">I1700-J1700</f>
        <v>68.24</v>
      </c>
      <c r="L1700" s="5" t="n">
        <f aca="false">IFERROR(K1700/I1700,0)</f>
        <v>0.502060035314891</v>
      </c>
    </row>
    <row r="1701" customFormat="false" ht="15" hidden="false" customHeight="false" outlineLevel="0" collapsed="false">
      <c r="A1701" s="2" t="s">
        <v>47</v>
      </c>
      <c r="B1701" s="2" t="s">
        <v>48</v>
      </c>
      <c r="C1701" s="2" t="s">
        <v>38</v>
      </c>
      <c r="D1701" s="2" t="s">
        <v>43</v>
      </c>
      <c r="E1701" s="3" t="n">
        <v>46113</v>
      </c>
      <c r="F1701" s="2" t="n">
        <v>17</v>
      </c>
      <c r="G1701" s="4" t="n">
        <v>24.99</v>
      </c>
      <c r="H1701" s="4" t="n">
        <v>12.91</v>
      </c>
      <c r="I1701" s="4" t="n">
        <f aca="false">F1701*G1701</f>
        <v>424.83</v>
      </c>
      <c r="J1701" s="4" t="n">
        <f aca="false">F1701*H1701</f>
        <v>219.47</v>
      </c>
      <c r="K1701" s="4" t="n">
        <f aca="false">I1701-J1701</f>
        <v>205.36</v>
      </c>
      <c r="L1701" s="5" t="n">
        <f aca="false">IFERROR(K1701/I1701,0)</f>
        <v>0.483393357342937</v>
      </c>
    </row>
    <row r="1702" customFormat="false" ht="15" hidden="false" customHeight="false" outlineLevel="0" collapsed="false">
      <c r="A1702" s="2" t="s">
        <v>47</v>
      </c>
      <c r="B1702" s="2" t="s">
        <v>49</v>
      </c>
      <c r="C1702" s="2" t="s">
        <v>14</v>
      </c>
      <c r="D1702" s="2" t="s">
        <v>15</v>
      </c>
      <c r="E1702" s="3" t="n">
        <v>46113</v>
      </c>
      <c r="F1702" s="2" t="n">
        <v>9</v>
      </c>
      <c r="G1702" s="4" t="n">
        <v>69.99</v>
      </c>
      <c r="H1702" s="4" t="n">
        <v>32.74</v>
      </c>
      <c r="I1702" s="4" t="n">
        <f aca="false">F1702*G1702</f>
        <v>629.91</v>
      </c>
      <c r="J1702" s="4" t="n">
        <f aca="false">F1702*H1702</f>
        <v>294.66</v>
      </c>
      <c r="K1702" s="4" t="n">
        <f aca="false">I1702-J1702</f>
        <v>335.25</v>
      </c>
      <c r="L1702" s="5" t="n">
        <f aca="false">IFERROR(K1702/I1702,0)</f>
        <v>0.53221888841263</v>
      </c>
    </row>
    <row r="1703" customFormat="false" ht="15" hidden="false" customHeight="false" outlineLevel="0" collapsed="false">
      <c r="A1703" s="2" t="s">
        <v>47</v>
      </c>
      <c r="B1703" s="2" t="s">
        <v>49</v>
      </c>
      <c r="C1703" s="2" t="s">
        <v>14</v>
      </c>
      <c r="D1703" s="2" t="s">
        <v>16</v>
      </c>
      <c r="E1703" s="3" t="n">
        <v>46113</v>
      </c>
      <c r="F1703" s="2" t="n">
        <v>11</v>
      </c>
      <c r="G1703" s="4" t="n">
        <v>19.99</v>
      </c>
      <c r="H1703" s="4" t="n">
        <v>8.92</v>
      </c>
      <c r="I1703" s="4" t="n">
        <f aca="false">F1703*G1703</f>
        <v>219.89</v>
      </c>
      <c r="J1703" s="4" t="n">
        <f aca="false">F1703*H1703</f>
        <v>98.12</v>
      </c>
      <c r="K1703" s="4" t="n">
        <f aca="false">I1703-J1703</f>
        <v>121.77</v>
      </c>
      <c r="L1703" s="5" t="n">
        <f aca="false">IFERROR(K1703/I1703,0)</f>
        <v>0.553776888444222</v>
      </c>
    </row>
    <row r="1704" customFormat="false" ht="15" hidden="false" customHeight="false" outlineLevel="0" collapsed="false">
      <c r="A1704" s="2" t="s">
        <v>47</v>
      </c>
      <c r="B1704" s="2" t="s">
        <v>49</v>
      </c>
      <c r="C1704" s="2" t="s">
        <v>14</v>
      </c>
      <c r="D1704" s="2" t="s">
        <v>17</v>
      </c>
      <c r="E1704" s="3" t="n">
        <v>46113</v>
      </c>
      <c r="F1704" s="2" t="n">
        <v>10</v>
      </c>
      <c r="G1704" s="4" t="n">
        <v>79.99</v>
      </c>
      <c r="H1704" s="4" t="n">
        <v>40.28</v>
      </c>
      <c r="I1704" s="4" t="n">
        <f aca="false">F1704*G1704</f>
        <v>799.9</v>
      </c>
      <c r="J1704" s="4" t="n">
        <f aca="false">F1704*H1704</f>
        <v>402.8</v>
      </c>
      <c r="K1704" s="4" t="n">
        <f aca="false">I1704-J1704</f>
        <v>397.1</v>
      </c>
      <c r="L1704" s="5" t="n">
        <f aca="false">IFERROR(K1704/I1704,0)</f>
        <v>0.496437054631829</v>
      </c>
    </row>
    <row r="1705" customFormat="false" ht="15" hidden="false" customHeight="false" outlineLevel="0" collapsed="false">
      <c r="A1705" s="2" t="s">
        <v>47</v>
      </c>
      <c r="B1705" s="2" t="s">
        <v>49</v>
      </c>
      <c r="C1705" s="2" t="s">
        <v>14</v>
      </c>
      <c r="D1705" s="2" t="s">
        <v>18</v>
      </c>
      <c r="E1705" s="3" t="n">
        <v>46113</v>
      </c>
      <c r="F1705" s="2" t="n">
        <v>13</v>
      </c>
      <c r="G1705" s="4" t="n">
        <v>34.99</v>
      </c>
      <c r="H1705" s="4" t="n">
        <v>15</v>
      </c>
      <c r="I1705" s="4" t="n">
        <f aca="false">F1705*G1705</f>
        <v>454.87</v>
      </c>
      <c r="J1705" s="4" t="n">
        <f aca="false">F1705*H1705</f>
        <v>195</v>
      </c>
      <c r="K1705" s="4" t="n">
        <f aca="false">I1705-J1705</f>
        <v>259.87</v>
      </c>
      <c r="L1705" s="5" t="n">
        <f aca="false">IFERROR(K1705/I1705,0)</f>
        <v>0.571306087453558</v>
      </c>
    </row>
    <row r="1706" customFormat="false" ht="15" hidden="false" customHeight="false" outlineLevel="0" collapsed="false">
      <c r="A1706" s="2" t="s">
        <v>47</v>
      </c>
      <c r="B1706" s="2" t="s">
        <v>49</v>
      </c>
      <c r="C1706" s="2" t="s">
        <v>14</v>
      </c>
      <c r="D1706" s="2" t="s">
        <v>19</v>
      </c>
      <c r="E1706" s="3" t="n">
        <v>46113</v>
      </c>
      <c r="F1706" s="2" t="n">
        <v>6</v>
      </c>
      <c r="G1706" s="4" t="n">
        <v>54.99</v>
      </c>
      <c r="H1706" s="4" t="n">
        <v>23.59</v>
      </c>
      <c r="I1706" s="4" t="n">
        <f aca="false">F1706*G1706</f>
        <v>329.94</v>
      </c>
      <c r="J1706" s="4" t="n">
        <f aca="false">F1706*H1706</f>
        <v>141.54</v>
      </c>
      <c r="K1706" s="4" t="n">
        <f aca="false">I1706-J1706</f>
        <v>188.4</v>
      </c>
      <c r="L1706" s="5" t="n">
        <f aca="false">IFERROR(K1706/I1706,0)</f>
        <v>0.571012911438443</v>
      </c>
    </row>
    <row r="1707" customFormat="false" ht="15" hidden="false" customHeight="false" outlineLevel="0" collapsed="false">
      <c r="A1707" s="2" t="s">
        <v>47</v>
      </c>
      <c r="B1707" s="2" t="s">
        <v>49</v>
      </c>
      <c r="C1707" s="2" t="s">
        <v>20</v>
      </c>
      <c r="D1707" s="2" t="s">
        <v>21</v>
      </c>
      <c r="E1707" s="3" t="n">
        <v>46113</v>
      </c>
      <c r="F1707" s="2" t="n">
        <v>13</v>
      </c>
      <c r="G1707" s="4" t="n">
        <v>44.99</v>
      </c>
      <c r="H1707" s="4" t="n">
        <v>20.47</v>
      </c>
      <c r="I1707" s="4" t="n">
        <f aca="false">F1707*G1707</f>
        <v>584.87</v>
      </c>
      <c r="J1707" s="4" t="n">
        <f aca="false">F1707*H1707</f>
        <v>266.11</v>
      </c>
      <c r="K1707" s="4" t="n">
        <f aca="false">I1707-J1707</f>
        <v>318.76</v>
      </c>
      <c r="L1707" s="5" t="n">
        <f aca="false">IFERROR(K1707/I1707,0)</f>
        <v>0.545010002222716</v>
      </c>
    </row>
    <row r="1708" customFormat="false" ht="15" hidden="false" customHeight="false" outlineLevel="0" collapsed="false">
      <c r="A1708" s="2" t="s">
        <v>47</v>
      </c>
      <c r="B1708" s="2" t="s">
        <v>49</v>
      </c>
      <c r="C1708" s="2" t="s">
        <v>20</v>
      </c>
      <c r="D1708" s="2" t="s">
        <v>22</v>
      </c>
      <c r="E1708" s="3" t="n">
        <v>46113</v>
      </c>
      <c r="F1708" s="2" t="n">
        <v>17</v>
      </c>
      <c r="G1708" s="4" t="n">
        <v>14.99</v>
      </c>
      <c r="H1708" s="4" t="n">
        <v>5.84</v>
      </c>
      <c r="I1708" s="4" t="n">
        <f aca="false">F1708*G1708</f>
        <v>254.83</v>
      </c>
      <c r="J1708" s="4" t="n">
        <f aca="false">F1708*H1708</f>
        <v>99.28</v>
      </c>
      <c r="K1708" s="4" t="n">
        <f aca="false">I1708-J1708</f>
        <v>155.55</v>
      </c>
      <c r="L1708" s="5" t="n">
        <f aca="false">IFERROR(K1708/I1708,0)</f>
        <v>0.610406937958639</v>
      </c>
    </row>
    <row r="1709" customFormat="false" ht="15" hidden="false" customHeight="false" outlineLevel="0" collapsed="false">
      <c r="A1709" s="2" t="s">
        <v>47</v>
      </c>
      <c r="B1709" s="2" t="s">
        <v>49</v>
      </c>
      <c r="C1709" s="2" t="s">
        <v>20</v>
      </c>
      <c r="D1709" s="2" t="s">
        <v>23</v>
      </c>
      <c r="E1709" s="3" t="n">
        <v>46113</v>
      </c>
      <c r="F1709" s="2" t="n">
        <v>16</v>
      </c>
      <c r="G1709" s="4" t="n">
        <v>39.99</v>
      </c>
      <c r="H1709" s="4" t="n">
        <v>17.11</v>
      </c>
      <c r="I1709" s="4" t="n">
        <f aca="false">F1709*G1709</f>
        <v>639.84</v>
      </c>
      <c r="J1709" s="4" t="n">
        <f aca="false">F1709*H1709</f>
        <v>273.76</v>
      </c>
      <c r="K1709" s="4" t="n">
        <f aca="false">I1709-J1709</f>
        <v>366.08</v>
      </c>
      <c r="L1709" s="5" t="n">
        <f aca="false">IFERROR(K1709/I1709,0)</f>
        <v>0.57214303575894</v>
      </c>
    </row>
    <row r="1710" customFormat="false" ht="15" hidden="false" customHeight="false" outlineLevel="0" collapsed="false">
      <c r="A1710" s="2" t="s">
        <v>47</v>
      </c>
      <c r="B1710" s="2" t="s">
        <v>49</v>
      </c>
      <c r="C1710" s="2" t="s">
        <v>20</v>
      </c>
      <c r="D1710" s="2" t="s">
        <v>24</v>
      </c>
      <c r="E1710" s="3" t="n">
        <v>46113</v>
      </c>
      <c r="F1710" s="2" t="n">
        <v>11</v>
      </c>
      <c r="G1710" s="4" t="n">
        <v>18.99</v>
      </c>
      <c r="H1710" s="4" t="n">
        <v>7.41</v>
      </c>
      <c r="I1710" s="4" t="n">
        <f aca="false">F1710*G1710</f>
        <v>208.89</v>
      </c>
      <c r="J1710" s="4" t="n">
        <f aca="false">F1710*H1710</f>
        <v>81.51</v>
      </c>
      <c r="K1710" s="4" t="n">
        <f aca="false">I1710-J1710</f>
        <v>127.38</v>
      </c>
      <c r="L1710" s="5" t="n">
        <f aca="false">IFERROR(K1710/I1710,0)</f>
        <v>0.609794628751975</v>
      </c>
    </row>
    <row r="1711" customFormat="false" ht="15" hidden="false" customHeight="false" outlineLevel="0" collapsed="false">
      <c r="A1711" s="2" t="s">
        <v>47</v>
      </c>
      <c r="B1711" s="2" t="s">
        <v>49</v>
      </c>
      <c r="C1711" s="2" t="s">
        <v>20</v>
      </c>
      <c r="D1711" s="2" t="s">
        <v>25</v>
      </c>
      <c r="E1711" s="3" t="n">
        <v>46113</v>
      </c>
      <c r="F1711" s="2" t="n">
        <v>15</v>
      </c>
      <c r="G1711" s="4" t="n">
        <v>42.99</v>
      </c>
      <c r="H1711" s="4" t="n">
        <v>15.88</v>
      </c>
      <c r="I1711" s="4" t="n">
        <f aca="false">F1711*G1711</f>
        <v>644.85</v>
      </c>
      <c r="J1711" s="4" t="n">
        <f aca="false">F1711*H1711</f>
        <v>238.2</v>
      </c>
      <c r="K1711" s="4" t="n">
        <f aca="false">I1711-J1711</f>
        <v>406.65</v>
      </c>
      <c r="L1711" s="5" t="n">
        <f aca="false">IFERROR(K1711/I1711,0)</f>
        <v>0.630611770179111</v>
      </c>
    </row>
    <row r="1712" customFormat="false" ht="15" hidden="false" customHeight="false" outlineLevel="0" collapsed="false">
      <c r="A1712" s="2" t="s">
        <v>47</v>
      </c>
      <c r="B1712" s="2" t="s">
        <v>49</v>
      </c>
      <c r="C1712" s="2" t="s">
        <v>26</v>
      </c>
      <c r="D1712" s="2" t="s">
        <v>27</v>
      </c>
      <c r="E1712" s="3" t="n">
        <v>46113</v>
      </c>
      <c r="F1712" s="2" t="n">
        <v>10</v>
      </c>
      <c r="G1712" s="4" t="n">
        <v>44.99</v>
      </c>
      <c r="H1712" s="4" t="n">
        <v>28.42</v>
      </c>
      <c r="I1712" s="4" t="n">
        <f aca="false">F1712*G1712</f>
        <v>449.9</v>
      </c>
      <c r="J1712" s="4" t="n">
        <f aca="false">F1712*H1712</f>
        <v>284.2</v>
      </c>
      <c r="K1712" s="4" t="n">
        <f aca="false">I1712-J1712</f>
        <v>165.7</v>
      </c>
      <c r="L1712" s="5" t="n">
        <f aca="false">IFERROR(K1712/I1712,0)</f>
        <v>0.368304067570571</v>
      </c>
    </row>
    <row r="1713" customFormat="false" ht="15" hidden="false" customHeight="false" outlineLevel="0" collapsed="false">
      <c r="A1713" s="2" t="s">
        <v>47</v>
      </c>
      <c r="B1713" s="2" t="s">
        <v>49</v>
      </c>
      <c r="C1713" s="2" t="s">
        <v>26</v>
      </c>
      <c r="D1713" s="2" t="s">
        <v>28</v>
      </c>
      <c r="E1713" s="3" t="n">
        <v>46113</v>
      </c>
      <c r="F1713" s="2" t="n">
        <v>13</v>
      </c>
      <c r="G1713" s="4" t="n">
        <v>34.99</v>
      </c>
      <c r="H1713" s="4" t="n">
        <v>22.52</v>
      </c>
      <c r="I1713" s="4" t="n">
        <f aca="false">F1713*G1713</f>
        <v>454.87</v>
      </c>
      <c r="J1713" s="4" t="n">
        <f aca="false">F1713*H1713</f>
        <v>292.76</v>
      </c>
      <c r="K1713" s="4" t="n">
        <f aca="false">I1713-J1713</f>
        <v>162.11</v>
      </c>
      <c r="L1713" s="5" t="n">
        <f aca="false">IFERROR(K1713/I1713,0)</f>
        <v>0.356387539296942</v>
      </c>
    </row>
    <row r="1714" customFormat="false" ht="15" hidden="false" customHeight="false" outlineLevel="0" collapsed="false">
      <c r="A1714" s="2" t="s">
        <v>47</v>
      </c>
      <c r="B1714" s="2" t="s">
        <v>49</v>
      </c>
      <c r="C1714" s="2" t="s">
        <v>26</v>
      </c>
      <c r="D1714" s="2" t="s">
        <v>29</v>
      </c>
      <c r="E1714" s="3" t="n">
        <v>46113</v>
      </c>
      <c r="F1714" s="2" t="n">
        <v>9</v>
      </c>
      <c r="G1714" s="4" t="n">
        <v>119.99</v>
      </c>
      <c r="H1714" s="4" t="n">
        <v>79.44</v>
      </c>
      <c r="I1714" s="4" t="n">
        <f aca="false">F1714*G1714</f>
        <v>1079.91</v>
      </c>
      <c r="J1714" s="4" t="n">
        <f aca="false">F1714*H1714</f>
        <v>714.96</v>
      </c>
      <c r="K1714" s="4" t="n">
        <f aca="false">I1714-J1714</f>
        <v>364.95</v>
      </c>
      <c r="L1714" s="5" t="n">
        <f aca="false">IFERROR(K1714/I1714,0)</f>
        <v>0.337944828735728</v>
      </c>
    </row>
    <row r="1715" customFormat="false" ht="15" hidden="false" customHeight="false" outlineLevel="0" collapsed="false">
      <c r="A1715" s="2" t="s">
        <v>47</v>
      </c>
      <c r="B1715" s="2" t="s">
        <v>49</v>
      </c>
      <c r="C1715" s="2" t="s">
        <v>26</v>
      </c>
      <c r="D1715" s="2" t="s">
        <v>30</v>
      </c>
      <c r="E1715" s="3" t="n">
        <v>46113</v>
      </c>
      <c r="F1715" s="2" t="n">
        <v>11</v>
      </c>
      <c r="G1715" s="4" t="n">
        <v>24.99</v>
      </c>
      <c r="H1715" s="4" t="n">
        <v>14.64</v>
      </c>
      <c r="I1715" s="4" t="n">
        <f aca="false">F1715*G1715</f>
        <v>274.89</v>
      </c>
      <c r="J1715" s="4" t="n">
        <f aca="false">F1715*H1715</f>
        <v>161.04</v>
      </c>
      <c r="K1715" s="4" t="n">
        <f aca="false">I1715-J1715</f>
        <v>113.85</v>
      </c>
      <c r="L1715" s="5" t="n">
        <f aca="false">IFERROR(K1715/I1715,0)</f>
        <v>0.414165666266506</v>
      </c>
    </row>
    <row r="1716" customFormat="false" ht="15" hidden="false" customHeight="false" outlineLevel="0" collapsed="false">
      <c r="A1716" s="2" t="s">
        <v>47</v>
      </c>
      <c r="B1716" s="2" t="s">
        <v>49</v>
      </c>
      <c r="C1716" s="2" t="s">
        <v>26</v>
      </c>
      <c r="D1716" s="2" t="s">
        <v>31</v>
      </c>
      <c r="E1716" s="3" t="n">
        <v>46113</v>
      </c>
      <c r="F1716" s="2" t="n">
        <v>11</v>
      </c>
      <c r="G1716" s="4" t="n">
        <v>59.99</v>
      </c>
      <c r="H1716" s="4" t="n">
        <v>38.91</v>
      </c>
      <c r="I1716" s="4" t="n">
        <f aca="false">F1716*G1716</f>
        <v>659.89</v>
      </c>
      <c r="J1716" s="4" t="n">
        <f aca="false">F1716*H1716</f>
        <v>428.01</v>
      </c>
      <c r="K1716" s="4" t="n">
        <f aca="false">I1716-J1716</f>
        <v>231.88</v>
      </c>
      <c r="L1716" s="5" t="n">
        <f aca="false">IFERROR(K1716/I1716,0)</f>
        <v>0.351391898649775</v>
      </c>
    </row>
    <row r="1717" customFormat="false" ht="15" hidden="false" customHeight="false" outlineLevel="0" collapsed="false">
      <c r="A1717" s="2" t="s">
        <v>47</v>
      </c>
      <c r="B1717" s="2" t="s">
        <v>49</v>
      </c>
      <c r="C1717" s="2" t="s">
        <v>32</v>
      </c>
      <c r="D1717" s="2" t="s">
        <v>33</v>
      </c>
      <c r="E1717" s="3" t="n">
        <v>46113</v>
      </c>
      <c r="F1717" s="2" t="n">
        <v>12</v>
      </c>
      <c r="G1717" s="4" t="n">
        <v>49.99</v>
      </c>
      <c r="H1717" s="4" t="n">
        <v>36.63</v>
      </c>
      <c r="I1717" s="4" t="n">
        <f aca="false">F1717*G1717</f>
        <v>599.88</v>
      </c>
      <c r="J1717" s="4" t="n">
        <f aca="false">F1717*H1717</f>
        <v>439.56</v>
      </c>
      <c r="K1717" s="4" t="n">
        <f aca="false">I1717-J1717</f>
        <v>160.32</v>
      </c>
      <c r="L1717" s="5" t="n">
        <f aca="false">IFERROR(K1717/I1717,0)</f>
        <v>0.267253450690138</v>
      </c>
    </row>
    <row r="1718" customFormat="false" ht="15" hidden="false" customHeight="false" outlineLevel="0" collapsed="false">
      <c r="A1718" s="2" t="s">
        <v>47</v>
      </c>
      <c r="B1718" s="2" t="s">
        <v>49</v>
      </c>
      <c r="C1718" s="2" t="s">
        <v>32</v>
      </c>
      <c r="D1718" s="2" t="s">
        <v>34</v>
      </c>
      <c r="E1718" s="3" t="n">
        <v>46113</v>
      </c>
      <c r="F1718" s="2" t="n">
        <v>20</v>
      </c>
      <c r="G1718" s="4" t="n">
        <v>27.99</v>
      </c>
      <c r="H1718" s="4" t="n">
        <v>20.16</v>
      </c>
      <c r="I1718" s="4" t="n">
        <f aca="false">F1718*G1718</f>
        <v>559.8</v>
      </c>
      <c r="J1718" s="4" t="n">
        <f aca="false">F1718*H1718</f>
        <v>403.2</v>
      </c>
      <c r="K1718" s="4" t="n">
        <f aca="false">I1718-J1718</f>
        <v>156.6</v>
      </c>
      <c r="L1718" s="5" t="n">
        <f aca="false">IFERROR(K1718/I1718,0)</f>
        <v>0.279742765273312</v>
      </c>
    </row>
    <row r="1719" customFormat="false" ht="15" hidden="false" customHeight="false" outlineLevel="0" collapsed="false">
      <c r="A1719" s="2" t="s">
        <v>47</v>
      </c>
      <c r="B1719" s="2" t="s">
        <v>49</v>
      </c>
      <c r="C1719" s="2" t="s">
        <v>32</v>
      </c>
      <c r="D1719" s="2" t="s">
        <v>35</v>
      </c>
      <c r="E1719" s="3" t="n">
        <v>46113</v>
      </c>
      <c r="F1719" s="2" t="n">
        <v>5</v>
      </c>
      <c r="G1719" s="4" t="n">
        <v>64.99</v>
      </c>
      <c r="H1719" s="4" t="n">
        <v>45.35</v>
      </c>
      <c r="I1719" s="4" t="n">
        <f aca="false">F1719*G1719</f>
        <v>324.95</v>
      </c>
      <c r="J1719" s="4" t="n">
        <f aca="false">F1719*H1719</f>
        <v>226.75</v>
      </c>
      <c r="K1719" s="4" t="n">
        <f aca="false">I1719-J1719</f>
        <v>98.2</v>
      </c>
      <c r="L1719" s="5" t="n">
        <f aca="false">IFERROR(K1719/I1719,0)</f>
        <v>0.302200338513617</v>
      </c>
    </row>
    <row r="1720" customFormat="false" ht="15" hidden="false" customHeight="false" outlineLevel="0" collapsed="false">
      <c r="A1720" s="2" t="s">
        <v>47</v>
      </c>
      <c r="B1720" s="2" t="s">
        <v>49</v>
      </c>
      <c r="C1720" s="2" t="s">
        <v>32</v>
      </c>
      <c r="D1720" s="2" t="s">
        <v>36</v>
      </c>
      <c r="E1720" s="3" t="n">
        <v>46113</v>
      </c>
      <c r="F1720" s="2" t="n">
        <v>11</v>
      </c>
      <c r="G1720" s="4" t="n">
        <v>22.99</v>
      </c>
      <c r="H1720" s="4" t="n">
        <v>17.01</v>
      </c>
      <c r="I1720" s="4" t="n">
        <f aca="false">F1720*G1720</f>
        <v>252.89</v>
      </c>
      <c r="J1720" s="4" t="n">
        <f aca="false">F1720*H1720</f>
        <v>187.11</v>
      </c>
      <c r="K1720" s="4" t="n">
        <f aca="false">I1720-J1720</f>
        <v>65.78</v>
      </c>
      <c r="L1720" s="5" t="n">
        <f aca="false">IFERROR(K1720/I1720,0)</f>
        <v>0.260113092648978</v>
      </c>
    </row>
    <row r="1721" customFormat="false" ht="15" hidden="false" customHeight="false" outlineLevel="0" collapsed="false">
      <c r="A1721" s="2" t="s">
        <v>47</v>
      </c>
      <c r="B1721" s="2" t="s">
        <v>49</v>
      </c>
      <c r="C1721" s="2" t="s">
        <v>32</v>
      </c>
      <c r="D1721" s="2" t="s">
        <v>37</v>
      </c>
      <c r="E1721" s="3" t="n">
        <v>46113</v>
      </c>
      <c r="F1721" s="2" t="n">
        <v>10</v>
      </c>
      <c r="G1721" s="4" t="n">
        <v>29.99</v>
      </c>
      <c r="H1721" s="4" t="n">
        <v>20.76</v>
      </c>
      <c r="I1721" s="4" t="n">
        <f aca="false">F1721*G1721</f>
        <v>299.9</v>
      </c>
      <c r="J1721" s="4" t="n">
        <f aca="false">F1721*H1721</f>
        <v>207.6</v>
      </c>
      <c r="K1721" s="4" t="n">
        <f aca="false">I1721-J1721</f>
        <v>92.3</v>
      </c>
      <c r="L1721" s="5" t="n">
        <f aca="false">IFERROR(K1721/I1721,0)</f>
        <v>0.307769256418806</v>
      </c>
    </row>
    <row r="1722" customFormat="false" ht="15" hidden="false" customHeight="false" outlineLevel="0" collapsed="false">
      <c r="A1722" s="2" t="s">
        <v>47</v>
      </c>
      <c r="B1722" s="2" t="s">
        <v>49</v>
      </c>
      <c r="C1722" s="2" t="s">
        <v>38</v>
      </c>
      <c r="D1722" s="2" t="s">
        <v>39</v>
      </c>
      <c r="E1722" s="3" t="n">
        <v>46113</v>
      </c>
      <c r="F1722" s="2" t="n">
        <v>15</v>
      </c>
      <c r="G1722" s="4" t="n">
        <v>129.99</v>
      </c>
      <c r="H1722" s="4" t="n">
        <v>74.78</v>
      </c>
      <c r="I1722" s="4" t="n">
        <f aca="false">F1722*G1722</f>
        <v>1949.85</v>
      </c>
      <c r="J1722" s="4" t="n">
        <f aca="false">F1722*H1722</f>
        <v>1121.7</v>
      </c>
      <c r="K1722" s="4" t="n">
        <f aca="false">I1722-J1722</f>
        <v>828.15</v>
      </c>
      <c r="L1722" s="5" t="n">
        <f aca="false">IFERROR(K1722/I1722,0)</f>
        <v>0.424724978844527</v>
      </c>
    </row>
    <row r="1723" customFormat="false" ht="15" hidden="false" customHeight="false" outlineLevel="0" collapsed="false">
      <c r="A1723" s="2" t="s">
        <v>47</v>
      </c>
      <c r="B1723" s="2" t="s">
        <v>49</v>
      </c>
      <c r="C1723" s="2" t="s">
        <v>38</v>
      </c>
      <c r="D1723" s="2" t="s">
        <v>40</v>
      </c>
      <c r="E1723" s="3" t="n">
        <v>46113</v>
      </c>
      <c r="F1723" s="2" t="n">
        <v>14</v>
      </c>
      <c r="G1723" s="4" t="n">
        <v>74.99</v>
      </c>
      <c r="H1723" s="4" t="n">
        <v>42.47</v>
      </c>
      <c r="I1723" s="4" t="n">
        <f aca="false">F1723*G1723</f>
        <v>1049.86</v>
      </c>
      <c r="J1723" s="4" t="n">
        <f aca="false">F1723*H1723</f>
        <v>594.58</v>
      </c>
      <c r="K1723" s="4" t="n">
        <f aca="false">I1723-J1723</f>
        <v>455.28</v>
      </c>
      <c r="L1723" s="5" t="n">
        <f aca="false">IFERROR(K1723/I1723,0)</f>
        <v>0.433657821042806</v>
      </c>
    </row>
    <row r="1724" customFormat="false" ht="15" hidden="false" customHeight="false" outlineLevel="0" collapsed="false">
      <c r="A1724" s="2" t="s">
        <v>47</v>
      </c>
      <c r="B1724" s="2" t="s">
        <v>49</v>
      </c>
      <c r="C1724" s="2" t="s">
        <v>38</v>
      </c>
      <c r="D1724" s="2" t="s">
        <v>41</v>
      </c>
      <c r="E1724" s="3" t="n">
        <v>46113</v>
      </c>
      <c r="F1724" s="2" t="n">
        <v>9</v>
      </c>
      <c r="G1724" s="4" t="n">
        <v>19.99</v>
      </c>
      <c r="H1724" s="4" t="n">
        <v>9.43</v>
      </c>
      <c r="I1724" s="4" t="n">
        <f aca="false">F1724*G1724</f>
        <v>179.91</v>
      </c>
      <c r="J1724" s="4" t="n">
        <f aca="false">F1724*H1724</f>
        <v>84.87</v>
      </c>
      <c r="K1724" s="4" t="n">
        <f aca="false">I1724-J1724</f>
        <v>95.04</v>
      </c>
      <c r="L1724" s="5" t="n">
        <f aca="false">IFERROR(K1724/I1724,0)</f>
        <v>0.528264132066033</v>
      </c>
    </row>
    <row r="1725" customFormat="false" ht="15" hidden="false" customHeight="false" outlineLevel="0" collapsed="false">
      <c r="A1725" s="2" t="s">
        <v>47</v>
      </c>
      <c r="B1725" s="2" t="s">
        <v>49</v>
      </c>
      <c r="C1725" s="2" t="s">
        <v>38</v>
      </c>
      <c r="D1725" s="2" t="s">
        <v>42</v>
      </c>
      <c r="E1725" s="3" t="n">
        <v>46113</v>
      </c>
      <c r="F1725" s="2" t="n">
        <v>9</v>
      </c>
      <c r="G1725" s="4" t="n">
        <v>16.99</v>
      </c>
      <c r="H1725" s="4" t="n">
        <v>8.68</v>
      </c>
      <c r="I1725" s="4" t="n">
        <f aca="false">F1725*G1725</f>
        <v>152.91</v>
      </c>
      <c r="J1725" s="4" t="n">
        <f aca="false">F1725*H1725</f>
        <v>78.12</v>
      </c>
      <c r="K1725" s="4" t="n">
        <f aca="false">I1725-J1725</f>
        <v>74.79</v>
      </c>
      <c r="L1725" s="5" t="n">
        <f aca="false">IFERROR(K1725/I1725,0)</f>
        <v>0.489111241907004</v>
      </c>
    </row>
    <row r="1726" customFormat="false" ht="15" hidden="false" customHeight="false" outlineLevel="0" collapsed="false">
      <c r="A1726" s="2" t="s">
        <v>47</v>
      </c>
      <c r="B1726" s="2" t="s">
        <v>49</v>
      </c>
      <c r="C1726" s="2" t="s">
        <v>38</v>
      </c>
      <c r="D1726" s="2" t="s">
        <v>43</v>
      </c>
      <c r="E1726" s="3" t="n">
        <v>46113</v>
      </c>
      <c r="F1726" s="2" t="n">
        <v>9</v>
      </c>
      <c r="G1726" s="4" t="n">
        <v>24.99</v>
      </c>
      <c r="H1726" s="4" t="n">
        <v>13.3</v>
      </c>
      <c r="I1726" s="4" t="n">
        <f aca="false">F1726*G1726</f>
        <v>224.91</v>
      </c>
      <c r="J1726" s="4" t="n">
        <f aca="false">F1726*H1726</f>
        <v>119.7</v>
      </c>
      <c r="K1726" s="4" t="n">
        <f aca="false">I1726-J1726</f>
        <v>105.21</v>
      </c>
      <c r="L1726" s="5" t="n">
        <f aca="false">IFERROR(K1726/I1726,0)</f>
        <v>0.467787114845938</v>
      </c>
    </row>
    <row r="1727" customFormat="false" ht="15" hidden="false" customHeight="false" outlineLevel="0" collapsed="false">
      <c r="A1727" s="2" t="s">
        <v>50</v>
      </c>
      <c r="B1727" s="2" t="s">
        <v>51</v>
      </c>
      <c r="C1727" s="2" t="s">
        <v>14</v>
      </c>
      <c r="D1727" s="2" t="s">
        <v>15</v>
      </c>
      <c r="E1727" s="3" t="n">
        <v>46113</v>
      </c>
      <c r="F1727" s="2" t="n">
        <v>13</v>
      </c>
      <c r="G1727" s="4" t="n">
        <v>69.99</v>
      </c>
      <c r="H1727" s="4" t="n">
        <v>33.74</v>
      </c>
      <c r="I1727" s="4" t="n">
        <f aca="false">F1727*G1727</f>
        <v>909.87</v>
      </c>
      <c r="J1727" s="4" t="n">
        <f aca="false">F1727*H1727</f>
        <v>438.62</v>
      </c>
      <c r="K1727" s="4" t="n">
        <f aca="false">I1727-J1727</f>
        <v>471.25</v>
      </c>
      <c r="L1727" s="5" t="n">
        <f aca="false">IFERROR(K1727/I1727,0)</f>
        <v>0.517931133019003</v>
      </c>
    </row>
    <row r="1728" customFormat="false" ht="15" hidden="false" customHeight="false" outlineLevel="0" collapsed="false">
      <c r="A1728" s="2" t="s">
        <v>50</v>
      </c>
      <c r="B1728" s="2" t="s">
        <v>51</v>
      </c>
      <c r="C1728" s="2" t="s">
        <v>14</v>
      </c>
      <c r="D1728" s="2" t="s">
        <v>16</v>
      </c>
      <c r="E1728" s="3" t="n">
        <v>46113</v>
      </c>
      <c r="F1728" s="2" t="n">
        <v>4</v>
      </c>
      <c r="G1728" s="4" t="n">
        <v>19.99</v>
      </c>
      <c r="H1728" s="4" t="n">
        <v>8.95</v>
      </c>
      <c r="I1728" s="4" t="n">
        <f aca="false">F1728*G1728</f>
        <v>79.96</v>
      </c>
      <c r="J1728" s="4" t="n">
        <f aca="false">F1728*H1728</f>
        <v>35.8</v>
      </c>
      <c r="K1728" s="4" t="n">
        <f aca="false">I1728-J1728</f>
        <v>44.16</v>
      </c>
      <c r="L1728" s="5" t="n">
        <f aca="false">IFERROR(K1728/I1728,0)</f>
        <v>0.552276138069035</v>
      </c>
    </row>
    <row r="1729" customFormat="false" ht="15" hidden="false" customHeight="false" outlineLevel="0" collapsed="false">
      <c r="A1729" s="2" t="s">
        <v>50</v>
      </c>
      <c r="B1729" s="2" t="s">
        <v>51</v>
      </c>
      <c r="C1729" s="2" t="s">
        <v>14</v>
      </c>
      <c r="D1729" s="2" t="s">
        <v>17</v>
      </c>
      <c r="E1729" s="3" t="n">
        <v>46113</v>
      </c>
      <c r="F1729" s="2" t="n">
        <v>12</v>
      </c>
      <c r="G1729" s="4" t="n">
        <v>79.99</v>
      </c>
      <c r="H1729" s="4" t="n">
        <v>38.85</v>
      </c>
      <c r="I1729" s="4" t="n">
        <f aca="false">F1729*G1729</f>
        <v>959.88</v>
      </c>
      <c r="J1729" s="4" t="n">
        <f aca="false">F1729*H1729</f>
        <v>466.2</v>
      </c>
      <c r="K1729" s="4" t="n">
        <f aca="false">I1729-J1729</f>
        <v>493.68</v>
      </c>
      <c r="L1729" s="5" t="n">
        <f aca="false">IFERROR(K1729/I1729,0)</f>
        <v>0.514314289286161</v>
      </c>
    </row>
    <row r="1730" customFormat="false" ht="15" hidden="false" customHeight="false" outlineLevel="0" collapsed="false">
      <c r="A1730" s="2" t="s">
        <v>50</v>
      </c>
      <c r="B1730" s="2" t="s">
        <v>51</v>
      </c>
      <c r="C1730" s="2" t="s">
        <v>14</v>
      </c>
      <c r="D1730" s="2" t="s">
        <v>18</v>
      </c>
      <c r="E1730" s="3" t="n">
        <v>46113</v>
      </c>
      <c r="F1730" s="2" t="n">
        <v>13</v>
      </c>
      <c r="G1730" s="4" t="n">
        <v>34.99</v>
      </c>
      <c r="H1730" s="4" t="n">
        <v>14.53</v>
      </c>
      <c r="I1730" s="4" t="n">
        <f aca="false">F1730*G1730</f>
        <v>454.87</v>
      </c>
      <c r="J1730" s="4" t="n">
        <f aca="false">F1730*H1730</f>
        <v>188.89</v>
      </c>
      <c r="K1730" s="4" t="n">
        <f aca="false">I1730-J1730</f>
        <v>265.98</v>
      </c>
      <c r="L1730" s="5" t="n">
        <f aca="false">IFERROR(K1730/I1730,0)</f>
        <v>0.584738496713347</v>
      </c>
    </row>
    <row r="1731" customFormat="false" ht="15" hidden="false" customHeight="false" outlineLevel="0" collapsed="false">
      <c r="A1731" s="2" t="s">
        <v>50</v>
      </c>
      <c r="B1731" s="2" t="s">
        <v>51</v>
      </c>
      <c r="C1731" s="2" t="s">
        <v>14</v>
      </c>
      <c r="D1731" s="2" t="s">
        <v>19</v>
      </c>
      <c r="E1731" s="3" t="n">
        <v>46113</v>
      </c>
      <c r="F1731" s="2" t="n">
        <v>13</v>
      </c>
      <c r="G1731" s="4" t="n">
        <v>54.99</v>
      </c>
      <c r="H1731" s="4" t="n">
        <v>23.82</v>
      </c>
      <c r="I1731" s="4" t="n">
        <f aca="false">F1731*G1731</f>
        <v>714.87</v>
      </c>
      <c r="J1731" s="4" t="n">
        <f aca="false">F1731*H1731</f>
        <v>309.66</v>
      </c>
      <c r="K1731" s="4" t="n">
        <f aca="false">I1731-J1731</f>
        <v>405.21</v>
      </c>
      <c r="L1731" s="5" t="n">
        <f aca="false">IFERROR(K1731/I1731,0)</f>
        <v>0.56683033278778</v>
      </c>
    </row>
    <row r="1732" customFormat="false" ht="15" hidden="false" customHeight="false" outlineLevel="0" collapsed="false">
      <c r="A1732" s="2" t="s">
        <v>50</v>
      </c>
      <c r="B1732" s="2" t="s">
        <v>51</v>
      </c>
      <c r="C1732" s="2" t="s">
        <v>20</v>
      </c>
      <c r="D1732" s="2" t="s">
        <v>21</v>
      </c>
      <c r="E1732" s="3" t="n">
        <v>46113</v>
      </c>
      <c r="F1732" s="2" t="n">
        <v>6</v>
      </c>
      <c r="G1732" s="4" t="n">
        <v>44.99</v>
      </c>
      <c r="H1732" s="4" t="n">
        <v>20.74</v>
      </c>
      <c r="I1732" s="4" t="n">
        <f aca="false">F1732*G1732</f>
        <v>269.94</v>
      </c>
      <c r="J1732" s="4" t="n">
        <f aca="false">F1732*H1732</f>
        <v>124.44</v>
      </c>
      <c r="K1732" s="4" t="n">
        <f aca="false">I1732-J1732</f>
        <v>145.5</v>
      </c>
      <c r="L1732" s="5" t="n">
        <f aca="false">IFERROR(K1732/I1732,0)</f>
        <v>0.539008668593021</v>
      </c>
    </row>
    <row r="1733" customFormat="false" ht="15" hidden="false" customHeight="false" outlineLevel="0" collapsed="false">
      <c r="A1733" s="2" t="s">
        <v>50</v>
      </c>
      <c r="B1733" s="2" t="s">
        <v>51</v>
      </c>
      <c r="C1733" s="2" t="s">
        <v>20</v>
      </c>
      <c r="D1733" s="2" t="s">
        <v>22</v>
      </c>
      <c r="E1733" s="3" t="n">
        <v>46113</v>
      </c>
      <c r="F1733" s="2" t="n">
        <v>21</v>
      </c>
      <c r="G1733" s="4" t="n">
        <v>14.99</v>
      </c>
      <c r="H1733" s="4" t="n">
        <v>5.71</v>
      </c>
      <c r="I1733" s="4" t="n">
        <f aca="false">F1733*G1733</f>
        <v>314.79</v>
      </c>
      <c r="J1733" s="4" t="n">
        <f aca="false">F1733*H1733</f>
        <v>119.91</v>
      </c>
      <c r="K1733" s="4" t="n">
        <f aca="false">I1733-J1733</f>
        <v>194.88</v>
      </c>
      <c r="L1733" s="5" t="n">
        <f aca="false">IFERROR(K1733/I1733,0)</f>
        <v>0.619079386257505</v>
      </c>
    </row>
    <row r="1734" customFormat="false" ht="15" hidden="false" customHeight="false" outlineLevel="0" collapsed="false">
      <c r="A1734" s="2" t="s">
        <v>50</v>
      </c>
      <c r="B1734" s="2" t="s">
        <v>51</v>
      </c>
      <c r="C1734" s="2" t="s">
        <v>20</v>
      </c>
      <c r="D1734" s="2" t="s">
        <v>23</v>
      </c>
      <c r="E1734" s="3" t="n">
        <v>46113</v>
      </c>
      <c r="F1734" s="2" t="n">
        <v>10</v>
      </c>
      <c r="G1734" s="4" t="n">
        <v>39.99</v>
      </c>
      <c r="H1734" s="4" t="n">
        <v>17.05</v>
      </c>
      <c r="I1734" s="4" t="n">
        <f aca="false">F1734*G1734</f>
        <v>399.9</v>
      </c>
      <c r="J1734" s="4" t="n">
        <f aca="false">F1734*H1734</f>
        <v>170.5</v>
      </c>
      <c r="K1734" s="4" t="n">
        <f aca="false">I1734-J1734</f>
        <v>229.4</v>
      </c>
      <c r="L1734" s="5" t="n">
        <f aca="false">IFERROR(K1734/I1734,0)</f>
        <v>0.573643410852713</v>
      </c>
    </row>
    <row r="1735" customFormat="false" ht="15" hidden="false" customHeight="false" outlineLevel="0" collapsed="false">
      <c r="A1735" s="2" t="s">
        <v>50</v>
      </c>
      <c r="B1735" s="2" t="s">
        <v>51</v>
      </c>
      <c r="C1735" s="2" t="s">
        <v>20</v>
      </c>
      <c r="D1735" s="2" t="s">
        <v>24</v>
      </c>
      <c r="E1735" s="3" t="n">
        <v>46113</v>
      </c>
      <c r="F1735" s="2" t="n">
        <v>10</v>
      </c>
      <c r="G1735" s="4" t="n">
        <v>18.99</v>
      </c>
      <c r="H1735" s="4" t="n">
        <v>7.72</v>
      </c>
      <c r="I1735" s="4" t="n">
        <f aca="false">F1735*G1735</f>
        <v>189.9</v>
      </c>
      <c r="J1735" s="4" t="n">
        <f aca="false">F1735*H1735</f>
        <v>77.2</v>
      </c>
      <c r="K1735" s="4" t="n">
        <f aca="false">I1735-J1735</f>
        <v>112.7</v>
      </c>
      <c r="L1735" s="5" t="n">
        <f aca="false">IFERROR(K1735/I1735,0)</f>
        <v>0.593470247498684</v>
      </c>
    </row>
    <row r="1736" customFormat="false" ht="15" hidden="false" customHeight="false" outlineLevel="0" collapsed="false">
      <c r="A1736" s="2" t="s">
        <v>50</v>
      </c>
      <c r="B1736" s="2" t="s">
        <v>51</v>
      </c>
      <c r="C1736" s="2" t="s">
        <v>20</v>
      </c>
      <c r="D1736" s="2" t="s">
        <v>25</v>
      </c>
      <c r="E1736" s="3" t="n">
        <v>46113</v>
      </c>
      <c r="F1736" s="2" t="n">
        <v>18</v>
      </c>
      <c r="G1736" s="4" t="n">
        <v>42.99</v>
      </c>
      <c r="H1736" s="4" t="n">
        <v>16.29</v>
      </c>
      <c r="I1736" s="4" t="n">
        <f aca="false">F1736*G1736</f>
        <v>773.82</v>
      </c>
      <c r="J1736" s="4" t="n">
        <f aca="false">F1736*H1736</f>
        <v>293.22</v>
      </c>
      <c r="K1736" s="4" t="n">
        <f aca="false">I1736-J1736</f>
        <v>480.6</v>
      </c>
      <c r="L1736" s="5" t="n">
        <f aca="false">IFERROR(K1736/I1736,0)</f>
        <v>0.621074668527565</v>
      </c>
    </row>
    <row r="1737" customFormat="false" ht="15" hidden="false" customHeight="false" outlineLevel="0" collapsed="false">
      <c r="A1737" s="2" t="s">
        <v>50</v>
      </c>
      <c r="B1737" s="2" t="s">
        <v>51</v>
      </c>
      <c r="C1737" s="2" t="s">
        <v>26</v>
      </c>
      <c r="D1737" s="2" t="s">
        <v>27</v>
      </c>
      <c r="E1737" s="3" t="n">
        <v>46113</v>
      </c>
      <c r="F1737" s="2" t="n">
        <v>14</v>
      </c>
      <c r="G1737" s="4" t="n">
        <v>44.99</v>
      </c>
      <c r="H1737" s="4" t="n">
        <v>27.18</v>
      </c>
      <c r="I1737" s="4" t="n">
        <f aca="false">F1737*G1737</f>
        <v>629.86</v>
      </c>
      <c r="J1737" s="4" t="n">
        <f aca="false">F1737*H1737</f>
        <v>380.52</v>
      </c>
      <c r="K1737" s="4" t="n">
        <f aca="false">I1737-J1737</f>
        <v>249.34</v>
      </c>
      <c r="L1737" s="5" t="n">
        <f aca="false">IFERROR(K1737/I1737,0)</f>
        <v>0.395865747943988</v>
      </c>
    </row>
    <row r="1738" customFormat="false" ht="15" hidden="false" customHeight="false" outlineLevel="0" collapsed="false">
      <c r="A1738" s="2" t="s">
        <v>50</v>
      </c>
      <c r="B1738" s="2" t="s">
        <v>51</v>
      </c>
      <c r="C1738" s="2" t="s">
        <v>26</v>
      </c>
      <c r="D1738" s="2" t="s">
        <v>28</v>
      </c>
      <c r="E1738" s="3" t="n">
        <v>46113</v>
      </c>
      <c r="F1738" s="2" t="n">
        <v>13</v>
      </c>
      <c r="G1738" s="4" t="n">
        <v>34.99</v>
      </c>
      <c r="H1738" s="4" t="n">
        <v>21.89</v>
      </c>
      <c r="I1738" s="4" t="n">
        <f aca="false">F1738*G1738</f>
        <v>454.87</v>
      </c>
      <c r="J1738" s="4" t="n">
        <f aca="false">F1738*H1738</f>
        <v>284.57</v>
      </c>
      <c r="K1738" s="4" t="n">
        <f aca="false">I1738-J1738</f>
        <v>170.3</v>
      </c>
      <c r="L1738" s="5" t="n">
        <f aca="false">IFERROR(K1738/I1738,0)</f>
        <v>0.374392683623893</v>
      </c>
    </row>
    <row r="1739" customFormat="false" ht="15" hidden="false" customHeight="false" outlineLevel="0" collapsed="false">
      <c r="A1739" s="2" t="s">
        <v>50</v>
      </c>
      <c r="B1739" s="2" t="s">
        <v>51</v>
      </c>
      <c r="C1739" s="2" t="s">
        <v>26</v>
      </c>
      <c r="D1739" s="2" t="s">
        <v>29</v>
      </c>
      <c r="E1739" s="3" t="n">
        <v>46113</v>
      </c>
      <c r="F1739" s="2" t="n">
        <v>15</v>
      </c>
      <c r="G1739" s="4" t="n">
        <v>119.99</v>
      </c>
      <c r="H1739" s="4" t="n">
        <v>82.13</v>
      </c>
      <c r="I1739" s="4" t="n">
        <f aca="false">F1739*G1739</f>
        <v>1799.85</v>
      </c>
      <c r="J1739" s="4" t="n">
        <f aca="false">F1739*H1739</f>
        <v>1231.95</v>
      </c>
      <c r="K1739" s="4" t="n">
        <f aca="false">I1739-J1739</f>
        <v>567.9</v>
      </c>
      <c r="L1739" s="5" t="n">
        <f aca="false">IFERROR(K1739/I1739,0)</f>
        <v>0.315526293857822</v>
      </c>
    </row>
    <row r="1740" customFormat="false" ht="15" hidden="false" customHeight="false" outlineLevel="0" collapsed="false">
      <c r="A1740" s="2" t="s">
        <v>50</v>
      </c>
      <c r="B1740" s="2" t="s">
        <v>51</v>
      </c>
      <c r="C1740" s="2" t="s">
        <v>26</v>
      </c>
      <c r="D1740" s="2" t="s">
        <v>30</v>
      </c>
      <c r="E1740" s="3" t="n">
        <v>46113</v>
      </c>
      <c r="F1740" s="2" t="n">
        <v>17</v>
      </c>
      <c r="G1740" s="4" t="n">
        <v>24.99</v>
      </c>
      <c r="H1740" s="4" t="n">
        <v>14.75</v>
      </c>
      <c r="I1740" s="4" t="n">
        <f aca="false">F1740*G1740</f>
        <v>424.83</v>
      </c>
      <c r="J1740" s="4" t="n">
        <f aca="false">F1740*H1740</f>
        <v>250.75</v>
      </c>
      <c r="K1740" s="4" t="n">
        <f aca="false">I1740-J1740</f>
        <v>174.08</v>
      </c>
      <c r="L1740" s="5" t="n">
        <f aca="false">IFERROR(K1740/I1740,0)</f>
        <v>0.409763905562225</v>
      </c>
    </row>
    <row r="1741" customFormat="false" ht="15" hidden="false" customHeight="false" outlineLevel="0" collapsed="false">
      <c r="A1741" s="2" t="s">
        <v>50</v>
      </c>
      <c r="B1741" s="2" t="s">
        <v>51</v>
      </c>
      <c r="C1741" s="2" t="s">
        <v>26</v>
      </c>
      <c r="D1741" s="2" t="s">
        <v>31</v>
      </c>
      <c r="E1741" s="3" t="n">
        <v>46113</v>
      </c>
      <c r="F1741" s="2" t="n">
        <v>10</v>
      </c>
      <c r="G1741" s="4" t="n">
        <v>59.99</v>
      </c>
      <c r="H1741" s="4" t="n">
        <v>38.01</v>
      </c>
      <c r="I1741" s="4" t="n">
        <f aca="false">F1741*G1741</f>
        <v>599.9</v>
      </c>
      <c r="J1741" s="4" t="n">
        <f aca="false">F1741*H1741</f>
        <v>380.1</v>
      </c>
      <c r="K1741" s="4" t="n">
        <f aca="false">I1741-J1741</f>
        <v>219.8</v>
      </c>
      <c r="L1741" s="5" t="n">
        <f aca="false">IFERROR(K1741/I1741,0)</f>
        <v>0.366394399066511</v>
      </c>
    </row>
    <row r="1742" customFormat="false" ht="15" hidden="false" customHeight="false" outlineLevel="0" collapsed="false">
      <c r="A1742" s="2" t="s">
        <v>50</v>
      </c>
      <c r="B1742" s="2" t="s">
        <v>51</v>
      </c>
      <c r="C1742" s="2" t="s">
        <v>32</v>
      </c>
      <c r="D1742" s="2" t="s">
        <v>33</v>
      </c>
      <c r="E1742" s="3" t="n">
        <v>46113</v>
      </c>
      <c r="F1742" s="2" t="n">
        <v>15</v>
      </c>
      <c r="G1742" s="4" t="n">
        <v>49.99</v>
      </c>
      <c r="H1742" s="4" t="n">
        <v>35.6</v>
      </c>
      <c r="I1742" s="4" t="n">
        <f aca="false">F1742*G1742</f>
        <v>749.85</v>
      </c>
      <c r="J1742" s="4" t="n">
        <f aca="false">F1742*H1742</f>
        <v>534</v>
      </c>
      <c r="K1742" s="4" t="n">
        <f aca="false">I1742-J1742</f>
        <v>215.85</v>
      </c>
      <c r="L1742" s="5" t="n">
        <f aca="false">IFERROR(K1742/I1742,0)</f>
        <v>0.287857571514303</v>
      </c>
    </row>
    <row r="1743" customFormat="false" ht="15" hidden="false" customHeight="false" outlineLevel="0" collapsed="false">
      <c r="A1743" s="2" t="s">
        <v>50</v>
      </c>
      <c r="B1743" s="2" t="s">
        <v>51</v>
      </c>
      <c r="C1743" s="2" t="s">
        <v>32</v>
      </c>
      <c r="D1743" s="2" t="s">
        <v>34</v>
      </c>
      <c r="E1743" s="3" t="n">
        <v>46113</v>
      </c>
      <c r="F1743" s="2" t="n">
        <v>16</v>
      </c>
      <c r="G1743" s="4" t="n">
        <v>27.99</v>
      </c>
      <c r="H1743" s="4" t="n">
        <v>19.93</v>
      </c>
      <c r="I1743" s="4" t="n">
        <f aca="false">F1743*G1743</f>
        <v>447.84</v>
      </c>
      <c r="J1743" s="4" t="n">
        <f aca="false">F1743*H1743</f>
        <v>318.88</v>
      </c>
      <c r="K1743" s="4" t="n">
        <f aca="false">I1743-J1743</f>
        <v>128.96</v>
      </c>
      <c r="L1743" s="5" t="n">
        <f aca="false">IFERROR(K1743/I1743,0)</f>
        <v>0.287959985709182</v>
      </c>
    </row>
    <row r="1744" customFormat="false" ht="15" hidden="false" customHeight="false" outlineLevel="0" collapsed="false">
      <c r="A1744" s="2" t="s">
        <v>50</v>
      </c>
      <c r="B1744" s="2" t="s">
        <v>51</v>
      </c>
      <c r="C1744" s="2" t="s">
        <v>32</v>
      </c>
      <c r="D1744" s="2" t="s">
        <v>35</v>
      </c>
      <c r="E1744" s="3" t="n">
        <v>46113</v>
      </c>
      <c r="F1744" s="2" t="n">
        <v>11</v>
      </c>
      <c r="G1744" s="4" t="n">
        <v>64.99</v>
      </c>
      <c r="H1744" s="4" t="n">
        <v>45.86</v>
      </c>
      <c r="I1744" s="4" t="n">
        <f aca="false">F1744*G1744</f>
        <v>714.89</v>
      </c>
      <c r="J1744" s="4" t="n">
        <f aca="false">F1744*H1744</f>
        <v>504.46</v>
      </c>
      <c r="K1744" s="4" t="n">
        <f aca="false">I1744-J1744</f>
        <v>210.43</v>
      </c>
      <c r="L1744" s="5" t="n">
        <f aca="false">IFERROR(K1744/I1744,0)</f>
        <v>0.294352977381136</v>
      </c>
    </row>
    <row r="1745" customFormat="false" ht="15" hidden="false" customHeight="false" outlineLevel="0" collapsed="false">
      <c r="A1745" s="2" t="s">
        <v>50</v>
      </c>
      <c r="B1745" s="2" t="s">
        <v>51</v>
      </c>
      <c r="C1745" s="2" t="s">
        <v>32</v>
      </c>
      <c r="D1745" s="2" t="s">
        <v>36</v>
      </c>
      <c r="E1745" s="3" t="n">
        <v>46113</v>
      </c>
      <c r="F1745" s="2" t="n">
        <v>9</v>
      </c>
      <c r="G1745" s="4" t="n">
        <v>22.99</v>
      </c>
      <c r="H1745" s="4" t="n">
        <v>16.42</v>
      </c>
      <c r="I1745" s="4" t="n">
        <f aca="false">F1745*G1745</f>
        <v>206.91</v>
      </c>
      <c r="J1745" s="4" t="n">
        <f aca="false">F1745*H1745</f>
        <v>147.78</v>
      </c>
      <c r="K1745" s="4" t="n">
        <f aca="false">I1745-J1745</f>
        <v>59.13</v>
      </c>
      <c r="L1745" s="5" t="n">
        <f aca="false">IFERROR(K1745/I1745,0)</f>
        <v>0.285776424532405</v>
      </c>
    </row>
    <row r="1746" customFormat="false" ht="15" hidden="false" customHeight="false" outlineLevel="0" collapsed="false">
      <c r="A1746" s="2" t="s">
        <v>50</v>
      </c>
      <c r="B1746" s="2" t="s">
        <v>51</v>
      </c>
      <c r="C1746" s="2" t="s">
        <v>32</v>
      </c>
      <c r="D1746" s="2" t="s">
        <v>37</v>
      </c>
      <c r="E1746" s="3" t="n">
        <v>46113</v>
      </c>
      <c r="F1746" s="2" t="n">
        <v>8</v>
      </c>
      <c r="G1746" s="4" t="n">
        <v>29.99</v>
      </c>
      <c r="H1746" s="4" t="n">
        <v>20.3</v>
      </c>
      <c r="I1746" s="4" t="n">
        <f aca="false">F1746*G1746</f>
        <v>239.92</v>
      </c>
      <c r="J1746" s="4" t="n">
        <f aca="false">F1746*H1746</f>
        <v>162.4</v>
      </c>
      <c r="K1746" s="4" t="n">
        <f aca="false">I1746-J1746</f>
        <v>77.52</v>
      </c>
      <c r="L1746" s="5" t="n">
        <f aca="false">IFERROR(K1746/I1746,0)</f>
        <v>0.323107702567522</v>
      </c>
    </row>
    <row r="1747" customFormat="false" ht="15" hidden="false" customHeight="false" outlineLevel="0" collapsed="false">
      <c r="A1747" s="2" t="s">
        <v>50</v>
      </c>
      <c r="B1747" s="2" t="s">
        <v>51</v>
      </c>
      <c r="C1747" s="2" t="s">
        <v>38</v>
      </c>
      <c r="D1747" s="2" t="s">
        <v>39</v>
      </c>
      <c r="E1747" s="3" t="n">
        <v>46113</v>
      </c>
      <c r="F1747" s="2" t="n">
        <v>4</v>
      </c>
      <c r="G1747" s="4" t="n">
        <v>129.99</v>
      </c>
      <c r="H1747" s="4" t="n">
        <v>77.42</v>
      </c>
      <c r="I1747" s="4" t="n">
        <f aca="false">F1747*G1747</f>
        <v>519.96</v>
      </c>
      <c r="J1747" s="4" t="n">
        <f aca="false">F1747*H1747</f>
        <v>309.68</v>
      </c>
      <c r="K1747" s="4" t="n">
        <f aca="false">I1747-J1747</f>
        <v>210.28</v>
      </c>
      <c r="L1747" s="5" t="n">
        <f aca="false">IFERROR(K1747/I1747,0)</f>
        <v>0.404415724286484</v>
      </c>
    </row>
    <row r="1748" customFormat="false" ht="15" hidden="false" customHeight="false" outlineLevel="0" collapsed="false">
      <c r="A1748" s="2" t="s">
        <v>50</v>
      </c>
      <c r="B1748" s="2" t="s">
        <v>51</v>
      </c>
      <c r="C1748" s="2" t="s">
        <v>38</v>
      </c>
      <c r="D1748" s="2" t="s">
        <v>40</v>
      </c>
      <c r="E1748" s="3" t="n">
        <v>46113</v>
      </c>
      <c r="F1748" s="2" t="n">
        <v>2</v>
      </c>
      <c r="G1748" s="4" t="n">
        <v>74.99</v>
      </c>
      <c r="H1748" s="4" t="n">
        <v>41.22</v>
      </c>
      <c r="I1748" s="4" t="n">
        <f aca="false">F1748*G1748</f>
        <v>149.98</v>
      </c>
      <c r="J1748" s="4" t="n">
        <f aca="false">F1748*H1748</f>
        <v>82.44</v>
      </c>
      <c r="K1748" s="4" t="n">
        <f aca="false">I1748-J1748</f>
        <v>67.54</v>
      </c>
      <c r="L1748" s="5" t="n">
        <f aca="false">IFERROR(K1748/I1748,0)</f>
        <v>0.45032671022803</v>
      </c>
    </row>
    <row r="1749" customFormat="false" ht="15" hidden="false" customHeight="false" outlineLevel="0" collapsed="false">
      <c r="A1749" s="2" t="s">
        <v>50</v>
      </c>
      <c r="B1749" s="2" t="s">
        <v>51</v>
      </c>
      <c r="C1749" s="2" t="s">
        <v>38</v>
      </c>
      <c r="D1749" s="2" t="s">
        <v>41</v>
      </c>
      <c r="E1749" s="3" t="n">
        <v>46113</v>
      </c>
      <c r="F1749" s="2" t="n">
        <v>4</v>
      </c>
      <c r="G1749" s="4" t="n">
        <v>19.99</v>
      </c>
      <c r="H1749" s="4" t="n">
        <v>9.77</v>
      </c>
      <c r="I1749" s="4" t="n">
        <f aca="false">F1749*G1749</f>
        <v>79.96</v>
      </c>
      <c r="J1749" s="4" t="n">
        <f aca="false">F1749*H1749</f>
        <v>39.08</v>
      </c>
      <c r="K1749" s="4" t="n">
        <f aca="false">I1749-J1749</f>
        <v>40.88</v>
      </c>
      <c r="L1749" s="5" t="n">
        <f aca="false">IFERROR(K1749/I1749,0)</f>
        <v>0.511255627813907</v>
      </c>
    </row>
    <row r="1750" customFormat="false" ht="15" hidden="false" customHeight="false" outlineLevel="0" collapsed="false">
      <c r="A1750" s="2" t="s">
        <v>50</v>
      </c>
      <c r="B1750" s="2" t="s">
        <v>51</v>
      </c>
      <c r="C1750" s="2" t="s">
        <v>38</v>
      </c>
      <c r="D1750" s="2" t="s">
        <v>42</v>
      </c>
      <c r="E1750" s="3" t="n">
        <v>46113</v>
      </c>
      <c r="F1750" s="2" t="n">
        <v>4</v>
      </c>
      <c r="G1750" s="4" t="n">
        <v>16.99</v>
      </c>
      <c r="H1750" s="4" t="n">
        <v>8.61</v>
      </c>
      <c r="I1750" s="4" t="n">
        <f aca="false">F1750*G1750</f>
        <v>67.96</v>
      </c>
      <c r="J1750" s="4" t="n">
        <f aca="false">F1750*H1750</f>
        <v>34.44</v>
      </c>
      <c r="K1750" s="4" t="n">
        <f aca="false">I1750-J1750</f>
        <v>33.52</v>
      </c>
      <c r="L1750" s="5" t="n">
        <f aca="false">IFERROR(K1750/I1750,0)</f>
        <v>0.493231312536786</v>
      </c>
    </row>
    <row r="1751" customFormat="false" ht="15" hidden="false" customHeight="false" outlineLevel="0" collapsed="false">
      <c r="A1751" s="2" t="s">
        <v>50</v>
      </c>
      <c r="B1751" s="2" t="s">
        <v>51</v>
      </c>
      <c r="C1751" s="2" t="s">
        <v>38</v>
      </c>
      <c r="D1751" s="2" t="s">
        <v>43</v>
      </c>
      <c r="E1751" s="3" t="n">
        <v>46113</v>
      </c>
      <c r="F1751" s="2" t="n">
        <v>4</v>
      </c>
      <c r="G1751" s="4" t="n">
        <v>24.99</v>
      </c>
      <c r="H1751" s="4" t="n">
        <v>12.63</v>
      </c>
      <c r="I1751" s="4" t="n">
        <f aca="false">F1751*G1751</f>
        <v>99.96</v>
      </c>
      <c r="J1751" s="4" t="n">
        <f aca="false">F1751*H1751</f>
        <v>50.52</v>
      </c>
      <c r="K1751" s="4" t="n">
        <f aca="false">I1751-J1751</f>
        <v>49.44</v>
      </c>
      <c r="L1751" s="5" t="n">
        <f aca="false">IFERROR(K1751/I1751,0)</f>
        <v>0.494597839135654</v>
      </c>
    </row>
    <row r="1752" customFormat="false" ht="15" hidden="false" customHeight="false" outlineLevel="0" collapsed="false">
      <c r="A1752" s="2" t="s">
        <v>52</v>
      </c>
      <c r="B1752" s="2" t="s">
        <v>53</v>
      </c>
      <c r="C1752" s="2" t="s">
        <v>14</v>
      </c>
      <c r="D1752" s="2" t="s">
        <v>15</v>
      </c>
      <c r="E1752" s="3" t="n">
        <v>46113</v>
      </c>
      <c r="F1752" s="2" t="n">
        <v>11</v>
      </c>
      <c r="G1752" s="4" t="n">
        <v>69.99</v>
      </c>
      <c r="H1752" s="4" t="n">
        <v>34.51</v>
      </c>
      <c r="I1752" s="4" t="n">
        <f aca="false">F1752*G1752</f>
        <v>769.89</v>
      </c>
      <c r="J1752" s="4" t="n">
        <f aca="false">F1752*H1752</f>
        <v>379.61</v>
      </c>
      <c r="K1752" s="4" t="n">
        <f aca="false">I1752-J1752</f>
        <v>390.28</v>
      </c>
      <c r="L1752" s="5" t="n">
        <f aca="false">IFERROR(K1752/I1752,0)</f>
        <v>0.50692956136591</v>
      </c>
    </row>
    <row r="1753" customFormat="false" ht="15" hidden="false" customHeight="false" outlineLevel="0" collapsed="false">
      <c r="A1753" s="2" t="s">
        <v>52</v>
      </c>
      <c r="B1753" s="2" t="s">
        <v>53</v>
      </c>
      <c r="C1753" s="2" t="s">
        <v>14</v>
      </c>
      <c r="D1753" s="2" t="s">
        <v>16</v>
      </c>
      <c r="E1753" s="3" t="n">
        <v>46113</v>
      </c>
      <c r="F1753" s="2" t="n">
        <v>15</v>
      </c>
      <c r="G1753" s="4" t="n">
        <v>19.99</v>
      </c>
      <c r="H1753" s="4" t="n">
        <v>9</v>
      </c>
      <c r="I1753" s="4" t="n">
        <f aca="false">F1753*G1753</f>
        <v>299.85</v>
      </c>
      <c r="J1753" s="4" t="n">
        <f aca="false">F1753*H1753</f>
        <v>135</v>
      </c>
      <c r="K1753" s="4" t="n">
        <f aca="false">I1753-J1753</f>
        <v>164.85</v>
      </c>
      <c r="L1753" s="5" t="n">
        <f aca="false">IFERROR(K1753/I1753,0)</f>
        <v>0.549774887443722</v>
      </c>
    </row>
    <row r="1754" customFormat="false" ht="15" hidden="false" customHeight="false" outlineLevel="0" collapsed="false">
      <c r="A1754" s="2" t="s">
        <v>52</v>
      </c>
      <c r="B1754" s="2" t="s">
        <v>53</v>
      </c>
      <c r="C1754" s="2" t="s">
        <v>14</v>
      </c>
      <c r="D1754" s="2" t="s">
        <v>17</v>
      </c>
      <c r="E1754" s="3" t="n">
        <v>46113</v>
      </c>
      <c r="F1754" s="2" t="n">
        <v>14</v>
      </c>
      <c r="G1754" s="4" t="n">
        <v>79.99</v>
      </c>
      <c r="H1754" s="4" t="n">
        <v>39.27</v>
      </c>
      <c r="I1754" s="4" t="n">
        <f aca="false">F1754*G1754</f>
        <v>1119.86</v>
      </c>
      <c r="J1754" s="4" t="n">
        <f aca="false">F1754*H1754</f>
        <v>549.78</v>
      </c>
      <c r="K1754" s="4" t="n">
        <f aca="false">I1754-J1754</f>
        <v>570.08</v>
      </c>
      <c r="L1754" s="5" t="n">
        <f aca="false">IFERROR(K1754/I1754,0)</f>
        <v>0.509063632954119</v>
      </c>
    </row>
    <row r="1755" customFormat="false" ht="15" hidden="false" customHeight="false" outlineLevel="0" collapsed="false">
      <c r="A1755" s="2" t="s">
        <v>52</v>
      </c>
      <c r="B1755" s="2" t="s">
        <v>53</v>
      </c>
      <c r="C1755" s="2" t="s">
        <v>14</v>
      </c>
      <c r="D1755" s="2" t="s">
        <v>18</v>
      </c>
      <c r="E1755" s="3" t="n">
        <v>46113</v>
      </c>
      <c r="F1755" s="2" t="n">
        <v>15</v>
      </c>
      <c r="G1755" s="4" t="n">
        <v>34.99</v>
      </c>
      <c r="H1755" s="4" t="n">
        <v>15.03</v>
      </c>
      <c r="I1755" s="4" t="n">
        <f aca="false">F1755*G1755</f>
        <v>524.85</v>
      </c>
      <c r="J1755" s="4" t="n">
        <f aca="false">F1755*H1755</f>
        <v>225.45</v>
      </c>
      <c r="K1755" s="4" t="n">
        <f aca="false">I1755-J1755</f>
        <v>299.4</v>
      </c>
      <c r="L1755" s="5" t="n">
        <f aca="false">IFERROR(K1755/I1755,0)</f>
        <v>0.570448699628465</v>
      </c>
    </row>
    <row r="1756" customFormat="false" ht="15" hidden="false" customHeight="false" outlineLevel="0" collapsed="false">
      <c r="A1756" s="2" t="s">
        <v>52</v>
      </c>
      <c r="B1756" s="2" t="s">
        <v>53</v>
      </c>
      <c r="C1756" s="2" t="s">
        <v>14</v>
      </c>
      <c r="D1756" s="2" t="s">
        <v>19</v>
      </c>
      <c r="E1756" s="3" t="n">
        <v>46113</v>
      </c>
      <c r="F1756" s="2" t="n">
        <v>21</v>
      </c>
      <c r="G1756" s="4" t="n">
        <v>54.99</v>
      </c>
      <c r="H1756" s="4" t="n">
        <v>24.05</v>
      </c>
      <c r="I1756" s="4" t="n">
        <f aca="false">F1756*G1756</f>
        <v>1154.79</v>
      </c>
      <c r="J1756" s="4" t="n">
        <f aca="false">F1756*H1756</f>
        <v>505.05</v>
      </c>
      <c r="K1756" s="4" t="n">
        <f aca="false">I1756-J1756</f>
        <v>649.74</v>
      </c>
      <c r="L1756" s="5" t="n">
        <f aca="false">IFERROR(K1756/I1756,0)</f>
        <v>0.562647754137116</v>
      </c>
    </row>
    <row r="1757" customFormat="false" ht="15" hidden="false" customHeight="false" outlineLevel="0" collapsed="false">
      <c r="A1757" s="2" t="s">
        <v>52</v>
      </c>
      <c r="B1757" s="2" t="s">
        <v>53</v>
      </c>
      <c r="C1757" s="2" t="s">
        <v>20</v>
      </c>
      <c r="D1757" s="2" t="s">
        <v>21</v>
      </c>
      <c r="E1757" s="3" t="n">
        <v>46113</v>
      </c>
      <c r="F1757" s="2" t="n">
        <v>14</v>
      </c>
      <c r="G1757" s="4" t="n">
        <v>44.99</v>
      </c>
      <c r="H1757" s="4" t="n">
        <v>20.68</v>
      </c>
      <c r="I1757" s="4" t="n">
        <f aca="false">F1757*G1757</f>
        <v>629.86</v>
      </c>
      <c r="J1757" s="4" t="n">
        <f aca="false">F1757*H1757</f>
        <v>289.52</v>
      </c>
      <c r="K1757" s="4" t="n">
        <f aca="false">I1757-J1757</f>
        <v>340.34</v>
      </c>
      <c r="L1757" s="5" t="n">
        <f aca="false">IFERROR(K1757/I1757,0)</f>
        <v>0.540342298288509</v>
      </c>
    </row>
    <row r="1758" customFormat="false" ht="15" hidden="false" customHeight="false" outlineLevel="0" collapsed="false">
      <c r="A1758" s="2" t="s">
        <v>52</v>
      </c>
      <c r="B1758" s="2" t="s">
        <v>53</v>
      </c>
      <c r="C1758" s="2" t="s">
        <v>20</v>
      </c>
      <c r="D1758" s="2" t="s">
        <v>22</v>
      </c>
      <c r="E1758" s="3" t="n">
        <v>46113</v>
      </c>
      <c r="F1758" s="2" t="n">
        <v>12</v>
      </c>
      <c r="G1758" s="4" t="n">
        <v>14.99</v>
      </c>
      <c r="H1758" s="4" t="n">
        <v>5.85</v>
      </c>
      <c r="I1758" s="4" t="n">
        <f aca="false">F1758*G1758</f>
        <v>179.88</v>
      </c>
      <c r="J1758" s="4" t="n">
        <f aca="false">F1758*H1758</f>
        <v>70.2</v>
      </c>
      <c r="K1758" s="4" t="n">
        <f aca="false">I1758-J1758</f>
        <v>109.68</v>
      </c>
      <c r="L1758" s="5" t="n">
        <f aca="false">IFERROR(K1758/I1758,0)</f>
        <v>0.609739826551034</v>
      </c>
    </row>
    <row r="1759" customFormat="false" ht="15" hidden="false" customHeight="false" outlineLevel="0" collapsed="false">
      <c r="A1759" s="2" t="s">
        <v>52</v>
      </c>
      <c r="B1759" s="2" t="s">
        <v>53</v>
      </c>
      <c r="C1759" s="2" t="s">
        <v>20</v>
      </c>
      <c r="D1759" s="2" t="s">
        <v>23</v>
      </c>
      <c r="E1759" s="3" t="n">
        <v>46113</v>
      </c>
      <c r="F1759" s="2" t="n">
        <v>16</v>
      </c>
      <c r="G1759" s="4" t="n">
        <v>39.99</v>
      </c>
      <c r="H1759" s="4" t="n">
        <v>16.67</v>
      </c>
      <c r="I1759" s="4" t="n">
        <f aca="false">F1759*G1759</f>
        <v>639.84</v>
      </c>
      <c r="J1759" s="4" t="n">
        <f aca="false">F1759*H1759</f>
        <v>266.72</v>
      </c>
      <c r="K1759" s="4" t="n">
        <f aca="false">I1759-J1759</f>
        <v>373.12</v>
      </c>
      <c r="L1759" s="5" t="n">
        <f aca="false">IFERROR(K1759/I1759,0)</f>
        <v>0.583145786446612</v>
      </c>
    </row>
    <row r="1760" customFormat="false" ht="15" hidden="false" customHeight="false" outlineLevel="0" collapsed="false">
      <c r="A1760" s="2" t="s">
        <v>52</v>
      </c>
      <c r="B1760" s="2" t="s">
        <v>53</v>
      </c>
      <c r="C1760" s="2" t="s">
        <v>20</v>
      </c>
      <c r="D1760" s="2" t="s">
        <v>24</v>
      </c>
      <c r="E1760" s="3" t="n">
        <v>46113</v>
      </c>
      <c r="F1760" s="2" t="n">
        <v>13</v>
      </c>
      <c r="G1760" s="4" t="n">
        <v>18.99</v>
      </c>
      <c r="H1760" s="4" t="n">
        <v>7.43</v>
      </c>
      <c r="I1760" s="4" t="n">
        <f aca="false">F1760*G1760</f>
        <v>246.87</v>
      </c>
      <c r="J1760" s="4" t="n">
        <f aca="false">F1760*H1760</f>
        <v>96.59</v>
      </c>
      <c r="K1760" s="4" t="n">
        <f aca="false">I1760-J1760</f>
        <v>150.28</v>
      </c>
      <c r="L1760" s="5" t="n">
        <f aca="false">IFERROR(K1760/I1760,0)</f>
        <v>0.608741442864666</v>
      </c>
    </row>
    <row r="1761" customFormat="false" ht="15" hidden="false" customHeight="false" outlineLevel="0" collapsed="false">
      <c r="A1761" s="2" t="s">
        <v>52</v>
      </c>
      <c r="B1761" s="2" t="s">
        <v>53</v>
      </c>
      <c r="C1761" s="2" t="s">
        <v>20</v>
      </c>
      <c r="D1761" s="2" t="s">
        <v>25</v>
      </c>
      <c r="E1761" s="3" t="n">
        <v>46113</v>
      </c>
      <c r="F1761" s="2" t="n">
        <v>11</v>
      </c>
      <c r="G1761" s="4" t="n">
        <v>42.99</v>
      </c>
      <c r="H1761" s="4" t="n">
        <v>16.03</v>
      </c>
      <c r="I1761" s="4" t="n">
        <f aca="false">F1761*G1761</f>
        <v>472.89</v>
      </c>
      <c r="J1761" s="4" t="n">
        <f aca="false">F1761*H1761</f>
        <v>176.33</v>
      </c>
      <c r="K1761" s="4" t="n">
        <f aca="false">I1761-J1761</f>
        <v>296.56</v>
      </c>
      <c r="L1761" s="5" t="n">
        <f aca="false">IFERROR(K1761/I1761,0)</f>
        <v>0.627122586648058</v>
      </c>
    </row>
    <row r="1762" customFormat="false" ht="15" hidden="false" customHeight="false" outlineLevel="0" collapsed="false">
      <c r="A1762" s="2" t="s">
        <v>52</v>
      </c>
      <c r="B1762" s="2" t="s">
        <v>53</v>
      </c>
      <c r="C1762" s="2" t="s">
        <v>26</v>
      </c>
      <c r="D1762" s="2" t="s">
        <v>27</v>
      </c>
      <c r="E1762" s="3" t="n">
        <v>46113</v>
      </c>
      <c r="F1762" s="2" t="n">
        <v>26</v>
      </c>
      <c r="G1762" s="4" t="n">
        <v>44.99</v>
      </c>
      <c r="H1762" s="4" t="n">
        <v>27.46</v>
      </c>
      <c r="I1762" s="4" t="n">
        <f aca="false">F1762*G1762</f>
        <v>1169.74</v>
      </c>
      <c r="J1762" s="4" t="n">
        <f aca="false">F1762*H1762</f>
        <v>713.96</v>
      </c>
      <c r="K1762" s="4" t="n">
        <f aca="false">I1762-J1762</f>
        <v>455.78</v>
      </c>
      <c r="L1762" s="5" t="n">
        <f aca="false">IFERROR(K1762/I1762,0)</f>
        <v>0.389642142698377</v>
      </c>
    </row>
    <row r="1763" customFormat="false" ht="15" hidden="false" customHeight="false" outlineLevel="0" collapsed="false">
      <c r="A1763" s="2" t="s">
        <v>52</v>
      </c>
      <c r="B1763" s="2" t="s">
        <v>53</v>
      </c>
      <c r="C1763" s="2" t="s">
        <v>26</v>
      </c>
      <c r="D1763" s="2" t="s">
        <v>28</v>
      </c>
      <c r="E1763" s="3" t="n">
        <v>46113</v>
      </c>
      <c r="F1763" s="2" t="n">
        <v>6</v>
      </c>
      <c r="G1763" s="4" t="n">
        <v>34.99</v>
      </c>
      <c r="H1763" s="4" t="n">
        <v>21.83</v>
      </c>
      <c r="I1763" s="4" t="n">
        <f aca="false">F1763*G1763</f>
        <v>209.94</v>
      </c>
      <c r="J1763" s="4" t="n">
        <f aca="false">F1763*H1763</f>
        <v>130.98</v>
      </c>
      <c r="K1763" s="4" t="n">
        <f aca="false">I1763-J1763</f>
        <v>78.96</v>
      </c>
      <c r="L1763" s="5" t="n">
        <f aca="false">IFERROR(K1763/I1763,0)</f>
        <v>0.376107459274078</v>
      </c>
    </row>
    <row r="1764" customFormat="false" ht="15" hidden="false" customHeight="false" outlineLevel="0" collapsed="false">
      <c r="A1764" s="2" t="s">
        <v>52</v>
      </c>
      <c r="B1764" s="2" t="s">
        <v>53</v>
      </c>
      <c r="C1764" s="2" t="s">
        <v>26</v>
      </c>
      <c r="D1764" s="2" t="s">
        <v>29</v>
      </c>
      <c r="E1764" s="3" t="n">
        <v>46113</v>
      </c>
      <c r="F1764" s="2" t="n">
        <v>18</v>
      </c>
      <c r="G1764" s="4" t="n">
        <v>119.99</v>
      </c>
      <c r="H1764" s="4" t="n">
        <v>80.33</v>
      </c>
      <c r="I1764" s="4" t="n">
        <f aca="false">F1764*G1764</f>
        <v>2159.82</v>
      </c>
      <c r="J1764" s="4" t="n">
        <f aca="false">F1764*H1764</f>
        <v>1445.94</v>
      </c>
      <c r="K1764" s="4" t="n">
        <f aca="false">I1764-J1764</f>
        <v>713.88</v>
      </c>
      <c r="L1764" s="5" t="n">
        <f aca="false">IFERROR(K1764/I1764,0)</f>
        <v>0.330527543961997</v>
      </c>
    </row>
    <row r="1765" customFormat="false" ht="15" hidden="false" customHeight="false" outlineLevel="0" collapsed="false">
      <c r="A1765" s="2" t="s">
        <v>52</v>
      </c>
      <c r="B1765" s="2" t="s">
        <v>53</v>
      </c>
      <c r="C1765" s="2" t="s">
        <v>26</v>
      </c>
      <c r="D1765" s="2" t="s">
        <v>30</v>
      </c>
      <c r="E1765" s="3" t="n">
        <v>46113</v>
      </c>
      <c r="F1765" s="2" t="n">
        <v>13</v>
      </c>
      <c r="G1765" s="4" t="n">
        <v>24.99</v>
      </c>
      <c r="H1765" s="4" t="n">
        <v>14.91</v>
      </c>
      <c r="I1765" s="4" t="n">
        <f aca="false">F1765*G1765</f>
        <v>324.87</v>
      </c>
      <c r="J1765" s="4" t="n">
        <f aca="false">F1765*H1765</f>
        <v>193.83</v>
      </c>
      <c r="K1765" s="4" t="n">
        <f aca="false">I1765-J1765</f>
        <v>131.04</v>
      </c>
      <c r="L1765" s="5" t="n">
        <f aca="false">IFERROR(K1765/I1765,0)</f>
        <v>0.403361344537815</v>
      </c>
    </row>
    <row r="1766" customFormat="false" ht="15" hidden="false" customHeight="false" outlineLevel="0" collapsed="false">
      <c r="A1766" s="2" t="s">
        <v>52</v>
      </c>
      <c r="B1766" s="2" t="s">
        <v>53</v>
      </c>
      <c r="C1766" s="2" t="s">
        <v>26</v>
      </c>
      <c r="D1766" s="2" t="s">
        <v>31</v>
      </c>
      <c r="E1766" s="3" t="n">
        <v>46113</v>
      </c>
      <c r="F1766" s="2" t="n">
        <v>14</v>
      </c>
      <c r="G1766" s="4" t="n">
        <v>59.99</v>
      </c>
      <c r="H1766" s="4" t="n">
        <v>38.91</v>
      </c>
      <c r="I1766" s="4" t="n">
        <f aca="false">F1766*G1766</f>
        <v>839.86</v>
      </c>
      <c r="J1766" s="4" t="n">
        <f aca="false">F1766*H1766</f>
        <v>544.74</v>
      </c>
      <c r="K1766" s="4" t="n">
        <f aca="false">I1766-J1766</f>
        <v>295.12</v>
      </c>
      <c r="L1766" s="5" t="n">
        <f aca="false">IFERROR(K1766/I1766,0)</f>
        <v>0.351391898649775</v>
      </c>
    </row>
    <row r="1767" customFormat="false" ht="15" hidden="false" customHeight="false" outlineLevel="0" collapsed="false">
      <c r="A1767" s="2" t="s">
        <v>52</v>
      </c>
      <c r="B1767" s="2" t="s">
        <v>53</v>
      </c>
      <c r="C1767" s="2" t="s">
        <v>32</v>
      </c>
      <c r="D1767" s="2" t="s">
        <v>33</v>
      </c>
      <c r="E1767" s="3" t="n">
        <v>46113</v>
      </c>
      <c r="F1767" s="2" t="n">
        <v>15</v>
      </c>
      <c r="G1767" s="4" t="n">
        <v>49.99</v>
      </c>
      <c r="H1767" s="4" t="n">
        <v>36.2</v>
      </c>
      <c r="I1767" s="4" t="n">
        <f aca="false">F1767*G1767</f>
        <v>749.85</v>
      </c>
      <c r="J1767" s="4" t="n">
        <f aca="false">F1767*H1767</f>
        <v>543</v>
      </c>
      <c r="K1767" s="4" t="n">
        <f aca="false">I1767-J1767</f>
        <v>206.85</v>
      </c>
      <c r="L1767" s="5" t="n">
        <f aca="false">IFERROR(K1767/I1767,0)</f>
        <v>0.275855171034207</v>
      </c>
    </row>
    <row r="1768" customFormat="false" ht="15" hidden="false" customHeight="false" outlineLevel="0" collapsed="false">
      <c r="A1768" s="2" t="s">
        <v>52</v>
      </c>
      <c r="B1768" s="2" t="s">
        <v>53</v>
      </c>
      <c r="C1768" s="2" t="s">
        <v>32</v>
      </c>
      <c r="D1768" s="2" t="s">
        <v>34</v>
      </c>
      <c r="E1768" s="3" t="n">
        <v>46113</v>
      </c>
      <c r="F1768" s="2" t="n">
        <v>12</v>
      </c>
      <c r="G1768" s="4" t="n">
        <v>27.99</v>
      </c>
      <c r="H1768" s="4" t="n">
        <v>20.39</v>
      </c>
      <c r="I1768" s="4" t="n">
        <f aca="false">F1768*G1768</f>
        <v>335.88</v>
      </c>
      <c r="J1768" s="4" t="n">
        <f aca="false">F1768*H1768</f>
        <v>244.68</v>
      </c>
      <c r="K1768" s="4" t="n">
        <f aca="false">I1768-J1768</f>
        <v>91.2</v>
      </c>
      <c r="L1768" s="5" t="n">
        <f aca="false">IFERROR(K1768/I1768,0)</f>
        <v>0.271525544837442</v>
      </c>
    </row>
    <row r="1769" customFormat="false" ht="15" hidden="false" customHeight="false" outlineLevel="0" collapsed="false">
      <c r="A1769" s="2" t="s">
        <v>52</v>
      </c>
      <c r="B1769" s="2" t="s">
        <v>53</v>
      </c>
      <c r="C1769" s="2" t="s">
        <v>32</v>
      </c>
      <c r="D1769" s="2" t="s">
        <v>35</v>
      </c>
      <c r="E1769" s="3" t="n">
        <v>46113</v>
      </c>
      <c r="F1769" s="2" t="n">
        <v>13</v>
      </c>
      <c r="G1769" s="4" t="n">
        <v>64.99</v>
      </c>
      <c r="H1769" s="4" t="n">
        <v>44.76</v>
      </c>
      <c r="I1769" s="4" t="n">
        <f aca="false">F1769*G1769</f>
        <v>844.87</v>
      </c>
      <c r="J1769" s="4" t="n">
        <f aca="false">F1769*H1769</f>
        <v>581.88</v>
      </c>
      <c r="K1769" s="4" t="n">
        <f aca="false">I1769-J1769</f>
        <v>262.99</v>
      </c>
      <c r="L1769" s="5" t="n">
        <f aca="false">IFERROR(K1769/I1769,0)</f>
        <v>0.311278658255116</v>
      </c>
    </row>
    <row r="1770" customFormat="false" ht="15" hidden="false" customHeight="false" outlineLevel="0" collapsed="false">
      <c r="A1770" s="2" t="s">
        <v>52</v>
      </c>
      <c r="B1770" s="2" t="s">
        <v>53</v>
      </c>
      <c r="C1770" s="2" t="s">
        <v>32</v>
      </c>
      <c r="D1770" s="2" t="s">
        <v>36</v>
      </c>
      <c r="E1770" s="3" t="n">
        <v>46113</v>
      </c>
      <c r="F1770" s="2" t="n">
        <v>12</v>
      </c>
      <c r="G1770" s="4" t="n">
        <v>22.99</v>
      </c>
      <c r="H1770" s="4" t="n">
        <v>17.12</v>
      </c>
      <c r="I1770" s="4" t="n">
        <f aca="false">F1770*G1770</f>
        <v>275.88</v>
      </c>
      <c r="J1770" s="4" t="n">
        <f aca="false">F1770*H1770</f>
        <v>205.44</v>
      </c>
      <c r="K1770" s="4" t="n">
        <f aca="false">I1770-J1770</f>
        <v>70.44</v>
      </c>
      <c r="L1770" s="5" t="n">
        <f aca="false">IFERROR(K1770/I1770,0)</f>
        <v>0.255328403653763</v>
      </c>
    </row>
    <row r="1771" customFormat="false" ht="15" hidden="false" customHeight="false" outlineLevel="0" collapsed="false">
      <c r="A1771" s="2" t="s">
        <v>52</v>
      </c>
      <c r="B1771" s="2" t="s">
        <v>53</v>
      </c>
      <c r="C1771" s="2" t="s">
        <v>32</v>
      </c>
      <c r="D1771" s="2" t="s">
        <v>37</v>
      </c>
      <c r="E1771" s="3" t="n">
        <v>46113</v>
      </c>
      <c r="F1771" s="2" t="n">
        <v>15</v>
      </c>
      <c r="G1771" s="4" t="n">
        <v>29.99</v>
      </c>
      <c r="H1771" s="4" t="n">
        <v>20.38</v>
      </c>
      <c r="I1771" s="4" t="n">
        <f aca="false">F1771*G1771</f>
        <v>449.85</v>
      </c>
      <c r="J1771" s="4" t="n">
        <f aca="false">F1771*H1771</f>
        <v>305.7</v>
      </c>
      <c r="K1771" s="4" t="n">
        <f aca="false">I1771-J1771</f>
        <v>144.15</v>
      </c>
      <c r="L1771" s="5" t="n">
        <f aca="false">IFERROR(K1771/I1771,0)</f>
        <v>0.320440146715572</v>
      </c>
    </row>
    <row r="1772" customFormat="false" ht="15" hidden="false" customHeight="false" outlineLevel="0" collapsed="false">
      <c r="A1772" s="2" t="s">
        <v>52</v>
      </c>
      <c r="B1772" s="2" t="s">
        <v>53</v>
      </c>
      <c r="C1772" s="2" t="s">
        <v>38</v>
      </c>
      <c r="D1772" s="2" t="s">
        <v>39</v>
      </c>
      <c r="E1772" s="3" t="n">
        <v>46113</v>
      </c>
      <c r="F1772" s="2" t="n">
        <v>12</v>
      </c>
      <c r="G1772" s="4" t="n">
        <v>129.99</v>
      </c>
      <c r="H1772" s="4" t="n">
        <v>74.24</v>
      </c>
      <c r="I1772" s="4" t="n">
        <f aca="false">F1772*G1772</f>
        <v>1559.88</v>
      </c>
      <c r="J1772" s="4" t="n">
        <f aca="false">F1772*H1772</f>
        <v>890.88</v>
      </c>
      <c r="K1772" s="4" t="n">
        <f aca="false">I1772-J1772</f>
        <v>669</v>
      </c>
      <c r="L1772" s="5" t="n">
        <f aca="false">IFERROR(K1772/I1772,0)</f>
        <v>0.428879144549581</v>
      </c>
    </row>
    <row r="1773" customFormat="false" ht="15" hidden="false" customHeight="false" outlineLevel="0" collapsed="false">
      <c r="A1773" s="2" t="s">
        <v>52</v>
      </c>
      <c r="B1773" s="2" t="s">
        <v>53</v>
      </c>
      <c r="C1773" s="2" t="s">
        <v>38</v>
      </c>
      <c r="D1773" s="2" t="s">
        <v>40</v>
      </c>
      <c r="E1773" s="3" t="n">
        <v>46113</v>
      </c>
      <c r="F1773" s="2" t="n">
        <v>17</v>
      </c>
      <c r="G1773" s="4" t="n">
        <v>74.99</v>
      </c>
      <c r="H1773" s="4" t="n">
        <v>40.15</v>
      </c>
      <c r="I1773" s="4" t="n">
        <f aca="false">F1773*G1773</f>
        <v>1274.83</v>
      </c>
      <c r="J1773" s="4" t="n">
        <f aca="false">F1773*H1773</f>
        <v>682.55</v>
      </c>
      <c r="K1773" s="4" t="n">
        <f aca="false">I1773-J1773</f>
        <v>592.28</v>
      </c>
      <c r="L1773" s="5" t="n">
        <f aca="false">IFERROR(K1773/I1773,0)</f>
        <v>0.464595279370583</v>
      </c>
    </row>
    <row r="1774" customFormat="false" ht="15" hidden="false" customHeight="false" outlineLevel="0" collapsed="false">
      <c r="A1774" s="2" t="s">
        <v>52</v>
      </c>
      <c r="B1774" s="2" t="s">
        <v>53</v>
      </c>
      <c r="C1774" s="2" t="s">
        <v>38</v>
      </c>
      <c r="D1774" s="2" t="s">
        <v>41</v>
      </c>
      <c r="E1774" s="3" t="n">
        <v>46113</v>
      </c>
      <c r="F1774" s="2" t="n">
        <v>20</v>
      </c>
      <c r="G1774" s="4" t="n">
        <v>19.99</v>
      </c>
      <c r="H1774" s="4" t="n">
        <v>9.38</v>
      </c>
      <c r="I1774" s="4" t="n">
        <f aca="false">F1774*G1774</f>
        <v>399.8</v>
      </c>
      <c r="J1774" s="4" t="n">
        <f aca="false">F1774*H1774</f>
        <v>187.6</v>
      </c>
      <c r="K1774" s="4" t="n">
        <f aca="false">I1774-J1774</f>
        <v>212.2</v>
      </c>
      <c r="L1774" s="5" t="n">
        <f aca="false">IFERROR(K1774/I1774,0)</f>
        <v>0.530765382691346</v>
      </c>
    </row>
    <row r="1775" customFormat="false" ht="15" hidden="false" customHeight="false" outlineLevel="0" collapsed="false">
      <c r="A1775" s="2" t="s">
        <v>52</v>
      </c>
      <c r="B1775" s="2" t="s">
        <v>53</v>
      </c>
      <c r="C1775" s="2" t="s">
        <v>38</v>
      </c>
      <c r="D1775" s="2" t="s">
        <v>42</v>
      </c>
      <c r="E1775" s="3" t="n">
        <v>46113</v>
      </c>
      <c r="F1775" s="2" t="n">
        <v>17</v>
      </c>
      <c r="G1775" s="4" t="n">
        <v>16.99</v>
      </c>
      <c r="H1775" s="4" t="n">
        <v>8.39</v>
      </c>
      <c r="I1775" s="4" t="n">
        <f aca="false">F1775*G1775</f>
        <v>288.83</v>
      </c>
      <c r="J1775" s="4" t="n">
        <f aca="false">F1775*H1775</f>
        <v>142.63</v>
      </c>
      <c r="K1775" s="4" t="n">
        <f aca="false">I1775-J1775</f>
        <v>146.2</v>
      </c>
      <c r="L1775" s="5" t="n">
        <f aca="false">IFERROR(K1775/I1775,0)</f>
        <v>0.506180105944673</v>
      </c>
    </row>
    <row r="1776" customFormat="false" ht="15" hidden="false" customHeight="false" outlineLevel="0" collapsed="false">
      <c r="A1776" s="2" t="s">
        <v>52</v>
      </c>
      <c r="B1776" s="2" t="s">
        <v>53</v>
      </c>
      <c r="C1776" s="2" t="s">
        <v>38</v>
      </c>
      <c r="D1776" s="2" t="s">
        <v>43</v>
      </c>
      <c r="E1776" s="3" t="n">
        <v>46113</v>
      </c>
      <c r="F1776" s="2" t="n">
        <v>13</v>
      </c>
      <c r="G1776" s="4" t="n">
        <v>24.99</v>
      </c>
      <c r="H1776" s="4" t="n">
        <v>12.77</v>
      </c>
      <c r="I1776" s="4" t="n">
        <f aca="false">F1776*G1776</f>
        <v>324.87</v>
      </c>
      <c r="J1776" s="4" t="n">
        <f aca="false">F1776*H1776</f>
        <v>166.01</v>
      </c>
      <c r="K1776" s="4" t="n">
        <f aca="false">I1776-J1776</f>
        <v>158.86</v>
      </c>
      <c r="L1776" s="5" t="n">
        <f aca="false">IFERROR(K1776/I1776,0)</f>
        <v>0.488995598239296</v>
      </c>
    </row>
    <row r="1777" customFormat="false" ht="15" hidden="false" customHeight="false" outlineLevel="0" collapsed="false">
      <c r="A1777" s="2" t="s">
        <v>52</v>
      </c>
      <c r="B1777" s="2" t="s">
        <v>54</v>
      </c>
      <c r="C1777" s="2" t="s">
        <v>14</v>
      </c>
      <c r="D1777" s="2" t="s">
        <v>15</v>
      </c>
      <c r="E1777" s="3" t="n">
        <v>46113</v>
      </c>
      <c r="F1777" s="2" t="n">
        <v>17</v>
      </c>
      <c r="G1777" s="4" t="n">
        <v>69.99</v>
      </c>
      <c r="H1777" s="4" t="n">
        <v>33.34</v>
      </c>
      <c r="I1777" s="4" t="n">
        <f aca="false">F1777*G1777</f>
        <v>1189.83</v>
      </c>
      <c r="J1777" s="4" t="n">
        <f aca="false">F1777*H1777</f>
        <v>566.78</v>
      </c>
      <c r="K1777" s="4" t="n">
        <f aca="false">I1777-J1777</f>
        <v>623.05</v>
      </c>
      <c r="L1777" s="5" t="n">
        <f aca="false">IFERROR(K1777/I1777,0)</f>
        <v>0.523646235176454</v>
      </c>
    </row>
    <row r="1778" customFormat="false" ht="15" hidden="false" customHeight="false" outlineLevel="0" collapsed="false">
      <c r="A1778" s="2" t="s">
        <v>52</v>
      </c>
      <c r="B1778" s="2" t="s">
        <v>54</v>
      </c>
      <c r="C1778" s="2" t="s">
        <v>14</v>
      </c>
      <c r="D1778" s="2" t="s">
        <v>16</v>
      </c>
      <c r="E1778" s="3" t="n">
        <v>46113</v>
      </c>
      <c r="F1778" s="2" t="n">
        <v>8</v>
      </c>
      <c r="G1778" s="4" t="n">
        <v>19.99</v>
      </c>
      <c r="H1778" s="4" t="n">
        <v>9.2</v>
      </c>
      <c r="I1778" s="4" t="n">
        <f aca="false">F1778*G1778</f>
        <v>159.92</v>
      </c>
      <c r="J1778" s="4" t="n">
        <f aca="false">F1778*H1778</f>
        <v>73.6</v>
      </c>
      <c r="K1778" s="4" t="n">
        <f aca="false">I1778-J1778</f>
        <v>86.32</v>
      </c>
      <c r="L1778" s="5" t="n">
        <f aca="false">IFERROR(K1778/I1778,0)</f>
        <v>0.539769884942471</v>
      </c>
    </row>
    <row r="1779" customFormat="false" ht="15" hidden="false" customHeight="false" outlineLevel="0" collapsed="false">
      <c r="A1779" s="2" t="s">
        <v>52</v>
      </c>
      <c r="B1779" s="2" t="s">
        <v>54</v>
      </c>
      <c r="C1779" s="2" t="s">
        <v>14</v>
      </c>
      <c r="D1779" s="2" t="s">
        <v>17</v>
      </c>
      <c r="E1779" s="3" t="n">
        <v>46113</v>
      </c>
      <c r="F1779" s="2" t="n">
        <v>22</v>
      </c>
      <c r="G1779" s="4" t="n">
        <v>79.99</v>
      </c>
      <c r="H1779" s="4" t="n">
        <v>39.18</v>
      </c>
      <c r="I1779" s="4" t="n">
        <f aca="false">F1779*G1779</f>
        <v>1759.78</v>
      </c>
      <c r="J1779" s="4" t="n">
        <f aca="false">F1779*H1779</f>
        <v>861.96</v>
      </c>
      <c r="K1779" s="4" t="n">
        <f aca="false">I1779-J1779</f>
        <v>897.82</v>
      </c>
      <c r="L1779" s="5" t="n">
        <f aca="false">IFERROR(K1779/I1779,0)</f>
        <v>0.5101887735967</v>
      </c>
    </row>
    <row r="1780" customFormat="false" ht="15" hidden="false" customHeight="false" outlineLevel="0" collapsed="false">
      <c r="A1780" s="2" t="s">
        <v>52</v>
      </c>
      <c r="B1780" s="2" t="s">
        <v>54</v>
      </c>
      <c r="C1780" s="2" t="s">
        <v>14</v>
      </c>
      <c r="D1780" s="2" t="s">
        <v>18</v>
      </c>
      <c r="E1780" s="3" t="n">
        <v>46113</v>
      </c>
      <c r="F1780" s="2" t="n">
        <v>19</v>
      </c>
      <c r="G1780" s="4" t="n">
        <v>34.99</v>
      </c>
      <c r="H1780" s="4" t="n">
        <v>14.84</v>
      </c>
      <c r="I1780" s="4" t="n">
        <f aca="false">F1780*G1780</f>
        <v>664.81</v>
      </c>
      <c r="J1780" s="4" t="n">
        <f aca="false">F1780*H1780</f>
        <v>281.96</v>
      </c>
      <c r="K1780" s="4" t="n">
        <f aca="false">I1780-J1780</f>
        <v>382.85</v>
      </c>
      <c r="L1780" s="5" t="n">
        <f aca="false">IFERROR(K1780/I1780,0)</f>
        <v>0.57587882252072</v>
      </c>
    </row>
    <row r="1781" customFormat="false" ht="15" hidden="false" customHeight="false" outlineLevel="0" collapsed="false">
      <c r="A1781" s="2" t="s">
        <v>52</v>
      </c>
      <c r="B1781" s="2" t="s">
        <v>54</v>
      </c>
      <c r="C1781" s="2" t="s">
        <v>14</v>
      </c>
      <c r="D1781" s="2" t="s">
        <v>19</v>
      </c>
      <c r="E1781" s="3" t="n">
        <v>46113</v>
      </c>
      <c r="F1781" s="2" t="n">
        <v>16</v>
      </c>
      <c r="G1781" s="4" t="n">
        <v>54.99</v>
      </c>
      <c r="H1781" s="4" t="n">
        <v>24.36</v>
      </c>
      <c r="I1781" s="4" t="n">
        <f aca="false">F1781*G1781</f>
        <v>879.84</v>
      </c>
      <c r="J1781" s="4" t="n">
        <f aca="false">F1781*H1781</f>
        <v>389.76</v>
      </c>
      <c r="K1781" s="4" t="n">
        <f aca="false">I1781-J1781</f>
        <v>490.08</v>
      </c>
      <c r="L1781" s="5" t="n">
        <f aca="false">IFERROR(K1781/I1781,0)</f>
        <v>0.557010365521004</v>
      </c>
    </row>
    <row r="1782" customFormat="false" ht="15" hidden="false" customHeight="false" outlineLevel="0" collapsed="false">
      <c r="A1782" s="2" t="s">
        <v>52</v>
      </c>
      <c r="B1782" s="2" t="s">
        <v>54</v>
      </c>
      <c r="C1782" s="2" t="s">
        <v>20</v>
      </c>
      <c r="D1782" s="2" t="s">
        <v>21</v>
      </c>
      <c r="E1782" s="3" t="n">
        <v>46113</v>
      </c>
      <c r="F1782" s="2" t="n">
        <v>13</v>
      </c>
      <c r="G1782" s="4" t="n">
        <v>44.99</v>
      </c>
      <c r="H1782" s="4" t="n">
        <v>20.79</v>
      </c>
      <c r="I1782" s="4" t="n">
        <f aca="false">F1782*G1782</f>
        <v>584.87</v>
      </c>
      <c r="J1782" s="4" t="n">
        <f aca="false">F1782*H1782</f>
        <v>270.27</v>
      </c>
      <c r="K1782" s="4" t="n">
        <f aca="false">I1782-J1782</f>
        <v>314.6</v>
      </c>
      <c r="L1782" s="5" t="n">
        <f aca="false">IFERROR(K1782/I1782,0)</f>
        <v>0.537897310513448</v>
      </c>
    </row>
    <row r="1783" customFormat="false" ht="15" hidden="false" customHeight="false" outlineLevel="0" collapsed="false">
      <c r="A1783" s="2" t="s">
        <v>52</v>
      </c>
      <c r="B1783" s="2" t="s">
        <v>54</v>
      </c>
      <c r="C1783" s="2" t="s">
        <v>20</v>
      </c>
      <c r="D1783" s="2" t="s">
        <v>22</v>
      </c>
      <c r="E1783" s="3" t="n">
        <v>46113</v>
      </c>
      <c r="F1783" s="2" t="n">
        <v>16</v>
      </c>
      <c r="G1783" s="4" t="n">
        <v>14.99</v>
      </c>
      <c r="H1783" s="4" t="n">
        <v>5.86</v>
      </c>
      <c r="I1783" s="4" t="n">
        <f aca="false">F1783*G1783</f>
        <v>239.84</v>
      </c>
      <c r="J1783" s="4" t="n">
        <f aca="false">F1783*H1783</f>
        <v>93.76</v>
      </c>
      <c r="K1783" s="4" t="n">
        <f aca="false">I1783-J1783</f>
        <v>146.08</v>
      </c>
      <c r="L1783" s="5" t="n">
        <f aca="false">IFERROR(K1783/I1783,0)</f>
        <v>0.609072715143429</v>
      </c>
    </row>
    <row r="1784" customFormat="false" ht="15" hidden="false" customHeight="false" outlineLevel="0" collapsed="false">
      <c r="A1784" s="2" t="s">
        <v>52</v>
      </c>
      <c r="B1784" s="2" t="s">
        <v>54</v>
      </c>
      <c r="C1784" s="2" t="s">
        <v>20</v>
      </c>
      <c r="D1784" s="2" t="s">
        <v>23</v>
      </c>
      <c r="E1784" s="3" t="n">
        <v>46113</v>
      </c>
      <c r="F1784" s="2" t="n">
        <v>20</v>
      </c>
      <c r="G1784" s="4" t="n">
        <v>39.99</v>
      </c>
      <c r="H1784" s="4" t="n">
        <v>16.58</v>
      </c>
      <c r="I1784" s="4" t="n">
        <f aca="false">F1784*G1784</f>
        <v>799.8</v>
      </c>
      <c r="J1784" s="4" t="n">
        <f aca="false">F1784*H1784</f>
        <v>331.6</v>
      </c>
      <c r="K1784" s="4" t="n">
        <f aca="false">I1784-J1784</f>
        <v>468.2</v>
      </c>
      <c r="L1784" s="5" t="n">
        <f aca="false">IFERROR(K1784/I1784,0)</f>
        <v>0.585396349087272</v>
      </c>
    </row>
    <row r="1785" customFormat="false" ht="15" hidden="false" customHeight="false" outlineLevel="0" collapsed="false">
      <c r="A1785" s="2" t="s">
        <v>52</v>
      </c>
      <c r="B1785" s="2" t="s">
        <v>54</v>
      </c>
      <c r="C1785" s="2" t="s">
        <v>20</v>
      </c>
      <c r="D1785" s="2" t="s">
        <v>24</v>
      </c>
      <c r="E1785" s="3" t="n">
        <v>46113</v>
      </c>
      <c r="F1785" s="2" t="n">
        <v>12</v>
      </c>
      <c r="G1785" s="4" t="n">
        <v>18.99</v>
      </c>
      <c r="H1785" s="4" t="n">
        <v>7.77</v>
      </c>
      <c r="I1785" s="4" t="n">
        <f aca="false">F1785*G1785</f>
        <v>227.88</v>
      </c>
      <c r="J1785" s="4" t="n">
        <f aca="false">F1785*H1785</f>
        <v>93.24</v>
      </c>
      <c r="K1785" s="4" t="n">
        <f aca="false">I1785-J1785</f>
        <v>134.64</v>
      </c>
      <c r="L1785" s="5" t="n">
        <f aca="false">IFERROR(K1785/I1785,0)</f>
        <v>0.590837282780411</v>
      </c>
    </row>
    <row r="1786" customFormat="false" ht="15" hidden="false" customHeight="false" outlineLevel="0" collapsed="false">
      <c r="A1786" s="2" t="s">
        <v>52</v>
      </c>
      <c r="B1786" s="2" t="s">
        <v>54</v>
      </c>
      <c r="C1786" s="2" t="s">
        <v>20</v>
      </c>
      <c r="D1786" s="2" t="s">
        <v>25</v>
      </c>
      <c r="E1786" s="3" t="n">
        <v>46113</v>
      </c>
      <c r="F1786" s="2" t="n">
        <v>24</v>
      </c>
      <c r="G1786" s="4" t="n">
        <v>42.99</v>
      </c>
      <c r="H1786" s="4" t="n">
        <v>15.88</v>
      </c>
      <c r="I1786" s="4" t="n">
        <f aca="false">F1786*G1786</f>
        <v>1031.76</v>
      </c>
      <c r="J1786" s="4" t="n">
        <f aca="false">F1786*H1786</f>
        <v>381.12</v>
      </c>
      <c r="K1786" s="4" t="n">
        <f aca="false">I1786-J1786</f>
        <v>650.64</v>
      </c>
      <c r="L1786" s="5" t="n">
        <f aca="false">IFERROR(K1786/I1786,0)</f>
        <v>0.630611770179111</v>
      </c>
    </row>
    <row r="1787" customFormat="false" ht="15" hidden="false" customHeight="false" outlineLevel="0" collapsed="false">
      <c r="A1787" s="2" t="s">
        <v>52</v>
      </c>
      <c r="B1787" s="2" t="s">
        <v>54</v>
      </c>
      <c r="C1787" s="2" t="s">
        <v>26</v>
      </c>
      <c r="D1787" s="2" t="s">
        <v>27</v>
      </c>
      <c r="E1787" s="3" t="n">
        <v>46113</v>
      </c>
      <c r="F1787" s="2" t="n">
        <v>16</v>
      </c>
      <c r="G1787" s="4" t="n">
        <v>44.99</v>
      </c>
      <c r="H1787" s="4" t="n">
        <v>28.12</v>
      </c>
      <c r="I1787" s="4" t="n">
        <f aca="false">F1787*G1787</f>
        <v>719.84</v>
      </c>
      <c r="J1787" s="4" t="n">
        <f aca="false">F1787*H1787</f>
        <v>449.92</v>
      </c>
      <c r="K1787" s="4" t="n">
        <f aca="false">I1787-J1787</f>
        <v>269.92</v>
      </c>
      <c r="L1787" s="5" t="n">
        <f aca="false">IFERROR(K1787/I1787,0)</f>
        <v>0.374972216048011</v>
      </c>
    </row>
    <row r="1788" customFormat="false" ht="15" hidden="false" customHeight="false" outlineLevel="0" collapsed="false">
      <c r="A1788" s="2" t="s">
        <v>52</v>
      </c>
      <c r="B1788" s="2" t="s">
        <v>54</v>
      </c>
      <c r="C1788" s="2" t="s">
        <v>26</v>
      </c>
      <c r="D1788" s="2" t="s">
        <v>28</v>
      </c>
      <c r="E1788" s="3" t="n">
        <v>46113</v>
      </c>
      <c r="F1788" s="2" t="n">
        <v>25</v>
      </c>
      <c r="G1788" s="4" t="n">
        <v>34.99</v>
      </c>
      <c r="H1788" s="4" t="n">
        <v>22.24</v>
      </c>
      <c r="I1788" s="4" t="n">
        <f aca="false">F1788*G1788</f>
        <v>874.75</v>
      </c>
      <c r="J1788" s="4" t="n">
        <f aca="false">F1788*H1788</f>
        <v>556</v>
      </c>
      <c r="K1788" s="4" t="n">
        <f aca="false">I1788-J1788</f>
        <v>318.75</v>
      </c>
      <c r="L1788" s="5" t="n">
        <f aca="false">IFERROR(K1788/I1788,0)</f>
        <v>0.364389825664476</v>
      </c>
    </row>
    <row r="1789" customFormat="false" ht="15" hidden="false" customHeight="false" outlineLevel="0" collapsed="false">
      <c r="A1789" s="2" t="s">
        <v>52</v>
      </c>
      <c r="B1789" s="2" t="s">
        <v>54</v>
      </c>
      <c r="C1789" s="2" t="s">
        <v>26</v>
      </c>
      <c r="D1789" s="2" t="s">
        <v>29</v>
      </c>
      <c r="E1789" s="3" t="n">
        <v>46113</v>
      </c>
      <c r="F1789" s="2" t="n">
        <v>15</v>
      </c>
      <c r="G1789" s="4" t="n">
        <v>119.99</v>
      </c>
      <c r="H1789" s="4" t="n">
        <v>80.82</v>
      </c>
      <c r="I1789" s="4" t="n">
        <f aca="false">F1789*G1789</f>
        <v>1799.85</v>
      </c>
      <c r="J1789" s="4" t="n">
        <f aca="false">F1789*H1789</f>
        <v>1212.3</v>
      </c>
      <c r="K1789" s="4" t="n">
        <f aca="false">I1789-J1789</f>
        <v>587.55</v>
      </c>
      <c r="L1789" s="5" t="n">
        <f aca="false">IFERROR(K1789/I1789,0)</f>
        <v>0.326443870322527</v>
      </c>
    </row>
    <row r="1790" customFormat="false" ht="15" hidden="false" customHeight="false" outlineLevel="0" collapsed="false">
      <c r="A1790" s="2" t="s">
        <v>52</v>
      </c>
      <c r="B1790" s="2" t="s">
        <v>54</v>
      </c>
      <c r="C1790" s="2" t="s">
        <v>26</v>
      </c>
      <c r="D1790" s="2" t="s">
        <v>30</v>
      </c>
      <c r="E1790" s="3" t="n">
        <v>46113</v>
      </c>
      <c r="F1790" s="2" t="n">
        <v>24</v>
      </c>
      <c r="G1790" s="4" t="n">
        <v>24.99</v>
      </c>
      <c r="H1790" s="4" t="n">
        <v>14.88</v>
      </c>
      <c r="I1790" s="4" t="n">
        <f aca="false">F1790*G1790</f>
        <v>599.76</v>
      </c>
      <c r="J1790" s="4" t="n">
        <f aca="false">F1790*H1790</f>
        <v>357.12</v>
      </c>
      <c r="K1790" s="4" t="n">
        <f aca="false">I1790-J1790</f>
        <v>242.64</v>
      </c>
      <c r="L1790" s="5" t="n">
        <f aca="false">IFERROR(K1790/I1790,0)</f>
        <v>0.404561824729892</v>
      </c>
    </row>
    <row r="1791" customFormat="false" ht="15" hidden="false" customHeight="false" outlineLevel="0" collapsed="false">
      <c r="A1791" s="2" t="s">
        <v>52</v>
      </c>
      <c r="B1791" s="2" t="s">
        <v>54</v>
      </c>
      <c r="C1791" s="2" t="s">
        <v>26</v>
      </c>
      <c r="D1791" s="2" t="s">
        <v>31</v>
      </c>
      <c r="E1791" s="3" t="n">
        <v>46113</v>
      </c>
      <c r="F1791" s="2" t="n">
        <v>20</v>
      </c>
      <c r="G1791" s="4" t="n">
        <v>59.99</v>
      </c>
      <c r="H1791" s="4" t="n">
        <v>39.95</v>
      </c>
      <c r="I1791" s="4" t="n">
        <f aca="false">F1791*G1791</f>
        <v>1199.8</v>
      </c>
      <c r="J1791" s="4" t="n">
        <f aca="false">F1791*H1791</f>
        <v>799</v>
      </c>
      <c r="K1791" s="4" t="n">
        <f aca="false">I1791-J1791</f>
        <v>400.8</v>
      </c>
      <c r="L1791" s="5" t="n">
        <f aca="false">IFERROR(K1791/I1791,0)</f>
        <v>0.334055675945991</v>
      </c>
    </row>
    <row r="1792" customFormat="false" ht="15" hidden="false" customHeight="false" outlineLevel="0" collapsed="false">
      <c r="A1792" s="2" t="s">
        <v>52</v>
      </c>
      <c r="B1792" s="2" t="s">
        <v>54</v>
      </c>
      <c r="C1792" s="2" t="s">
        <v>32</v>
      </c>
      <c r="D1792" s="2" t="s">
        <v>33</v>
      </c>
      <c r="E1792" s="3" t="n">
        <v>46113</v>
      </c>
      <c r="F1792" s="2" t="n">
        <v>13</v>
      </c>
      <c r="G1792" s="4" t="n">
        <v>49.99</v>
      </c>
      <c r="H1792" s="4" t="n">
        <v>36.62</v>
      </c>
      <c r="I1792" s="4" t="n">
        <f aca="false">F1792*G1792</f>
        <v>649.87</v>
      </c>
      <c r="J1792" s="4" t="n">
        <f aca="false">F1792*H1792</f>
        <v>476.06</v>
      </c>
      <c r="K1792" s="4" t="n">
        <f aca="false">I1792-J1792</f>
        <v>173.81</v>
      </c>
      <c r="L1792" s="5" t="n">
        <f aca="false">IFERROR(K1792/I1792,0)</f>
        <v>0.26745349069814</v>
      </c>
    </row>
    <row r="1793" customFormat="false" ht="15" hidden="false" customHeight="false" outlineLevel="0" collapsed="false">
      <c r="A1793" s="2" t="s">
        <v>52</v>
      </c>
      <c r="B1793" s="2" t="s">
        <v>54</v>
      </c>
      <c r="C1793" s="2" t="s">
        <v>32</v>
      </c>
      <c r="D1793" s="2" t="s">
        <v>34</v>
      </c>
      <c r="E1793" s="3" t="n">
        <v>46113</v>
      </c>
      <c r="F1793" s="2" t="n">
        <v>10</v>
      </c>
      <c r="G1793" s="4" t="n">
        <v>27.99</v>
      </c>
      <c r="H1793" s="4" t="n">
        <v>19.98</v>
      </c>
      <c r="I1793" s="4" t="n">
        <f aca="false">F1793*G1793</f>
        <v>279.9</v>
      </c>
      <c r="J1793" s="4" t="n">
        <f aca="false">F1793*H1793</f>
        <v>199.8</v>
      </c>
      <c r="K1793" s="4" t="n">
        <f aca="false">I1793-J1793</f>
        <v>80.1</v>
      </c>
      <c r="L1793" s="5" t="n">
        <f aca="false">IFERROR(K1793/I1793,0)</f>
        <v>0.286173633440514</v>
      </c>
    </row>
    <row r="1794" customFormat="false" ht="15" hidden="false" customHeight="false" outlineLevel="0" collapsed="false">
      <c r="A1794" s="2" t="s">
        <v>52</v>
      </c>
      <c r="B1794" s="2" t="s">
        <v>54</v>
      </c>
      <c r="C1794" s="2" t="s">
        <v>32</v>
      </c>
      <c r="D1794" s="2" t="s">
        <v>35</v>
      </c>
      <c r="E1794" s="3" t="n">
        <v>46113</v>
      </c>
      <c r="F1794" s="2" t="n">
        <v>15</v>
      </c>
      <c r="G1794" s="4" t="n">
        <v>64.99</v>
      </c>
      <c r="H1794" s="4" t="n">
        <v>46.03</v>
      </c>
      <c r="I1794" s="4" t="n">
        <f aca="false">F1794*G1794</f>
        <v>974.85</v>
      </c>
      <c r="J1794" s="4" t="n">
        <f aca="false">F1794*H1794</f>
        <v>690.45</v>
      </c>
      <c r="K1794" s="4" t="n">
        <f aca="false">I1794-J1794</f>
        <v>284.4</v>
      </c>
      <c r="L1794" s="5" t="n">
        <f aca="false">IFERROR(K1794/I1794,0)</f>
        <v>0.291737190336975</v>
      </c>
    </row>
    <row r="1795" customFormat="false" ht="15" hidden="false" customHeight="false" outlineLevel="0" collapsed="false">
      <c r="A1795" s="2" t="s">
        <v>52</v>
      </c>
      <c r="B1795" s="2" t="s">
        <v>54</v>
      </c>
      <c r="C1795" s="2" t="s">
        <v>32</v>
      </c>
      <c r="D1795" s="2" t="s">
        <v>36</v>
      </c>
      <c r="E1795" s="3" t="n">
        <v>46113</v>
      </c>
      <c r="F1795" s="2" t="n">
        <v>13</v>
      </c>
      <c r="G1795" s="4" t="n">
        <v>22.99</v>
      </c>
      <c r="H1795" s="4" t="n">
        <v>16.57</v>
      </c>
      <c r="I1795" s="4" t="n">
        <f aca="false">F1795*G1795</f>
        <v>298.87</v>
      </c>
      <c r="J1795" s="4" t="n">
        <f aca="false">F1795*H1795</f>
        <v>215.41</v>
      </c>
      <c r="K1795" s="4" t="n">
        <f aca="false">I1795-J1795</f>
        <v>83.46</v>
      </c>
      <c r="L1795" s="5" t="n">
        <f aca="false">IFERROR(K1795/I1795,0)</f>
        <v>0.279251848629839</v>
      </c>
    </row>
    <row r="1796" customFormat="false" ht="15" hidden="false" customHeight="false" outlineLevel="0" collapsed="false">
      <c r="A1796" s="2" t="s">
        <v>52</v>
      </c>
      <c r="B1796" s="2" t="s">
        <v>54</v>
      </c>
      <c r="C1796" s="2" t="s">
        <v>32</v>
      </c>
      <c r="D1796" s="2" t="s">
        <v>37</v>
      </c>
      <c r="E1796" s="3" t="n">
        <v>46113</v>
      </c>
      <c r="F1796" s="2" t="n">
        <v>21</v>
      </c>
      <c r="G1796" s="4" t="n">
        <v>29.99</v>
      </c>
      <c r="H1796" s="4" t="n">
        <v>20.21</v>
      </c>
      <c r="I1796" s="4" t="n">
        <f aca="false">F1796*G1796</f>
        <v>629.79</v>
      </c>
      <c r="J1796" s="4" t="n">
        <f aca="false">F1796*H1796</f>
        <v>424.41</v>
      </c>
      <c r="K1796" s="4" t="n">
        <f aca="false">I1796-J1796</f>
        <v>205.38</v>
      </c>
      <c r="L1796" s="5" t="n">
        <f aca="false">IFERROR(K1796/I1796,0)</f>
        <v>0.326108702900967</v>
      </c>
    </row>
    <row r="1797" customFormat="false" ht="15" hidden="false" customHeight="false" outlineLevel="0" collapsed="false">
      <c r="A1797" s="2" t="s">
        <v>52</v>
      </c>
      <c r="B1797" s="2" t="s">
        <v>54</v>
      </c>
      <c r="C1797" s="2" t="s">
        <v>38</v>
      </c>
      <c r="D1797" s="2" t="s">
        <v>39</v>
      </c>
      <c r="E1797" s="3" t="n">
        <v>46113</v>
      </c>
      <c r="F1797" s="2" t="n">
        <v>14</v>
      </c>
      <c r="G1797" s="4" t="n">
        <v>129.99</v>
      </c>
      <c r="H1797" s="4" t="n">
        <v>76.7</v>
      </c>
      <c r="I1797" s="4" t="n">
        <f aca="false">F1797*G1797</f>
        <v>1819.86</v>
      </c>
      <c r="J1797" s="4" t="n">
        <f aca="false">F1797*H1797</f>
        <v>1073.8</v>
      </c>
      <c r="K1797" s="4" t="n">
        <f aca="false">I1797-J1797</f>
        <v>746.06</v>
      </c>
      <c r="L1797" s="5" t="n">
        <f aca="false">IFERROR(K1797/I1797,0)</f>
        <v>0.409954611893223</v>
      </c>
    </row>
    <row r="1798" customFormat="false" ht="15" hidden="false" customHeight="false" outlineLevel="0" collapsed="false">
      <c r="A1798" s="2" t="s">
        <v>52</v>
      </c>
      <c r="B1798" s="2" t="s">
        <v>54</v>
      </c>
      <c r="C1798" s="2" t="s">
        <v>38</v>
      </c>
      <c r="D1798" s="2" t="s">
        <v>40</v>
      </c>
      <c r="E1798" s="3" t="n">
        <v>46113</v>
      </c>
      <c r="F1798" s="2" t="n">
        <v>17</v>
      </c>
      <c r="G1798" s="4" t="n">
        <v>74.99</v>
      </c>
      <c r="H1798" s="4" t="n">
        <v>42.3</v>
      </c>
      <c r="I1798" s="4" t="n">
        <f aca="false">F1798*G1798</f>
        <v>1274.83</v>
      </c>
      <c r="J1798" s="4" t="n">
        <f aca="false">F1798*H1798</f>
        <v>719.1</v>
      </c>
      <c r="K1798" s="4" t="n">
        <f aca="false">I1798-J1798</f>
        <v>555.73</v>
      </c>
      <c r="L1798" s="5" t="n">
        <f aca="false">IFERROR(K1798/I1798,0)</f>
        <v>0.435924789971996</v>
      </c>
    </row>
    <row r="1799" customFormat="false" ht="15" hidden="false" customHeight="false" outlineLevel="0" collapsed="false">
      <c r="A1799" s="2" t="s">
        <v>52</v>
      </c>
      <c r="B1799" s="2" t="s">
        <v>54</v>
      </c>
      <c r="C1799" s="2" t="s">
        <v>38</v>
      </c>
      <c r="D1799" s="2" t="s">
        <v>41</v>
      </c>
      <c r="E1799" s="3" t="n">
        <v>46113</v>
      </c>
      <c r="F1799" s="2" t="n">
        <v>17</v>
      </c>
      <c r="G1799" s="4" t="n">
        <v>19.99</v>
      </c>
      <c r="H1799" s="4" t="n">
        <v>9.75</v>
      </c>
      <c r="I1799" s="4" t="n">
        <f aca="false">F1799*G1799</f>
        <v>339.83</v>
      </c>
      <c r="J1799" s="4" t="n">
        <f aca="false">F1799*H1799</f>
        <v>165.75</v>
      </c>
      <c r="K1799" s="4" t="n">
        <f aca="false">I1799-J1799</f>
        <v>174.08</v>
      </c>
      <c r="L1799" s="5" t="n">
        <f aca="false">IFERROR(K1799/I1799,0)</f>
        <v>0.512256128064032</v>
      </c>
    </row>
    <row r="1800" customFormat="false" ht="15" hidden="false" customHeight="false" outlineLevel="0" collapsed="false">
      <c r="A1800" s="2" t="s">
        <v>52</v>
      </c>
      <c r="B1800" s="2" t="s">
        <v>54</v>
      </c>
      <c r="C1800" s="2" t="s">
        <v>38</v>
      </c>
      <c r="D1800" s="2" t="s">
        <v>42</v>
      </c>
      <c r="E1800" s="3" t="n">
        <v>46113</v>
      </c>
      <c r="F1800" s="2" t="n">
        <v>20</v>
      </c>
      <c r="G1800" s="4" t="n">
        <v>16.99</v>
      </c>
      <c r="H1800" s="4" t="n">
        <v>8.33</v>
      </c>
      <c r="I1800" s="4" t="n">
        <f aca="false">F1800*G1800</f>
        <v>339.8</v>
      </c>
      <c r="J1800" s="4" t="n">
        <f aca="false">F1800*H1800</f>
        <v>166.6</v>
      </c>
      <c r="K1800" s="4" t="n">
        <f aca="false">I1800-J1800</f>
        <v>173.2</v>
      </c>
      <c r="L1800" s="5" t="n">
        <f aca="false">IFERROR(K1800/I1800,0)</f>
        <v>0.509711595055915</v>
      </c>
    </row>
    <row r="1801" customFormat="false" ht="15" hidden="false" customHeight="false" outlineLevel="0" collapsed="false">
      <c r="A1801" s="2" t="s">
        <v>52</v>
      </c>
      <c r="B1801" s="2" t="s">
        <v>54</v>
      </c>
      <c r="C1801" s="2" t="s">
        <v>38</v>
      </c>
      <c r="D1801" s="2" t="s">
        <v>43</v>
      </c>
      <c r="E1801" s="3" t="n">
        <v>46113</v>
      </c>
      <c r="F1801" s="2" t="n">
        <v>15</v>
      </c>
      <c r="G1801" s="4" t="n">
        <v>24.99</v>
      </c>
      <c r="H1801" s="4" t="n">
        <v>12.96</v>
      </c>
      <c r="I1801" s="4" t="n">
        <f aca="false">F1801*G1801</f>
        <v>374.85</v>
      </c>
      <c r="J1801" s="4" t="n">
        <f aca="false">F1801*H1801</f>
        <v>194.4</v>
      </c>
      <c r="K1801" s="4" t="n">
        <f aca="false">I1801-J1801</f>
        <v>180.45</v>
      </c>
      <c r="L1801" s="5" t="n">
        <f aca="false">IFERROR(K1801/I1801,0)</f>
        <v>0.481392557022809</v>
      </c>
    </row>
    <row r="1802" customFormat="false" ht="15" hidden="false" customHeight="false" outlineLevel="0" collapsed="false">
      <c r="A1802" s="2" t="s">
        <v>12</v>
      </c>
      <c r="B1802" s="2" t="s">
        <v>13</v>
      </c>
      <c r="C1802" s="2" t="s">
        <v>14</v>
      </c>
      <c r="D1802" s="2" t="s">
        <v>15</v>
      </c>
      <c r="E1802" s="3" t="n">
        <v>46143</v>
      </c>
      <c r="F1802" s="2" t="n">
        <v>19</v>
      </c>
      <c r="G1802" s="4" t="n">
        <v>69.99</v>
      </c>
      <c r="H1802" s="4" t="n">
        <v>34.43</v>
      </c>
      <c r="I1802" s="4" t="n">
        <f aca="false">F1802*G1802</f>
        <v>1329.81</v>
      </c>
      <c r="J1802" s="4" t="n">
        <f aca="false">F1802*H1802</f>
        <v>654.17</v>
      </c>
      <c r="K1802" s="4" t="n">
        <f aca="false">I1802-J1802</f>
        <v>675.64</v>
      </c>
      <c r="L1802" s="5" t="n">
        <f aca="false">IFERROR(K1802/I1802,0)</f>
        <v>0.5080725817974</v>
      </c>
    </row>
    <row r="1803" customFormat="false" ht="15" hidden="false" customHeight="false" outlineLevel="0" collapsed="false">
      <c r="A1803" s="2" t="s">
        <v>12</v>
      </c>
      <c r="B1803" s="2" t="s">
        <v>13</v>
      </c>
      <c r="C1803" s="2" t="s">
        <v>14</v>
      </c>
      <c r="D1803" s="2" t="s">
        <v>16</v>
      </c>
      <c r="E1803" s="3" t="n">
        <v>46143</v>
      </c>
      <c r="F1803" s="2" t="n">
        <v>15</v>
      </c>
      <c r="G1803" s="4" t="n">
        <v>19.99</v>
      </c>
      <c r="H1803" s="4" t="n">
        <v>8.93</v>
      </c>
      <c r="I1803" s="4" t="n">
        <f aca="false">F1803*G1803</f>
        <v>299.85</v>
      </c>
      <c r="J1803" s="4" t="n">
        <f aca="false">F1803*H1803</f>
        <v>133.95</v>
      </c>
      <c r="K1803" s="4" t="n">
        <f aca="false">I1803-J1803</f>
        <v>165.9</v>
      </c>
      <c r="L1803" s="5" t="n">
        <f aca="false">IFERROR(K1803/I1803,0)</f>
        <v>0.55327663831916</v>
      </c>
    </row>
    <row r="1804" customFormat="false" ht="15" hidden="false" customHeight="false" outlineLevel="0" collapsed="false">
      <c r="A1804" s="2" t="s">
        <v>12</v>
      </c>
      <c r="B1804" s="2" t="s">
        <v>13</v>
      </c>
      <c r="C1804" s="2" t="s">
        <v>14</v>
      </c>
      <c r="D1804" s="2" t="s">
        <v>17</v>
      </c>
      <c r="E1804" s="3" t="n">
        <v>46143</v>
      </c>
      <c r="F1804" s="2" t="n">
        <v>9</v>
      </c>
      <c r="G1804" s="4" t="n">
        <v>79.99</v>
      </c>
      <c r="H1804" s="4" t="n">
        <v>40.07</v>
      </c>
      <c r="I1804" s="4" t="n">
        <f aca="false">F1804*G1804</f>
        <v>719.91</v>
      </c>
      <c r="J1804" s="4" t="n">
        <f aca="false">F1804*H1804</f>
        <v>360.63</v>
      </c>
      <c r="K1804" s="4" t="n">
        <f aca="false">I1804-J1804</f>
        <v>359.28</v>
      </c>
      <c r="L1804" s="5" t="n">
        <f aca="false">IFERROR(K1804/I1804,0)</f>
        <v>0.49906238279785</v>
      </c>
    </row>
    <row r="1805" customFormat="false" ht="15" hidden="false" customHeight="false" outlineLevel="0" collapsed="false">
      <c r="A1805" s="2" t="s">
        <v>12</v>
      </c>
      <c r="B1805" s="2" t="s">
        <v>13</v>
      </c>
      <c r="C1805" s="2" t="s">
        <v>14</v>
      </c>
      <c r="D1805" s="2" t="s">
        <v>18</v>
      </c>
      <c r="E1805" s="3" t="n">
        <v>46143</v>
      </c>
      <c r="F1805" s="2" t="n">
        <v>19</v>
      </c>
      <c r="G1805" s="4" t="n">
        <v>34.99</v>
      </c>
      <c r="H1805" s="4" t="n">
        <v>14.65</v>
      </c>
      <c r="I1805" s="4" t="n">
        <f aca="false">F1805*G1805</f>
        <v>664.81</v>
      </c>
      <c r="J1805" s="4" t="n">
        <f aca="false">F1805*H1805</f>
        <v>278.35</v>
      </c>
      <c r="K1805" s="4" t="n">
        <f aca="false">I1805-J1805</f>
        <v>386.46</v>
      </c>
      <c r="L1805" s="5" t="n">
        <f aca="false">IFERROR(K1805/I1805,0)</f>
        <v>0.581308945412975</v>
      </c>
    </row>
    <row r="1806" customFormat="false" ht="15" hidden="false" customHeight="false" outlineLevel="0" collapsed="false">
      <c r="A1806" s="2" t="s">
        <v>12</v>
      </c>
      <c r="B1806" s="2" t="s">
        <v>13</v>
      </c>
      <c r="C1806" s="2" t="s">
        <v>14</v>
      </c>
      <c r="D1806" s="2" t="s">
        <v>19</v>
      </c>
      <c r="E1806" s="3" t="n">
        <v>46143</v>
      </c>
      <c r="F1806" s="2" t="n">
        <v>15</v>
      </c>
      <c r="G1806" s="4" t="n">
        <v>54.99</v>
      </c>
      <c r="H1806" s="4" t="n">
        <v>24.18</v>
      </c>
      <c r="I1806" s="4" t="n">
        <f aca="false">F1806*G1806</f>
        <v>824.85</v>
      </c>
      <c r="J1806" s="4" t="n">
        <f aca="false">F1806*H1806</f>
        <v>362.7</v>
      </c>
      <c r="K1806" s="4" t="n">
        <f aca="false">I1806-J1806</f>
        <v>462.15</v>
      </c>
      <c r="L1806" s="5" t="n">
        <f aca="false">IFERROR(K1806/I1806,0)</f>
        <v>0.560283687943262</v>
      </c>
    </row>
    <row r="1807" customFormat="false" ht="15" hidden="false" customHeight="false" outlineLevel="0" collapsed="false">
      <c r="A1807" s="2" t="s">
        <v>12</v>
      </c>
      <c r="B1807" s="2" t="s">
        <v>13</v>
      </c>
      <c r="C1807" s="2" t="s">
        <v>20</v>
      </c>
      <c r="D1807" s="2" t="s">
        <v>21</v>
      </c>
      <c r="E1807" s="3" t="n">
        <v>46143</v>
      </c>
      <c r="F1807" s="2" t="n">
        <v>21</v>
      </c>
      <c r="G1807" s="4" t="n">
        <v>44.99</v>
      </c>
      <c r="H1807" s="4" t="n">
        <v>20.14</v>
      </c>
      <c r="I1807" s="4" t="n">
        <f aca="false">F1807*G1807</f>
        <v>944.79</v>
      </c>
      <c r="J1807" s="4" t="n">
        <f aca="false">F1807*H1807</f>
        <v>422.94</v>
      </c>
      <c r="K1807" s="4" t="n">
        <f aca="false">I1807-J1807</f>
        <v>521.85</v>
      </c>
      <c r="L1807" s="5" t="n">
        <f aca="false">IFERROR(K1807/I1807,0)</f>
        <v>0.5523449655479</v>
      </c>
    </row>
    <row r="1808" customFormat="false" ht="15" hidden="false" customHeight="false" outlineLevel="0" collapsed="false">
      <c r="A1808" s="2" t="s">
        <v>12</v>
      </c>
      <c r="B1808" s="2" t="s">
        <v>13</v>
      </c>
      <c r="C1808" s="2" t="s">
        <v>20</v>
      </c>
      <c r="D1808" s="2" t="s">
        <v>22</v>
      </c>
      <c r="E1808" s="3" t="n">
        <v>46143</v>
      </c>
      <c r="F1808" s="2" t="n">
        <v>15</v>
      </c>
      <c r="G1808" s="4" t="n">
        <v>14.99</v>
      </c>
      <c r="H1808" s="4" t="n">
        <v>5.67</v>
      </c>
      <c r="I1808" s="4" t="n">
        <f aca="false">F1808*G1808</f>
        <v>224.85</v>
      </c>
      <c r="J1808" s="4" t="n">
        <f aca="false">F1808*H1808</f>
        <v>85.05</v>
      </c>
      <c r="K1808" s="4" t="n">
        <f aca="false">I1808-J1808</f>
        <v>139.8</v>
      </c>
      <c r="L1808" s="5" t="n">
        <f aca="false">IFERROR(K1808/I1808,0)</f>
        <v>0.621747831887925</v>
      </c>
    </row>
    <row r="1809" customFormat="false" ht="15" hidden="false" customHeight="false" outlineLevel="0" collapsed="false">
      <c r="A1809" s="2" t="s">
        <v>12</v>
      </c>
      <c r="B1809" s="2" t="s">
        <v>13</v>
      </c>
      <c r="C1809" s="2" t="s">
        <v>20</v>
      </c>
      <c r="D1809" s="2" t="s">
        <v>23</v>
      </c>
      <c r="E1809" s="3" t="n">
        <v>46143</v>
      </c>
      <c r="F1809" s="2" t="n">
        <v>11</v>
      </c>
      <c r="G1809" s="4" t="n">
        <v>39.99</v>
      </c>
      <c r="H1809" s="4" t="n">
        <v>17.24</v>
      </c>
      <c r="I1809" s="4" t="n">
        <f aca="false">F1809*G1809</f>
        <v>439.89</v>
      </c>
      <c r="J1809" s="4" t="n">
        <f aca="false">F1809*H1809</f>
        <v>189.64</v>
      </c>
      <c r="K1809" s="4" t="n">
        <f aca="false">I1809-J1809</f>
        <v>250.25</v>
      </c>
      <c r="L1809" s="5" t="n">
        <f aca="false">IFERROR(K1809/I1809,0)</f>
        <v>0.568892223055764</v>
      </c>
    </row>
    <row r="1810" customFormat="false" ht="15" hidden="false" customHeight="false" outlineLevel="0" collapsed="false">
      <c r="A1810" s="2" t="s">
        <v>12</v>
      </c>
      <c r="B1810" s="2" t="s">
        <v>13</v>
      </c>
      <c r="C1810" s="2" t="s">
        <v>20</v>
      </c>
      <c r="D1810" s="2" t="s">
        <v>24</v>
      </c>
      <c r="E1810" s="3" t="n">
        <v>46143</v>
      </c>
      <c r="F1810" s="2" t="n">
        <v>11</v>
      </c>
      <c r="G1810" s="4" t="n">
        <v>18.99</v>
      </c>
      <c r="H1810" s="4" t="n">
        <v>7.75</v>
      </c>
      <c r="I1810" s="4" t="n">
        <f aca="false">F1810*G1810</f>
        <v>208.89</v>
      </c>
      <c r="J1810" s="4" t="n">
        <f aca="false">F1810*H1810</f>
        <v>85.25</v>
      </c>
      <c r="K1810" s="4" t="n">
        <f aca="false">I1810-J1810</f>
        <v>123.64</v>
      </c>
      <c r="L1810" s="5" t="n">
        <f aca="false">IFERROR(K1810/I1810,0)</f>
        <v>0.59189046866772</v>
      </c>
    </row>
    <row r="1811" customFormat="false" ht="15" hidden="false" customHeight="false" outlineLevel="0" collapsed="false">
      <c r="A1811" s="2" t="s">
        <v>12</v>
      </c>
      <c r="B1811" s="2" t="s">
        <v>13</v>
      </c>
      <c r="C1811" s="2" t="s">
        <v>20</v>
      </c>
      <c r="D1811" s="2" t="s">
        <v>25</v>
      </c>
      <c r="E1811" s="3" t="n">
        <v>46143</v>
      </c>
      <c r="F1811" s="2" t="n">
        <v>12</v>
      </c>
      <c r="G1811" s="4" t="n">
        <v>42.99</v>
      </c>
      <c r="H1811" s="4" t="n">
        <v>15.95</v>
      </c>
      <c r="I1811" s="4" t="n">
        <f aca="false">F1811*G1811</f>
        <v>515.88</v>
      </c>
      <c r="J1811" s="4" t="n">
        <f aca="false">F1811*H1811</f>
        <v>191.4</v>
      </c>
      <c r="K1811" s="4" t="n">
        <f aca="false">I1811-J1811</f>
        <v>324.48</v>
      </c>
      <c r="L1811" s="5" t="n">
        <f aca="false">IFERROR(K1811/I1811,0)</f>
        <v>0.628983484531286</v>
      </c>
    </row>
    <row r="1812" customFormat="false" ht="15" hidden="false" customHeight="false" outlineLevel="0" collapsed="false">
      <c r="A1812" s="2" t="s">
        <v>12</v>
      </c>
      <c r="B1812" s="2" t="s">
        <v>13</v>
      </c>
      <c r="C1812" s="2" t="s">
        <v>26</v>
      </c>
      <c r="D1812" s="2" t="s">
        <v>27</v>
      </c>
      <c r="E1812" s="3" t="n">
        <v>46143</v>
      </c>
      <c r="F1812" s="2" t="n">
        <v>17</v>
      </c>
      <c r="G1812" s="4" t="n">
        <v>44.99</v>
      </c>
      <c r="H1812" s="4" t="n">
        <v>27.95</v>
      </c>
      <c r="I1812" s="4" t="n">
        <f aca="false">F1812*G1812</f>
        <v>764.83</v>
      </c>
      <c r="J1812" s="4" t="n">
        <f aca="false">F1812*H1812</f>
        <v>475.15</v>
      </c>
      <c r="K1812" s="4" t="n">
        <f aca="false">I1812-J1812</f>
        <v>289.68</v>
      </c>
      <c r="L1812" s="5" t="n">
        <f aca="false">IFERROR(K1812/I1812,0)</f>
        <v>0.37875083351856</v>
      </c>
    </row>
    <row r="1813" customFormat="false" ht="15" hidden="false" customHeight="false" outlineLevel="0" collapsed="false">
      <c r="A1813" s="2" t="s">
        <v>12</v>
      </c>
      <c r="B1813" s="2" t="s">
        <v>13</v>
      </c>
      <c r="C1813" s="2" t="s">
        <v>26</v>
      </c>
      <c r="D1813" s="2" t="s">
        <v>28</v>
      </c>
      <c r="E1813" s="3" t="n">
        <v>46143</v>
      </c>
      <c r="F1813" s="2" t="n">
        <v>13</v>
      </c>
      <c r="G1813" s="4" t="n">
        <v>34.99</v>
      </c>
      <c r="H1813" s="4" t="n">
        <v>22.99</v>
      </c>
      <c r="I1813" s="4" t="n">
        <f aca="false">F1813*G1813</f>
        <v>454.87</v>
      </c>
      <c r="J1813" s="4" t="n">
        <f aca="false">F1813*H1813</f>
        <v>298.87</v>
      </c>
      <c r="K1813" s="4" t="n">
        <f aca="false">I1813-J1813</f>
        <v>156</v>
      </c>
      <c r="L1813" s="5" t="n">
        <f aca="false">IFERROR(K1813/I1813,0)</f>
        <v>0.342955130037153</v>
      </c>
    </row>
    <row r="1814" customFormat="false" ht="15" hidden="false" customHeight="false" outlineLevel="0" collapsed="false">
      <c r="A1814" s="2" t="s">
        <v>12</v>
      </c>
      <c r="B1814" s="2" t="s">
        <v>13</v>
      </c>
      <c r="C1814" s="2" t="s">
        <v>26</v>
      </c>
      <c r="D1814" s="2" t="s">
        <v>29</v>
      </c>
      <c r="E1814" s="3" t="n">
        <v>46143</v>
      </c>
      <c r="F1814" s="2" t="n">
        <v>15</v>
      </c>
      <c r="G1814" s="4" t="n">
        <v>119.99</v>
      </c>
      <c r="H1814" s="4" t="n">
        <v>82.13</v>
      </c>
      <c r="I1814" s="4" t="n">
        <f aca="false">F1814*G1814</f>
        <v>1799.85</v>
      </c>
      <c r="J1814" s="4" t="n">
        <f aca="false">F1814*H1814</f>
        <v>1231.95</v>
      </c>
      <c r="K1814" s="4" t="n">
        <f aca="false">I1814-J1814</f>
        <v>567.9</v>
      </c>
      <c r="L1814" s="5" t="n">
        <f aca="false">IFERROR(K1814/I1814,0)</f>
        <v>0.315526293857822</v>
      </c>
    </row>
    <row r="1815" customFormat="false" ht="15" hidden="false" customHeight="false" outlineLevel="0" collapsed="false">
      <c r="A1815" s="2" t="s">
        <v>12</v>
      </c>
      <c r="B1815" s="2" t="s">
        <v>13</v>
      </c>
      <c r="C1815" s="2" t="s">
        <v>26</v>
      </c>
      <c r="D1815" s="2" t="s">
        <v>30</v>
      </c>
      <c r="E1815" s="3" t="n">
        <v>46143</v>
      </c>
      <c r="F1815" s="2" t="n">
        <v>16</v>
      </c>
      <c r="G1815" s="4" t="n">
        <v>24.99</v>
      </c>
      <c r="H1815" s="4" t="n">
        <v>14.92</v>
      </c>
      <c r="I1815" s="4" t="n">
        <f aca="false">F1815*G1815</f>
        <v>399.84</v>
      </c>
      <c r="J1815" s="4" t="n">
        <f aca="false">F1815*H1815</f>
        <v>238.72</v>
      </c>
      <c r="K1815" s="4" t="n">
        <f aca="false">I1815-J1815</f>
        <v>161.12</v>
      </c>
      <c r="L1815" s="5" t="n">
        <f aca="false">IFERROR(K1815/I1815,0)</f>
        <v>0.40296118447379</v>
      </c>
    </row>
    <row r="1816" customFormat="false" ht="15" hidden="false" customHeight="false" outlineLevel="0" collapsed="false">
      <c r="A1816" s="2" t="s">
        <v>12</v>
      </c>
      <c r="B1816" s="2" t="s">
        <v>13</v>
      </c>
      <c r="C1816" s="2" t="s">
        <v>26</v>
      </c>
      <c r="D1816" s="2" t="s">
        <v>31</v>
      </c>
      <c r="E1816" s="3" t="n">
        <v>46143</v>
      </c>
      <c r="F1816" s="2" t="n">
        <v>18</v>
      </c>
      <c r="G1816" s="4" t="n">
        <v>59.99</v>
      </c>
      <c r="H1816" s="4" t="n">
        <v>38.28</v>
      </c>
      <c r="I1816" s="4" t="n">
        <f aca="false">F1816*G1816</f>
        <v>1079.82</v>
      </c>
      <c r="J1816" s="4" t="n">
        <f aca="false">F1816*H1816</f>
        <v>689.04</v>
      </c>
      <c r="K1816" s="4" t="n">
        <f aca="false">I1816-J1816</f>
        <v>390.78</v>
      </c>
      <c r="L1816" s="5" t="n">
        <f aca="false">IFERROR(K1816/I1816,0)</f>
        <v>0.36189364894149</v>
      </c>
    </row>
    <row r="1817" customFormat="false" ht="15" hidden="false" customHeight="false" outlineLevel="0" collapsed="false">
      <c r="A1817" s="2" t="s">
        <v>12</v>
      </c>
      <c r="B1817" s="2" t="s">
        <v>13</v>
      </c>
      <c r="C1817" s="2" t="s">
        <v>32</v>
      </c>
      <c r="D1817" s="2" t="s">
        <v>33</v>
      </c>
      <c r="E1817" s="3" t="n">
        <v>46143</v>
      </c>
      <c r="F1817" s="2" t="n">
        <v>12</v>
      </c>
      <c r="G1817" s="4" t="n">
        <v>49.99</v>
      </c>
      <c r="H1817" s="4" t="n">
        <v>36.86</v>
      </c>
      <c r="I1817" s="4" t="n">
        <f aca="false">F1817*G1817</f>
        <v>599.88</v>
      </c>
      <c r="J1817" s="4" t="n">
        <f aca="false">F1817*H1817</f>
        <v>442.32</v>
      </c>
      <c r="K1817" s="4" t="n">
        <f aca="false">I1817-J1817</f>
        <v>157.56</v>
      </c>
      <c r="L1817" s="5" t="n">
        <f aca="false">IFERROR(K1817/I1817,0)</f>
        <v>0.262652530506101</v>
      </c>
    </row>
    <row r="1818" customFormat="false" ht="15" hidden="false" customHeight="false" outlineLevel="0" collapsed="false">
      <c r="A1818" s="2" t="s">
        <v>12</v>
      </c>
      <c r="B1818" s="2" t="s">
        <v>13</v>
      </c>
      <c r="C1818" s="2" t="s">
        <v>32</v>
      </c>
      <c r="D1818" s="2" t="s">
        <v>34</v>
      </c>
      <c r="E1818" s="3" t="n">
        <v>46143</v>
      </c>
      <c r="F1818" s="2" t="n">
        <v>14</v>
      </c>
      <c r="G1818" s="4" t="n">
        <v>27.99</v>
      </c>
      <c r="H1818" s="4" t="n">
        <v>20.3</v>
      </c>
      <c r="I1818" s="4" t="n">
        <f aca="false">F1818*G1818</f>
        <v>391.86</v>
      </c>
      <c r="J1818" s="4" t="n">
        <f aca="false">F1818*H1818</f>
        <v>284.2</v>
      </c>
      <c r="K1818" s="4" t="n">
        <f aca="false">I1818-J1818</f>
        <v>107.66</v>
      </c>
      <c r="L1818" s="5" t="n">
        <f aca="false">IFERROR(K1818/I1818,0)</f>
        <v>0.274740978921043</v>
      </c>
    </row>
    <row r="1819" customFormat="false" ht="15" hidden="false" customHeight="false" outlineLevel="0" collapsed="false">
      <c r="A1819" s="2" t="s">
        <v>12</v>
      </c>
      <c r="B1819" s="2" t="s">
        <v>13</v>
      </c>
      <c r="C1819" s="2" t="s">
        <v>32</v>
      </c>
      <c r="D1819" s="2" t="s">
        <v>35</v>
      </c>
      <c r="E1819" s="3" t="n">
        <v>46143</v>
      </c>
      <c r="F1819" s="2" t="n">
        <v>3</v>
      </c>
      <c r="G1819" s="4" t="n">
        <v>64.99</v>
      </c>
      <c r="H1819" s="4" t="n">
        <v>46.19</v>
      </c>
      <c r="I1819" s="4" t="n">
        <f aca="false">F1819*G1819</f>
        <v>194.97</v>
      </c>
      <c r="J1819" s="4" t="n">
        <f aca="false">F1819*H1819</f>
        <v>138.57</v>
      </c>
      <c r="K1819" s="4" t="n">
        <f aca="false">I1819-J1819</f>
        <v>56.4</v>
      </c>
      <c r="L1819" s="5" t="n">
        <f aca="false">IFERROR(K1819/I1819,0)</f>
        <v>0.289275273118941</v>
      </c>
    </row>
    <row r="1820" customFormat="false" ht="15" hidden="false" customHeight="false" outlineLevel="0" collapsed="false">
      <c r="A1820" s="2" t="s">
        <v>12</v>
      </c>
      <c r="B1820" s="2" t="s">
        <v>13</v>
      </c>
      <c r="C1820" s="2" t="s">
        <v>32</v>
      </c>
      <c r="D1820" s="2" t="s">
        <v>36</v>
      </c>
      <c r="E1820" s="3" t="n">
        <v>46143</v>
      </c>
      <c r="F1820" s="2" t="n">
        <v>14</v>
      </c>
      <c r="G1820" s="4" t="n">
        <v>22.99</v>
      </c>
      <c r="H1820" s="4" t="n">
        <v>17.22</v>
      </c>
      <c r="I1820" s="4" t="n">
        <f aca="false">F1820*G1820</f>
        <v>321.86</v>
      </c>
      <c r="J1820" s="4" t="n">
        <f aca="false">F1820*H1820</f>
        <v>241.08</v>
      </c>
      <c r="K1820" s="4" t="n">
        <f aca="false">I1820-J1820</f>
        <v>80.78</v>
      </c>
      <c r="L1820" s="5" t="n">
        <f aca="false">IFERROR(K1820/I1820,0)</f>
        <v>0.250978686385385</v>
      </c>
    </row>
    <row r="1821" customFormat="false" ht="15" hidden="false" customHeight="false" outlineLevel="0" collapsed="false">
      <c r="A1821" s="2" t="s">
        <v>12</v>
      </c>
      <c r="B1821" s="2" t="s">
        <v>13</v>
      </c>
      <c r="C1821" s="2" t="s">
        <v>32</v>
      </c>
      <c r="D1821" s="2" t="s">
        <v>37</v>
      </c>
      <c r="E1821" s="3" t="n">
        <v>46143</v>
      </c>
      <c r="F1821" s="2" t="n">
        <v>8</v>
      </c>
      <c r="G1821" s="4" t="n">
        <v>29.99</v>
      </c>
      <c r="H1821" s="4" t="n">
        <v>20.53</v>
      </c>
      <c r="I1821" s="4" t="n">
        <f aca="false">F1821*G1821</f>
        <v>239.92</v>
      </c>
      <c r="J1821" s="4" t="n">
        <f aca="false">F1821*H1821</f>
        <v>164.24</v>
      </c>
      <c r="K1821" s="4" t="n">
        <f aca="false">I1821-J1821</f>
        <v>75.68</v>
      </c>
      <c r="L1821" s="5" t="n">
        <f aca="false">IFERROR(K1821/I1821,0)</f>
        <v>0.315438479493164</v>
      </c>
    </row>
    <row r="1822" customFormat="false" ht="15" hidden="false" customHeight="false" outlineLevel="0" collapsed="false">
      <c r="A1822" s="2" t="s">
        <v>12</v>
      </c>
      <c r="B1822" s="2" t="s">
        <v>13</v>
      </c>
      <c r="C1822" s="2" t="s">
        <v>38</v>
      </c>
      <c r="D1822" s="2" t="s">
        <v>39</v>
      </c>
      <c r="E1822" s="3" t="n">
        <v>46143</v>
      </c>
      <c r="F1822" s="2" t="n">
        <v>8</v>
      </c>
      <c r="G1822" s="4" t="n">
        <v>129.99</v>
      </c>
      <c r="H1822" s="4" t="n">
        <v>75.05</v>
      </c>
      <c r="I1822" s="4" t="n">
        <f aca="false">F1822*G1822</f>
        <v>1039.92</v>
      </c>
      <c r="J1822" s="4" t="n">
        <f aca="false">F1822*H1822</f>
        <v>600.4</v>
      </c>
      <c r="K1822" s="4" t="n">
        <f aca="false">I1822-J1822</f>
        <v>439.52</v>
      </c>
      <c r="L1822" s="5" t="n">
        <f aca="false">IFERROR(K1822/I1822,0)</f>
        <v>0.422647895991999</v>
      </c>
    </row>
    <row r="1823" customFormat="false" ht="15" hidden="false" customHeight="false" outlineLevel="0" collapsed="false">
      <c r="A1823" s="2" t="s">
        <v>12</v>
      </c>
      <c r="B1823" s="2" t="s">
        <v>13</v>
      </c>
      <c r="C1823" s="2" t="s">
        <v>38</v>
      </c>
      <c r="D1823" s="2" t="s">
        <v>40</v>
      </c>
      <c r="E1823" s="3" t="n">
        <v>46143</v>
      </c>
      <c r="F1823" s="2" t="n">
        <v>19</v>
      </c>
      <c r="G1823" s="4" t="n">
        <v>74.99</v>
      </c>
      <c r="H1823" s="4" t="n">
        <v>41.74</v>
      </c>
      <c r="I1823" s="4" t="n">
        <f aca="false">F1823*G1823</f>
        <v>1424.81</v>
      </c>
      <c r="J1823" s="4" t="n">
        <f aca="false">F1823*H1823</f>
        <v>793.06</v>
      </c>
      <c r="K1823" s="4" t="n">
        <f aca="false">I1823-J1823</f>
        <v>631.75</v>
      </c>
      <c r="L1823" s="5" t="n">
        <f aca="false">IFERROR(K1823/I1823,0)</f>
        <v>0.443392452326977</v>
      </c>
    </row>
    <row r="1824" customFormat="false" ht="15" hidden="false" customHeight="false" outlineLevel="0" collapsed="false">
      <c r="A1824" s="2" t="s">
        <v>12</v>
      </c>
      <c r="B1824" s="2" t="s">
        <v>13</v>
      </c>
      <c r="C1824" s="2" t="s">
        <v>38</v>
      </c>
      <c r="D1824" s="2" t="s">
        <v>41</v>
      </c>
      <c r="E1824" s="3" t="n">
        <v>46143</v>
      </c>
      <c r="F1824" s="2" t="n">
        <v>20</v>
      </c>
      <c r="G1824" s="4" t="n">
        <v>19.99</v>
      </c>
      <c r="H1824" s="4" t="n">
        <v>9.65</v>
      </c>
      <c r="I1824" s="4" t="n">
        <f aca="false">F1824*G1824</f>
        <v>399.8</v>
      </c>
      <c r="J1824" s="4" t="n">
        <f aca="false">F1824*H1824</f>
        <v>193</v>
      </c>
      <c r="K1824" s="4" t="n">
        <f aca="false">I1824-J1824</f>
        <v>206.8</v>
      </c>
      <c r="L1824" s="5" t="n">
        <f aca="false">IFERROR(K1824/I1824,0)</f>
        <v>0.517258629314657</v>
      </c>
    </row>
    <row r="1825" customFormat="false" ht="15" hidden="false" customHeight="false" outlineLevel="0" collapsed="false">
      <c r="A1825" s="2" t="s">
        <v>12</v>
      </c>
      <c r="B1825" s="2" t="s">
        <v>13</v>
      </c>
      <c r="C1825" s="2" t="s">
        <v>38</v>
      </c>
      <c r="D1825" s="2" t="s">
        <v>42</v>
      </c>
      <c r="E1825" s="3" t="n">
        <v>46143</v>
      </c>
      <c r="F1825" s="2" t="n">
        <v>13</v>
      </c>
      <c r="G1825" s="4" t="n">
        <v>16.99</v>
      </c>
      <c r="H1825" s="4" t="n">
        <v>8.37</v>
      </c>
      <c r="I1825" s="4" t="n">
        <f aca="false">F1825*G1825</f>
        <v>220.87</v>
      </c>
      <c r="J1825" s="4" t="n">
        <f aca="false">F1825*H1825</f>
        <v>108.81</v>
      </c>
      <c r="K1825" s="4" t="n">
        <f aca="false">I1825-J1825</f>
        <v>112.06</v>
      </c>
      <c r="L1825" s="5" t="n">
        <f aca="false">IFERROR(K1825/I1825,0)</f>
        <v>0.507357268981754</v>
      </c>
    </row>
    <row r="1826" customFormat="false" ht="15" hidden="false" customHeight="false" outlineLevel="0" collapsed="false">
      <c r="A1826" s="2" t="s">
        <v>12</v>
      </c>
      <c r="B1826" s="2" t="s">
        <v>13</v>
      </c>
      <c r="C1826" s="2" t="s">
        <v>38</v>
      </c>
      <c r="D1826" s="2" t="s">
        <v>43</v>
      </c>
      <c r="E1826" s="3" t="n">
        <v>46143</v>
      </c>
      <c r="F1826" s="2" t="n">
        <v>14</v>
      </c>
      <c r="G1826" s="4" t="n">
        <v>24.99</v>
      </c>
      <c r="H1826" s="4" t="n">
        <v>12.86</v>
      </c>
      <c r="I1826" s="4" t="n">
        <f aca="false">F1826*G1826</f>
        <v>349.86</v>
      </c>
      <c r="J1826" s="4" t="n">
        <f aca="false">F1826*H1826</f>
        <v>180.04</v>
      </c>
      <c r="K1826" s="4" t="n">
        <f aca="false">I1826-J1826</f>
        <v>169.82</v>
      </c>
      <c r="L1826" s="5" t="n">
        <f aca="false">IFERROR(K1826/I1826,0)</f>
        <v>0.485394157663065</v>
      </c>
    </row>
    <row r="1827" customFormat="false" ht="15" hidden="false" customHeight="false" outlineLevel="0" collapsed="false">
      <c r="A1827" s="2" t="s">
        <v>44</v>
      </c>
      <c r="B1827" s="2" t="s">
        <v>45</v>
      </c>
      <c r="C1827" s="2" t="s">
        <v>14</v>
      </c>
      <c r="D1827" s="2" t="s">
        <v>15</v>
      </c>
      <c r="E1827" s="3" t="n">
        <v>46143</v>
      </c>
      <c r="F1827" s="2" t="n">
        <v>7</v>
      </c>
      <c r="G1827" s="4" t="n">
        <v>69.99</v>
      </c>
      <c r="H1827" s="4" t="n">
        <v>32.68</v>
      </c>
      <c r="I1827" s="4" t="n">
        <f aca="false">F1827*G1827</f>
        <v>489.93</v>
      </c>
      <c r="J1827" s="4" t="n">
        <f aca="false">F1827*H1827</f>
        <v>228.76</v>
      </c>
      <c r="K1827" s="4" t="n">
        <f aca="false">I1827-J1827</f>
        <v>261.17</v>
      </c>
      <c r="L1827" s="5" t="n">
        <f aca="false">IFERROR(K1827/I1827,0)</f>
        <v>0.533076153736248</v>
      </c>
    </row>
    <row r="1828" customFormat="false" ht="15" hidden="false" customHeight="false" outlineLevel="0" collapsed="false">
      <c r="A1828" s="2" t="s">
        <v>44</v>
      </c>
      <c r="B1828" s="2" t="s">
        <v>45</v>
      </c>
      <c r="C1828" s="2" t="s">
        <v>14</v>
      </c>
      <c r="D1828" s="2" t="s">
        <v>16</v>
      </c>
      <c r="E1828" s="3" t="n">
        <v>46143</v>
      </c>
      <c r="F1828" s="2" t="n">
        <v>11</v>
      </c>
      <c r="G1828" s="4" t="n">
        <v>19.99</v>
      </c>
      <c r="H1828" s="4" t="n">
        <v>8.76</v>
      </c>
      <c r="I1828" s="4" t="n">
        <f aca="false">F1828*G1828</f>
        <v>219.89</v>
      </c>
      <c r="J1828" s="4" t="n">
        <f aca="false">F1828*H1828</f>
        <v>96.36</v>
      </c>
      <c r="K1828" s="4" t="n">
        <f aca="false">I1828-J1828</f>
        <v>123.53</v>
      </c>
      <c r="L1828" s="5" t="n">
        <f aca="false">IFERROR(K1828/I1828,0)</f>
        <v>0.561780890445223</v>
      </c>
    </row>
    <row r="1829" customFormat="false" ht="15" hidden="false" customHeight="false" outlineLevel="0" collapsed="false">
      <c r="A1829" s="2" t="s">
        <v>44</v>
      </c>
      <c r="B1829" s="2" t="s">
        <v>45</v>
      </c>
      <c r="C1829" s="2" t="s">
        <v>14</v>
      </c>
      <c r="D1829" s="2" t="s">
        <v>17</v>
      </c>
      <c r="E1829" s="3" t="n">
        <v>46143</v>
      </c>
      <c r="F1829" s="2" t="n">
        <v>18</v>
      </c>
      <c r="G1829" s="4" t="n">
        <v>79.99</v>
      </c>
      <c r="H1829" s="4" t="n">
        <v>38.84</v>
      </c>
      <c r="I1829" s="4" t="n">
        <f aca="false">F1829*G1829</f>
        <v>1439.82</v>
      </c>
      <c r="J1829" s="4" t="n">
        <f aca="false">F1829*H1829</f>
        <v>699.12</v>
      </c>
      <c r="K1829" s="4" t="n">
        <f aca="false">I1829-J1829</f>
        <v>740.7</v>
      </c>
      <c r="L1829" s="5" t="n">
        <f aca="false">IFERROR(K1829/I1829,0)</f>
        <v>0.514439304913114</v>
      </c>
    </row>
    <row r="1830" customFormat="false" ht="15" hidden="false" customHeight="false" outlineLevel="0" collapsed="false">
      <c r="A1830" s="2" t="s">
        <v>44</v>
      </c>
      <c r="B1830" s="2" t="s">
        <v>45</v>
      </c>
      <c r="C1830" s="2" t="s">
        <v>14</v>
      </c>
      <c r="D1830" s="2" t="s">
        <v>18</v>
      </c>
      <c r="E1830" s="3" t="n">
        <v>46143</v>
      </c>
      <c r="F1830" s="2" t="n">
        <v>22</v>
      </c>
      <c r="G1830" s="4" t="n">
        <v>34.99</v>
      </c>
      <c r="H1830" s="4" t="n">
        <v>14.84</v>
      </c>
      <c r="I1830" s="4" t="n">
        <f aca="false">F1830*G1830</f>
        <v>769.78</v>
      </c>
      <c r="J1830" s="4" t="n">
        <f aca="false">F1830*H1830</f>
        <v>326.48</v>
      </c>
      <c r="K1830" s="4" t="n">
        <f aca="false">I1830-J1830</f>
        <v>443.3</v>
      </c>
      <c r="L1830" s="5" t="n">
        <f aca="false">IFERROR(K1830/I1830,0)</f>
        <v>0.57587882252072</v>
      </c>
    </row>
    <row r="1831" customFormat="false" ht="15" hidden="false" customHeight="false" outlineLevel="0" collapsed="false">
      <c r="A1831" s="2" t="s">
        <v>44</v>
      </c>
      <c r="B1831" s="2" t="s">
        <v>45</v>
      </c>
      <c r="C1831" s="2" t="s">
        <v>14</v>
      </c>
      <c r="D1831" s="2" t="s">
        <v>19</v>
      </c>
      <c r="E1831" s="3" t="n">
        <v>46143</v>
      </c>
      <c r="F1831" s="2" t="n">
        <v>16</v>
      </c>
      <c r="G1831" s="4" t="n">
        <v>54.99</v>
      </c>
      <c r="H1831" s="4" t="n">
        <v>24.84</v>
      </c>
      <c r="I1831" s="4" t="n">
        <f aca="false">F1831*G1831</f>
        <v>879.84</v>
      </c>
      <c r="J1831" s="4" t="n">
        <f aca="false">F1831*H1831</f>
        <v>397.44</v>
      </c>
      <c r="K1831" s="4" t="n">
        <f aca="false">I1831-J1831</f>
        <v>482.4</v>
      </c>
      <c r="L1831" s="5" t="n">
        <f aca="false">IFERROR(K1831/I1831,0)</f>
        <v>0.548281505728314</v>
      </c>
    </row>
    <row r="1832" customFormat="false" ht="15" hidden="false" customHeight="false" outlineLevel="0" collapsed="false">
      <c r="A1832" s="2" t="s">
        <v>44</v>
      </c>
      <c r="B1832" s="2" t="s">
        <v>45</v>
      </c>
      <c r="C1832" s="2" t="s">
        <v>20</v>
      </c>
      <c r="D1832" s="2" t="s">
        <v>21</v>
      </c>
      <c r="E1832" s="3" t="n">
        <v>46143</v>
      </c>
      <c r="F1832" s="2" t="n">
        <v>18</v>
      </c>
      <c r="G1832" s="4" t="n">
        <v>44.99</v>
      </c>
      <c r="H1832" s="4" t="n">
        <v>19.7</v>
      </c>
      <c r="I1832" s="4" t="n">
        <f aca="false">F1832*G1832</f>
        <v>809.82</v>
      </c>
      <c r="J1832" s="4" t="n">
        <f aca="false">F1832*H1832</f>
        <v>354.6</v>
      </c>
      <c r="K1832" s="4" t="n">
        <f aca="false">I1832-J1832</f>
        <v>455.22</v>
      </c>
      <c r="L1832" s="5" t="n">
        <f aca="false">IFERROR(K1832/I1832,0)</f>
        <v>0.562124916648144</v>
      </c>
    </row>
    <row r="1833" customFormat="false" ht="15" hidden="false" customHeight="false" outlineLevel="0" collapsed="false">
      <c r="A1833" s="2" t="s">
        <v>44</v>
      </c>
      <c r="B1833" s="2" t="s">
        <v>45</v>
      </c>
      <c r="C1833" s="2" t="s">
        <v>20</v>
      </c>
      <c r="D1833" s="2" t="s">
        <v>22</v>
      </c>
      <c r="E1833" s="3" t="n">
        <v>46143</v>
      </c>
      <c r="F1833" s="2" t="n">
        <v>12</v>
      </c>
      <c r="G1833" s="4" t="n">
        <v>14.99</v>
      </c>
      <c r="H1833" s="4" t="n">
        <v>5.6</v>
      </c>
      <c r="I1833" s="4" t="n">
        <f aca="false">F1833*G1833</f>
        <v>179.88</v>
      </c>
      <c r="J1833" s="4" t="n">
        <f aca="false">F1833*H1833</f>
        <v>67.2</v>
      </c>
      <c r="K1833" s="4" t="n">
        <f aca="false">I1833-J1833</f>
        <v>112.68</v>
      </c>
      <c r="L1833" s="5" t="n">
        <f aca="false">IFERROR(K1833/I1833,0)</f>
        <v>0.626417611741161</v>
      </c>
    </row>
    <row r="1834" customFormat="false" ht="15" hidden="false" customHeight="false" outlineLevel="0" collapsed="false">
      <c r="A1834" s="2" t="s">
        <v>44</v>
      </c>
      <c r="B1834" s="2" t="s">
        <v>45</v>
      </c>
      <c r="C1834" s="2" t="s">
        <v>20</v>
      </c>
      <c r="D1834" s="2" t="s">
        <v>23</v>
      </c>
      <c r="E1834" s="3" t="n">
        <v>46143</v>
      </c>
      <c r="F1834" s="2" t="n">
        <v>7</v>
      </c>
      <c r="G1834" s="4" t="n">
        <v>39.99</v>
      </c>
      <c r="H1834" s="4" t="n">
        <v>16.44</v>
      </c>
      <c r="I1834" s="4" t="n">
        <f aca="false">F1834*G1834</f>
        <v>279.93</v>
      </c>
      <c r="J1834" s="4" t="n">
        <f aca="false">F1834*H1834</f>
        <v>115.08</v>
      </c>
      <c r="K1834" s="4" t="n">
        <f aca="false">I1834-J1834</f>
        <v>164.85</v>
      </c>
      <c r="L1834" s="5" t="n">
        <f aca="false">IFERROR(K1834/I1834,0)</f>
        <v>0.588897224306077</v>
      </c>
    </row>
    <row r="1835" customFormat="false" ht="15" hidden="false" customHeight="false" outlineLevel="0" collapsed="false">
      <c r="A1835" s="2" t="s">
        <v>44</v>
      </c>
      <c r="B1835" s="2" t="s">
        <v>45</v>
      </c>
      <c r="C1835" s="2" t="s">
        <v>20</v>
      </c>
      <c r="D1835" s="2" t="s">
        <v>24</v>
      </c>
      <c r="E1835" s="3" t="n">
        <v>46143</v>
      </c>
      <c r="F1835" s="2" t="n">
        <v>32</v>
      </c>
      <c r="G1835" s="4" t="n">
        <v>18.99</v>
      </c>
      <c r="H1835" s="4" t="n">
        <v>7.67</v>
      </c>
      <c r="I1835" s="4" t="n">
        <f aca="false">F1835*G1835</f>
        <v>607.68</v>
      </c>
      <c r="J1835" s="4" t="n">
        <f aca="false">F1835*H1835</f>
        <v>245.44</v>
      </c>
      <c r="K1835" s="4" t="n">
        <f aca="false">I1835-J1835</f>
        <v>362.24</v>
      </c>
      <c r="L1835" s="5" t="n">
        <f aca="false">IFERROR(K1835/I1835,0)</f>
        <v>0.596103212216956</v>
      </c>
    </row>
    <row r="1836" customFormat="false" ht="15" hidden="false" customHeight="false" outlineLevel="0" collapsed="false">
      <c r="A1836" s="2" t="s">
        <v>44</v>
      </c>
      <c r="B1836" s="2" t="s">
        <v>45</v>
      </c>
      <c r="C1836" s="2" t="s">
        <v>20</v>
      </c>
      <c r="D1836" s="2" t="s">
        <v>25</v>
      </c>
      <c r="E1836" s="3" t="n">
        <v>46143</v>
      </c>
      <c r="F1836" s="2" t="n">
        <v>17</v>
      </c>
      <c r="G1836" s="4" t="n">
        <v>42.99</v>
      </c>
      <c r="H1836" s="4" t="n">
        <v>15.86</v>
      </c>
      <c r="I1836" s="4" t="n">
        <f aca="false">F1836*G1836</f>
        <v>730.83</v>
      </c>
      <c r="J1836" s="4" t="n">
        <f aca="false">F1836*H1836</f>
        <v>269.62</v>
      </c>
      <c r="K1836" s="4" t="n">
        <f aca="false">I1836-J1836</f>
        <v>461.21</v>
      </c>
      <c r="L1836" s="5" t="n">
        <f aca="false">IFERROR(K1836/I1836,0)</f>
        <v>0.631076994649919</v>
      </c>
    </row>
    <row r="1837" customFormat="false" ht="15" hidden="false" customHeight="false" outlineLevel="0" collapsed="false">
      <c r="A1837" s="2" t="s">
        <v>44</v>
      </c>
      <c r="B1837" s="2" t="s">
        <v>45</v>
      </c>
      <c r="C1837" s="2" t="s">
        <v>26</v>
      </c>
      <c r="D1837" s="2" t="s">
        <v>27</v>
      </c>
      <c r="E1837" s="3" t="n">
        <v>46143</v>
      </c>
      <c r="F1837" s="2" t="n">
        <v>18</v>
      </c>
      <c r="G1837" s="4" t="n">
        <v>44.99</v>
      </c>
      <c r="H1837" s="4" t="n">
        <v>27.14</v>
      </c>
      <c r="I1837" s="4" t="n">
        <f aca="false">F1837*G1837</f>
        <v>809.82</v>
      </c>
      <c r="J1837" s="4" t="n">
        <f aca="false">F1837*H1837</f>
        <v>488.52</v>
      </c>
      <c r="K1837" s="4" t="n">
        <f aca="false">I1837-J1837</f>
        <v>321.3</v>
      </c>
      <c r="L1837" s="5" t="n">
        <f aca="false">IFERROR(K1837/I1837,0)</f>
        <v>0.396754834407646</v>
      </c>
    </row>
    <row r="1838" customFormat="false" ht="15" hidden="false" customHeight="false" outlineLevel="0" collapsed="false">
      <c r="A1838" s="2" t="s">
        <v>44</v>
      </c>
      <c r="B1838" s="2" t="s">
        <v>45</v>
      </c>
      <c r="C1838" s="2" t="s">
        <v>26</v>
      </c>
      <c r="D1838" s="2" t="s">
        <v>28</v>
      </c>
      <c r="E1838" s="3" t="n">
        <v>46143</v>
      </c>
      <c r="F1838" s="2" t="n">
        <v>17</v>
      </c>
      <c r="G1838" s="4" t="n">
        <v>34.99</v>
      </c>
      <c r="H1838" s="4" t="n">
        <v>21.91</v>
      </c>
      <c r="I1838" s="4" t="n">
        <f aca="false">F1838*G1838</f>
        <v>594.83</v>
      </c>
      <c r="J1838" s="4" t="n">
        <f aca="false">F1838*H1838</f>
        <v>372.47</v>
      </c>
      <c r="K1838" s="4" t="n">
        <f aca="false">I1838-J1838</f>
        <v>222.36</v>
      </c>
      <c r="L1838" s="5" t="n">
        <f aca="false">IFERROR(K1838/I1838,0)</f>
        <v>0.373821091740497</v>
      </c>
    </row>
    <row r="1839" customFormat="false" ht="15" hidden="false" customHeight="false" outlineLevel="0" collapsed="false">
      <c r="A1839" s="2" t="s">
        <v>44</v>
      </c>
      <c r="B1839" s="2" t="s">
        <v>45</v>
      </c>
      <c r="C1839" s="2" t="s">
        <v>26</v>
      </c>
      <c r="D1839" s="2" t="s">
        <v>29</v>
      </c>
      <c r="E1839" s="3" t="n">
        <v>46143</v>
      </c>
      <c r="F1839" s="2" t="n">
        <v>15</v>
      </c>
      <c r="G1839" s="4" t="n">
        <v>119.99</v>
      </c>
      <c r="H1839" s="4" t="n">
        <v>80.98</v>
      </c>
      <c r="I1839" s="4" t="n">
        <f aca="false">F1839*G1839</f>
        <v>1799.85</v>
      </c>
      <c r="J1839" s="4" t="n">
        <f aca="false">F1839*H1839</f>
        <v>1214.7</v>
      </c>
      <c r="K1839" s="4" t="n">
        <f aca="false">I1839-J1839</f>
        <v>585.15</v>
      </c>
      <c r="L1839" s="5" t="n">
        <f aca="false">IFERROR(K1839/I1839,0)</f>
        <v>0.325110425868822</v>
      </c>
    </row>
    <row r="1840" customFormat="false" ht="15" hidden="false" customHeight="false" outlineLevel="0" collapsed="false">
      <c r="A1840" s="2" t="s">
        <v>44</v>
      </c>
      <c r="B1840" s="2" t="s">
        <v>45</v>
      </c>
      <c r="C1840" s="2" t="s">
        <v>26</v>
      </c>
      <c r="D1840" s="2" t="s">
        <v>30</v>
      </c>
      <c r="E1840" s="3" t="n">
        <v>46143</v>
      </c>
      <c r="F1840" s="2" t="n">
        <v>15</v>
      </c>
      <c r="G1840" s="4" t="n">
        <v>24.99</v>
      </c>
      <c r="H1840" s="4" t="n">
        <v>14.6</v>
      </c>
      <c r="I1840" s="4" t="n">
        <f aca="false">F1840*G1840</f>
        <v>374.85</v>
      </c>
      <c r="J1840" s="4" t="n">
        <f aca="false">F1840*H1840</f>
        <v>219</v>
      </c>
      <c r="K1840" s="4" t="n">
        <f aca="false">I1840-J1840</f>
        <v>155.85</v>
      </c>
      <c r="L1840" s="5" t="n">
        <f aca="false">IFERROR(K1840/I1840,0)</f>
        <v>0.415766306522609</v>
      </c>
    </row>
    <row r="1841" customFormat="false" ht="15" hidden="false" customHeight="false" outlineLevel="0" collapsed="false">
      <c r="A1841" s="2" t="s">
        <v>44</v>
      </c>
      <c r="B1841" s="2" t="s">
        <v>45</v>
      </c>
      <c r="C1841" s="2" t="s">
        <v>26</v>
      </c>
      <c r="D1841" s="2" t="s">
        <v>31</v>
      </c>
      <c r="E1841" s="3" t="n">
        <v>46143</v>
      </c>
      <c r="F1841" s="2" t="n">
        <v>12</v>
      </c>
      <c r="G1841" s="4" t="n">
        <v>59.99</v>
      </c>
      <c r="H1841" s="4" t="n">
        <v>38.01</v>
      </c>
      <c r="I1841" s="4" t="n">
        <f aca="false">F1841*G1841</f>
        <v>719.88</v>
      </c>
      <c r="J1841" s="4" t="n">
        <f aca="false">F1841*H1841</f>
        <v>456.12</v>
      </c>
      <c r="K1841" s="4" t="n">
        <f aca="false">I1841-J1841</f>
        <v>263.76</v>
      </c>
      <c r="L1841" s="5" t="n">
        <f aca="false">IFERROR(K1841/I1841,0)</f>
        <v>0.366394399066511</v>
      </c>
    </row>
    <row r="1842" customFormat="false" ht="15" hidden="false" customHeight="false" outlineLevel="0" collapsed="false">
      <c r="A1842" s="2" t="s">
        <v>44</v>
      </c>
      <c r="B1842" s="2" t="s">
        <v>45</v>
      </c>
      <c r="C1842" s="2" t="s">
        <v>32</v>
      </c>
      <c r="D1842" s="2" t="s">
        <v>33</v>
      </c>
      <c r="E1842" s="3" t="n">
        <v>46143</v>
      </c>
      <c r="F1842" s="2" t="n">
        <v>15</v>
      </c>
      <c r="G1842" s="4" t="n">
        <v>49.99</v>
      </c>
      <c r="H1842" s="4" t="n">
        <v>35.62</v>
      </c>
      <c r="I1842" s="4" t="n">
        <f aca="false">F1842*G1842</f>
        <v>749.85</v>
      </c>
      <c r="J1842" s="4" t="n">
        <f aca="false">F1842*H1842</f>
        <v>534.3</v>
      </c>
      <c r="K1842" s="4" t="n">
        <f aca="false">I1842-J1842</f>
        <v>215.55</v>
      </c>
      <c r="L1842" s="5" t="n">
        <f aca="false">IFERROR(K1842/I1842,0)</f>
        <v>0.2874574914983</v>
      </c>
    </row>
    <row r="1843" customFormat="false" ht="15" hidden="false" customHeight="false" outlineLevel="0" collapsed="false">
      <c r="A1843" s="2" t="s">
        <v>44</v>
      </c>
      <c r="B1843" s="2" t="s">
        <v>45</v>
      </c>
      <c r="C1843" s="2" t="s">
        <v>32</v>
      </c>
      <c r="D1843" s="2" t="s">
        <v>34</v>
      </c>
      <c r="E1843" s="3" t="n">
        <v>46143</v>
      </c>
      <c r="F1843" s="2" t="n">
        <v>13</v>
      </c>
      <c r="G1843" s="4" t="n">
        <v>27.99</v>
      </c>
      <c r="H1843" s="4" t="n">
        <v>19.61</v>
      </c>
      <c r="I1843" s="4" t="n">
        <f aca="false">F1843*G1843</f>
        <v>363.87</v>
      </c>
      <c r="J1843" s="4" t="n">
        <f aca="false">F1843*H1843</f>
        <v>254.93</v>
      </c>
      <c r="K1843" s="4" t="n">
        <f aca="false">I1843-J1843</f>
        <v>108.94</v>
      </c>
      <c r="L1843" s="5" t="n">
        <f aca="false">IFERROR(K1843/I1843,0)</f>
        <v>0.299392640228653</v>
      </c>
    </row>
    <row r="1844" customFormat="false" ht="15" hidden="false" customHeight="false" outlineLevel="0" collapsed="false">
      <c r="A1844" s="2" t="s">
        <v>44</v>
      </c>
      <c r="B1844" s="2" t="s">
        <v>45</v>
      </c>
      <c r="C1844" s="2" t="s">
        <v>32</v>
      </c>
      <c r="D1844" s="2" t="s">
        <v>35</v>
      </c>
      <c r="E1844" s="3" t="n">
        <v>46143</v>
      </c>
      <c r="F1844" s="2" t="n">
        <v>13</v>
      </c>
      <c r="G1844" s="4" t="n">
        <v>64.99</v>
      </c>
      <c r="H1844" s="4" t="n">
        <v>46.49</v>
      </c>
      <c r="I1844" s="4" t="n">
        <f aca="false">F1844*G1844</f>
        <v>844.87</v>
      </c>
      <c r="J1844" s="4" t="n">
        <f aca="false">F1844*H1844</f>
        <v>604.37</v>
      </c>
      <c r="K1844" s="4" t="n">
        <f aca="false">I1844-J1844</f>
        <v>240.5</v>
      </c>
      <c r="L1844" s="5" t="n">
        <f aca="false">IFERROR(K1844/I1844,0)</f>
        <v>0.284659178335128</v>
      </c>
    </row>
    <row r="1845" customFormat="false" ht="15" hidden="false" customHeight="false" outlineLevel="0" collapsed="false">
      <c r="A1845" s="2" t="s">
        <v>44</v>
      </c>
      <c r="B1845" s="2" t="s">
        <v>45</v>
      </c>
      <c r="C1845" s="2" t="s">
        <v>32</v>
      </c>
      <c r="D1845" s="2" t="s">
        <v>36</v>
      </c>
      <c r="E1845" s="3" t="n">
        <v>46143</v>
      </c>
      <c r="F1845" s="2" t="n">
        <v>18</v>
      </c>
      <c r="G1845" s="4" t="n">
        <v>22.99</v>
      </c>
      <c r="H1845" s="4" t="n">
        <v>16.32</v>
      </c>
      <c r="I1845" s="4" t="n">
        <f aca="false">F1845*G1845</f>
        <v>413.82</v>
      </c>
      <c r="J1845" s="4" t="n">
        <f aca="false">F1845*H1845</f>
        <v>293.76</v>
      </c>
      <c r="K1845" s="4" t="n">
        <f aca="false">I1845-J1845</f>
        <v>120.06</v>
      </c>
      <c r="L1845" s="5" t="n">
        <f aca="false">IFERROR(K1845/I1845,0)</f>
        <v>0.290126141800783</v>
      </c>
    </row>
    <row r="1846" customFormat="false" ht="15" hidden="false" customHeight="false" outlineLevel="0" collapsed="false">
      <c r="A1846" s="2" t="s">
        <v>44</v>
      </c>
      <c r="B1846" s="2" t="s">
        <v>45</v>
      </c>
      <c r="C1846" s="2" t="s">
        <v>32</v>
      </c>
      <c r="D1846" s="2" t="s">
        <v>37</v>
      </c>
      <c r="E1846" s="3" t="n">
        <v>46143</v>
      </c>
      <c r="F1846" s="2" t="n">
        <v>12</v>
      </c>
      <c r="G1846" s="4" t="n">
        <v>29.99</v>
      </c>
      <c r="H1846" s="4" t="n">
        <v>20.22</v>
      </c>
      <c r="I1846" s="4" t="n">
        <f aca="false">F1846*G1846</f>
        <v>359.88</v>
      </c>
      <c r="J1846" s="4" t="n">
        <f aca="false">F1846*H1846</f>
        <v>242.64</v>
      </c>
      <c r="K1846" s="4" t="n">
        <f aca="false">I1846-J1846</f>
        <v>117.24</v>
      </c>
      <c r="L1846" s="5" t="n">
        <f aca="false">IFERROR(K1846/I1846,0)</f>
        <v>0.325775258419473</v>
      </c>
    </row>
    <row r="1847" customFormat="false" ht="15" hidden="false" customHeight="false" outlineLevel="0" collapsed="false">
      <c r="A1847" s="2" t="s">
        <v>44</v>
      </c>
      <c r="B1847" s="2" t="s">
        <v>45</v>
      </c>
      <c r="C1847" s="2" t="s">
        <v>38</v>
      </c>
      <c r="D1847" s="2" t="s">
        <v>39</v>
      </c>
      <c r="E1847" s="3" t="n">
        <v>46143</v>
      </c>
      <c r="F1847" s="2" t="n">
        <v>16</v>
      </c>
      <c r="G1847" s="4" t="n">
        <v>129.99</v>
      </c>
      <c r="H1847" s="4" t="n">
        <v>77.56</v>
      </c>
      <c r="I1847" s="4" t="n">
        <f aca="false">F1847*G1847</f>
        <v>2079.84</v>
      </c>
      <c r="J1847" s="4" t="n">
        <f aca="false">F1847*H1847</f>
        <v>1240.96</v>
      </c>
      <c r="K1847" s="4" t="n">
        <f aca="false">I1847-J1847</f>
        <v>838.88</v>
      </c>
      <c r="L1847" s="5" t="n">
        <f aca="false">IFERROR(K1847/I1847,0)</f>
        <v>0.403338718362951</v>
      </c>
    </row>
    <row r="1848" customFormat="false" ht="15" hidden="false" customHeight="false" outlineLevel="0" collapsed="false">
      <c r="A1848" s="2" t="s">
        <v>44</v>
      </c>
      <c r="B1848" s="2" t="s">
        <v>45</v>
      </c>
      <c r="C1848" s="2" t="s">
        <v>38</v>
      </c>
      <c r="D1848" s="2" t="s">
        <v>40</v>
      </c>
      <c r="E1848" s="3" t="n">
        <v>46143</v>
      </c>
      <c r="F1848" s="2" t="n">
        <v>18</v>
      </c>
      <c r="G1848" s="4" t="n">
        <v>74.99</v>
      </c>
      <c r="H1848" s="4" t="n">
        <v>41.61</v>
      </c>
      <c r="I1848" s="4" t="n">
        <f aca="false">F1848*G1848</f>
        <v>1349.82</v>
      </c>
      <c r="J1848" s="4" t="n">
        <f aca="false">F1848*H1848</f>
        <v>748.98</v>
      </c>
      <c r="K1848" s="4" t="n">
        <f aca="false">I1848-J1848</f>
        <v>600.84</v>
      </c>
      <c r="L1848" s="5" t="n">
        <f aca="false">IFERROR(K1848/I1848,0)</f>
        <v>0.44512601680224</v>
      </c>
    </row>
    <row r="1849" customFormat="false" ht="15" hidden="false" customHeight="false" outlineLevel="0" collapsed="false">
      <c r="A1849" s="2" t="s">
        <v>44</v>
      </c>
      <c r="B1849" s="2" t="s">
        <v>45</v>
      </c>
      <c r="C1849" s="2" t="s">
        <v>38</v>
      </c>
      <c r="D1849" s="2" t="s">
        <v>41</v>
      </c>
      <c r="E1849" s="3" t="n">
        <v>46143</v>
      </c>
      <c r="F1849" s="2" t="n">
        <v>26</v>
      </c>
      <c r="G1849" s="4" t="n">
        <v>19.99</v>
      </c>
      <c r="H1849" s="4" t="n">
        <v>9.4</v>
      </c>
      <c r="I1849" s="4" t="n">
        <f aca="false">F1849*G1849</f>
        <v>519.74</v>
      </c>
      <c r="J1849" s="4" t="n">
        <f aca="false">F1849*H1849</f>
        <v>244.4</v>
      </c>
      <c r="K1849" s="4" t="n">
        <f aca="false">I1849-J1849</f>
        <v>275.34</v>
      </c>
      <c r="L1849" s="5" t="n">
        <f aca="false">IFERROR(K1849/I1849,0)</f>
        <v>0.529764882441221</v>
      </c>
    </row>
    <row r="1850" customFormat="false" ht="15" hidden="false" customHeight="false" outlineLevel="0" collapsed="false">
      <c r="A1850" s="2" t="s">
        <v>44</v>
      </c>
      <c r="B1850" s="2" t="s">
        <v>45</v>
      </c>
      <c r="C1850" s="2" t="s">
        <v>38</v>
      </c>
      <c r="D1850" s="2" t="s">
        <v>42</v>
      </c>
      <c r="E1850" s="3" t="n">
        <v>46143</v>
      </c>
      <c r="F1850" s="2" t="n">
        <v>18</v>
      </c>
      <c r="G1850" s="4" t="n">
        <v>16.99</v>
      </c>
      <c r="H1850" s="4" t="n">
        <v>8.25</v>
      </c>
      <c r="I1850" s="4" t="n">
        <f aca="false">F1850*G1850</f>
        <v>305.82</v>
      </c>
      <c r="J1850" s="4" t="n">
        <f aca="false">F1850*H1850</f>
        <v>148.5</v>
      </c>
      <c r="K1850" s="4" t="n">
        <f aca="false">I1850-J1850</f>
        <v>157.32</v>
      </c>
      <c r="L1850" s="5" t="n">
        <f aca="false">IFERROR(K1850/I1850,0)</f>
        <v>0.514420247204238</v>
      </c>
    </row>
    <row r="1851" customFormat="false" ht="15" hidden="false" customHeight="false" outlineLevel="0" collapsed="false">
      <c r="A1851" s="2" t="s">
        <v>44</v>
      </c>
      <c r="B1851" s="2" t="s">
        <v>45</v>
      </c>
      <c r="C1851" s="2" t="s">
        <v>38</v>
      </c>
      <c r="D1851" s="2" t="s">
        <v>43</v>
      </c>
      <c r="E1851" s="3" t="n">
        <v>46143</v>
      </c>
      <c r="F1851" s="2" t="n">
        <v>17</v>
      </c>
      <c r="G1851" s="4" t="n">
        <v>24.99</v>
      </c>
      <c r="H1851" s="4" t="n">
        <v>13.14</v>
      </c>
      <c r="I1851" s="4" t="n">
        <f aca="false">F1851*G1851</f>
        <v>424.83</v>
      </c>
      <c r="J1851" s="4" t="n">
        <f aca="false">F1851*H1851</f>
        <v>223.38</v>
      </c>
      <c r="K1851" s="4" t="n">
        <f aca="false">I1851-J1851</f>
        <v>201.45</v>
      </c>
      <c r="L1851" s="5" t="n">
        <f aca="false">IFERROR(K1851/I1851,0)</f>
        <v>0.474189675870348</v>
      </c>
    </row>
    <row r="1852" customFormat="false" ht="15" hidden="false" customHeight="false" outlineLevel="0" collapsed="false">
      <c r="A1852" s="2" t="s">
        <v>44</v>
      </c>
      <c r="B1852" s="2" t="s">
        <v>46</v>
      </c>
      <c r="C1852" s="2" t="s">
        <v>14</v>
      </c>
      <c r="D1852" s="2" t="s">
        <v>15</v>
      </c>
      <c r="E1852" s="3" t="n">
        <v>46143</v>
      </c>
      <c r="F1852" s="2" t="n">
        <v>13</v>
      </c>
      <c r="G1852" s="4" t="n">
        <v>69.99</v>
      </c>
      <c r="H1852" s="4" t="n">
        <v>33.19</v>
      </c>
      <c r="I1852" s="4" t="n">
        <f aca="false">F1852*G1852</f>
        <v>909.87</v>
      </c>
      <c r="J1852" s="4" t="n">
        <f aca="false">F1852*H1852</f>
        <v>431.47</v>
      </c>
      <c r="K1852" s="4" t="n">
        <f aca="false">I1852-J1852</f>
        <v>478.4</v>
      </c>
      <c r="L1852" s="5" t="n">
        <f aca="false">IFERROR(K1852/I1852,0)</f>
        <v>0.525789398485498</v>
      </c>
    </row>
    <row r="1853" customFormat="false" ht="15" hidden="false" customHeight="false" outlineLevel="0" collapsed="false">
      <c r="A1853" s="2" t="s">
        <v>44</v>
      </c>
      <c r="B1853" s="2" t="s">
        <v>46</v>
      </c>
      <c r="C1853" s="2" t="s">
        <v>14</v>
      </c>
      <c r="D1853" s="2" t="s">
        <v>16</v>
      </c>
      <c r="E1853" s="3" t="n">
        <v>46143</v>
      </c>
      <c r="F1853" s="2" t="n">
        <v>9</v>
      </c>
      <c r="G1853" s="4" t="n">
        <v>19.99</v>
      </c>
      <c r="H1853" s="4" t="n">
        <v>8.81</v>
      </c>
      <c r="I1853" s="4" t="n">
        <f aca="false">F1853*G1853</f>
        <v>179.91</v>
      </c>
      <c r="J1853" s="4" t="n">
        <f aca="false">F1853*H1853</f>
        <v>79.29</v>
      </c>
      <c r="K1853" s="4" t="n">
        <f aca="false">I1853-J1853</f>
        <v>100.62</v>
      </c>
      <c r="L1853" s="5" t="n">
        <f aca="false">IFERROR(K1853/I1853,0)</f>
        <v>0.55927963981991</v>
      </c>
    </row>
    <row r="1854" customFormat="false" ht="15" hidden="false" customHeight="false" outlineLevel="0" collapsed="false">
      <c r="A1854" s="2" t="s">
        <v>44</v>
      </c>
      <c r="B1854" s="2" t="s">
        <v>46</v>
      </c>
      <c r="C1854" s="2" t="s">
        <v>14</v>
      </c>
      <c r="D1854" s="2" t="s">
        <v>17</v>
      </c>
      <c r="E1854" s="3" t="n">
        <v>46143</v>
      </c>
      <c r="F1854" s="2" t="n">
        <v>11</v>
      </c>
      <c r="G1854" s="4" t="n">
        <v>79.99</v>
      </c>
      <c r="H1854" s="4" t="n">
        <v>39.23</v>
      </c>
      <c r="I1854" s="4" t="n">
        <f aca="false">F1854*G1854</f>
        <v>879.89</v>
      </c>
      <c r="J1854" s="4" t="n">
        <f aca="false">F1854*H1854</f>
        <v>431.53</v>
      </c>
      <c r="K1854" s="4" t="n">
        <f aca="false">I1854-J1854</f>
        <v>448.36</v>
      </c>
      <c r="L1854" s="5" t="n">
        <f aca="false">IFERROR(K1854/I1854,0)</f>
        <v>0.509563695461933</v>
      </c>
    </row>
    <row r="1855" customFormat="false" ht="15" hidden="false" customHeight="false" outlineLevel="0" collapsed="false">
      <c r="A1855" s="2" t="s">
        <v>44</v>
      </c>
      <c r="B1855" s="2" t="s">
        <v>46</v>
      </c>
      <c r="C1855" s="2" t="s">
        <v>14</v>
      </c>
      <c r="D1855" s="2" t="s">
        <v>18</v>
      </c>
      <c r="E1855" s="3" t="n">
        <v>46143</v>
      </c>
      <c r="F1855" s="2" t="n">
        <v>12</v>
      </c>
      <c r="G1855" s="4" t="n">
        <v>34.99</v>
      </c>
      <c r="H1855" s="4" t="n">
        <v>14.66</v>
      </c>
      <c r="I1855" s="4" t="n">
        <f aca="false">F1855*G1855</f>
        <v>419.88</v>
      </c>
      <c r="J1855" s="4" t="n">
        <f aca="false">F1855*H1855</f>
        <v>175.92</v>
      </c>
      <c r="K1855" s="4" t="n">
        <f aca="false">I1855-J1855</f>
        <v>243.96</v>
      </c>
      <c r="L1855" s="5" t="n">
        <f aca="false">IFERROR(K1855/I1855,0)</f>
        <v>0.581023149471277</v>
      </c>
    </row>
    <row r="1856" customFormat="false" ht="15" hidden="false" customHeight="false" outlineLevel="0" collapsed="false">
      <c r="A1856" s="2" t="s">
        <v>44</v>
      </c>
      <c r="B1856" s="2" t="s">
        <v>46</v>
      </c>
      <c r="C1856" s="2" t="s">
        <v>14</v>
      </c>
      <c r="D1856" s="2" t="s">
        <v>19</v>
      </c>
      <c r="E1856" s="3" t="n">
        <v>46143</v>
      </c>
      <c r="F1856" s="2" t="n">
        <v>9</v>
      </c>
      <c r="G1856" s="4" t="n">
        <v>54.99</v>
      </c>
      <c r="H1856" s="4" t="n">
        <v>24.86</v>
      </c>
      <c r="I1856" s="4" t="n">
        <f aca="false">F1856*G1856</f>
        <v>494.91</v>
      </c>
      <c r="J1856" s="4" t="n">
        <f aca="false">F1856*H1856</f>
        <v>223.74</v>
      </c>
      <c r="K1856" s="4" t="n">
        <f aca="false">I1856-J1856</f>
        <v>271.17</v>
      </c>
      <c r="L1856" s="5" t="n">
        <f aca="false">IFERROR(K1856/I1856,0)</f>
        <v>0.547917803236952</v>
      </c>
    </row>
    <row r="1857" customFormat="false" ht="15" hidden="false" customHeight="false" outlineLevel="0" collapsed="false">
      <c r="A1857" s="2" t="s">
        <v>44</v>
      </c>
      <c r="B1857" s="2" t="s">
        <v>46</v>
      </c>
      <c r="C1857" s="2" t="s">
        <v>20</v>
      </c>
      <c r="D1857" s="2" t="s">
        <v>21</v>
      </c>
      <c r="E1857" s="3" t="n">
        <v>46143</v>
      </c>
      <c r="F1857" s="2" t="n">
        <v>11</v>
      </c>
      <c r="G1857" s="4" t="n">
        <v>44.99</v>
      </c>
      <c r="H1857" s="4" t="n">
        <v>19.76</v>
      </c>
      <c r="I1857" s="4" t="n">
        <f aca="false">F1857*G1857</f>
        <v>494.89</v>
      </c>
      <c r="J1857" s="4" t="n">
        <f aca="false">F1857*H1857</f>
        <v>217.36</v>
      </c>
      <c r="K1857" s="4" t="n">
        <f aca="false">I1857-J1857</f>
        <v>277.53</v>
      </c>
      <c r="L1857" s="5" t="n">
        <f aca="false">IFERROR(K1857/I1857,0)</f>
        <v>0.560791286952656</v>
      </c>
    </row>
    <row r="1858" customFormat="false" ht="15" hidden="false" customHeight="false" outlineLevel="0" collapsed="false">
      <c r="A1858" s="2" t="s">
        <v>44</v>
      </c>
      <c r="B1858" s="2" t="s">
        <v>46</v>
      </c>
      <c r="C1858" s="2" t="s">
        <v>20</v>
      </c>
      <c r="D1858" s="2" t="s">
        <v>22</v>
      </c>
      <c r="E1858" s="3" t="n">
        <v>46143</v>
      </c>
      <c r="F1858" s="2" t="n">
        <v>19</v>
      </c>
      <c r="G1858" s="4" t="n">
        <v>14.99</v>
      </c>
      <c r="H1858" s="4" t="n">
        <v>5.56</v>
      </c>
      <c r="I1858" s="4" t="n">
        <f aca="false">F1858*G1858</f>
        <v>284.81</v>
      </c>
      <c r="J1858" s="4" t="n">
        <f aca="false">F1858*H1858</f>
        <v>105.64</v>
      </c>
      <c r="K1858" s="4" t="n">
        <f aca="false">I1858-J1858</f>
        <v>179.17</v>
      </c>
      <c r="L1858" s="5" t="n">
        <f aca="false">IFERROR(K1858/I1858,0)</f>
        <v>0.629086057371581</v>
      </c>
    </row>
    <row r="1859" customFormat="false" ht="15" hidden="false" customHeight="false" outlineLevel="0" collapsed="false">
      <c r="A1859" s="2" t="s">
        <v>44</v>
      </c>
      <c r="B1859" s="2" t="s">
        <v>46</v>
      </c>
      <c r="C1859" s="2" t="s">
        <v>20</v>
      </c>
      <c r="D1859" s="2" t="s">
        <v>23</v>
      </c>
      <c r="E1859" s="3" t="n">
        <v>46143</v>
      </c>
      <c r="F1859" s="2" t="n">
        <v>9</v>
      </c>
      <c r="G1859" s="4" t="n">
        <v>39.99</v>
      </c>
      <c r="H1859" s="4" t="n">
        <v>16.44</v>
      </c>
      <c r="I1859" s="4" t="n">
        <f aca="false">F1859*G1859</f>
        <v>359.91</v>
      </c>
      <c r="J1859" s="4" t="n">
        <f aca="false">F1859*H1859</f>
        <v>147.96</v>
      </c>
      <c r="K1859" s="4" t="n">
        <f aca="false">I1859-J1859</f>
        <v>211.95</v>
      </c>
      <c r="L1859" s="5" t="n">
        <f aca="false">IFERROR(K1859/I1859,0)</f>
        <v>0.588897224306077</v>
      </c>
    </row>
    <row r="1860" customFormat="false" ht="15" hidden="false" customHeight="false" outlineLevel="0" collapsed="false">
      <c r="A1860" s="2" t="s">
        <v>44</v>
      </c>
      <c r="B1860" s="2" t="s">
        <v>46</v>
      </c>
      <c r="C1860" s="2" t="s">
        <v>20</v>
      </c>
      <c r="D1860" s="2" t="s">
        <v>24</v>
      </c>
      <c r="E1860" s="3" t="n">
        <v>46143</v>
      </c>
      <c r="F1860" s="2" t="n">
        <v>14</v>
      </c>
      <c r="G1860" s="4" t="n">
        <v>18.99</v>
      </c>
      <c r="H1860" s="4" t="n">
        <v>7.52</v>
      </c>
      <c r="I1860" s="4" t="n">
        <f aca="false">F1860*G1860</f>
        <v>265.86</v>
      </c>
      <c r="J1860" s="4" t="n">
        <f aca="false">F1860*H1860</f>
        <v>105.28</v>
      </c>
      <c r="K1860" s="4" t="n">
        <f aca="false">I1860-J1860</f>
        <v>160.58</v>
      </c>
      <c r="L1860" s="5" t="n">
        <f aca="false">IFERROR(K1860/I1860,0)</f>
        <v>0.604002106371775</v>
      </c>
    </row>
    <row r="1861" customFormat="false" ht="15" hidden="false" customHeight="false" outlineLevel="0" collapsed="false">
      <c r="A1861" s="2" t="s">
        <v>44</v>
      </c>
      <c r="B1861" s="2" t="s">
        <v>46</v>
      </c>
      <c r="C1861" s="2" t="s">
        <v>20</v>
      </c>
      <c r="D1861" s="2" t="s">
        <v>25</v>
      </c>
      <c r="E1861" s="3" t="n">
        <v>46143</v>
      </c>
      <c r="F1861" s="2" t="n">
        <v>18</v>
      </c>
      <c r="G1861" s="4" t="n">
        <v>42.99</v>
      </c>
      <c r="H1861" s="4" t="n">
        <v>15.95</v>
      </c>
      <c r="I1861" s="4" t="n">
        <f aca="false">F1861*G1861</f>
        <v>773.82</v>
      </c>
      <c r="J1861" s="4" t="n">
        <f aca="false">F1861*H1861</f>
        <v>287.1</v>
      </c>
      <c r="K1861" s="4" t="n">
        <f aca="false">I1861-J1861</f>
        <v>486.72</v>
      </c>
      <c r="L1861" s="5" t="n">
        <f aca="false">IFERROR(K1861/I1861,0)</f>
        <v>0.628983484531286</v>
      </c>
    </row>
    <row r="1862" customFormat="false" ht="15" hidden="false" customHeight="false" outlineLevel="0" collapsed="false">
      <c r="A1862" s="2" t="s">
        <v>44</v>
      </c>
      <c r="B1862" s="2" t="s">
        <v>46</v>
      </c>
      <c r="C1862" s="2" t="s">
        <v>26</v>
      </c>
      <c r="D1862" s="2" t="s">
        <v>27</v>
      </c>
      <c r="E1862" s="3" t="n">
        <v>46143</v>
      </c>
      <c r="F1862" s="2" t="n">
        <v>11</v>
      </c>
      <c r="G1862" s="4" t="n">
        <v>44.99</v>
      </c>
      <c r="H1862" s="4" t="n">
        <v>28.7</v>
      </c>
      <c r="I1862" s="4" t="n">
        <f aca="false">F1862*G1862</f>
        <v>494.89</v>
      </c>
      <c r="J1862" s="4" t="n">
        <f aca="false">F1862*H1862</f>
        <v>315.7</v>
      </c>
      <c r="K1862" s="4" t="n">
        <f aca="false">I1862-J1862</f>
        <v>179.19</v>
      </c>
      <c r="L1862" s="5" t="n">
        <f aca="false">IFERROR(K1862/I1862,0)</f>
        <v>0.362080462324961</v>
      </c>
    </row>
    <row r="1863" customFormat="false" ht="15" hidden="false" customHeight="false" outlineLevel="0" collapsed="false">
      <c r="A1863" s="2" t="s">
        <v>44</v>
      </c>
      <c r="B1863" s="2" t="s">
        <v>46</v>
      </c>
      <c r="C1863" s="2" t="s">
        <v>26</v>
      </c>
      <c r="D1863" s="2" t="s">
        <v>28</v>
      </c>
      <c r="E1863" s="3" t="n">
        <v>46143</v>
      </c>
      <c r="F1863" s="2" t="n">
        <v>5</v>
      </c>
      <c r="G1863" s="4" t="n">
        <v>34.99</v>
      </c>
      <c r="H1863" s="4" t="n">
        <v>22.03</v>
      </c>
      <c r="I1863" s="4" t="n">
        <f aca="false">F1863*G1863</f>
        <v>174.95</v>
      </c>
      <c r="J1863" s="4" t="n">
        <f aca="false">F1863*H1863</f>
        <v>110.15</v>
      </c>
      <c r="K1863" s="4" t="n">
        <f aca="false">I1863-J1863</f>
        <v>64.8</v>
      </c>
      <c r="L1863" s="5" t="n">
        <f aca="false">IFERROR(K1863/I1863,0)</f>
        <v>0.370391540440126</v>
      </c>
    </row>
    <row r="1864" customFormat="false" ht="15" hidden="false" customHeight="false" outlineLevel="0" collapsed="false">
      <c r="A1864" s="2" t="s">
        <v>44</v>
      </c>
      <c r="B1864" s="2" t="s">
        <v>46</v>
      </c>
      <c r="C1864" s="2" t="s">
        <v>26</v>
      </c>
      <c r="D1864" s="2" t="s">
        <v>29</v>
      </c>
      <c r="E1864" s="3" t="n">
        <v>46143</v>
      </c>
      <c r="F1864" s="2" t="n">
        <v>12</v>
      </c>
      <c r="G1864" s="4" t="n">
        <v>119.99</v>
      </c>
      <c r="H1864" s="4" t="n">
        <v>83.19</v>
      </c>
      <c r="I1864" s="4" t="n">
        <f aca="false">F1864*G1864</f>
        <v>1439.88</v>
      </c>
      <c r="J1864" s="4" t="n">
        <f aca="false">F1864*H1864</f>
        <v>998.28</v>
      </c>
      <c r="K1864" s="4" t="n">
        <f aca="false">I1864-J1864</f>
        <v>441.6</v>
      </c>
      <c r="L1864" s="5" t="n">
        <f aca="false">IFERROR(K1864/I1864,0)</f>
        <v>0.306692224352029</v>
      </c>
    </row>
    <row r="1865" customFormat="false" ht="15" hidden="false" customHeight="false" outlineLevel="0" collapsed="false">
      <c r="A1865" s="2" t="s">
        <v>44</v>
      </c>
      <c r="B1865" s="2" t="s">
        <v>46</v>
      </c>
      <c r="C1865" s="2" t="s">
        <v>26</v>
      </c>
      <c r="D1865" s="2" t="s">
        <v>30</v>
      </c>
      <c r="E1865" s="3" t="n">
        <v>46143</v>
      </c>
      <c r="F1865" s="2" t="n">
        <v>12</v>
      </c>
      <c r="G1865" s="4" t="n">
        <v>24.99</v>
      </c>
      <c r="H1865" s="4" t="n">
        <v>14.6</v>
      </c>
      <c r="I1865" s="4" t="n">
        <f aca="false">F1865*G1865</f>
        <v>299.88</v>
      </c>
      <c r="J1865" s="4" t="n">
        <f aca="false">F1865*H1865</f>
        <v>175.2</v>
      </c>
      <c r="K1865" s="4" t="n">
        <f aca="false">I1865-J1865</f>
        <v>124.68</v>
      </c>
      <c r="L1865" s="5" t="n">
        <f aca="false">IFERROR(K1865/I1865,0)</f>
        <v>0.415766306522609</v>
      </c>
    </row>
    <row r="1866" customFormat="false" ht="15" hidden="false" customHeight="false" outlineLevel="0" collapsed="false">
      <c r="A1866" s="2" t="s">
        <v>44</v>
      </c>
      <c r="B1866" s="2" t="s">
        <v>46</v>
      </c>
      <c r="C1866" s="2" t="s">
        <v>26</v>
      </c>
      <c r="D1866" s="2" t="s">
        <v>31</v>
      </c>
      <c r="E1866" s="3" t="n">
        <v>46143</v>
      </c>
      <c r="F1866" s="2" t="n">
        <v>9</v>
      </c>
      <c r="G1866" s="4" t="n">
        <v>59.99</v>
      </c>
      <c r="H1866" s="4" t="n">
        <v>39.79</v>
      </c>
      <c r="I1866" s="4" t="n">
        <f aca="false">F1866*G1866</f>
        <v>539.91</v>
      </c>
      <c r="J1866" s="4" t="n">
        <f aca="false">F1866*H1866</f>
        <v>358.11</v>
      </c>
      <c r="K1866" s="4" t="n">
        <f aca="false">I1866-J1866</f>
        <v>181.8</v>
      </c>
      <c r="L1866" s="5" t="n">
        <f aca="false">IFERROR(K1866/I1866,0)</f>
        <v>0.336722787131189</v>
      </c>
    </row>
    <row r="1867" customFormat="false" ht="15" hidden="false" customHeight="false" outlineLevel="0" collapsed="false">
      <c r="A1867" s="2" t="s">
        <v>44</v>
      </c>
      <c r="B1867" s="2" t="s">
        <v>46</v>
      </c>
      <c r="C1867" s="2" t="s">
        <v>32</v>
      </c>
      <c r="D1867" s="2" t="s">
        <v>33</v>
      </c>
      <c r="E1867" s="3" t="n">
        <v>46143</v>
      </c>
      <c r="F1867" s="2" t="n">
        <v>8</v>
      </c>
      <c r="G1867" s="4" t="n">
        <v>49.99</v>
      </c>
      <c r="H1867" s="4" t="n">
        <v>36.14</v>
      </c>
      <c r="I1867" s="4" t="n">
        <f aca="false">F1867*G1867</f>
        <v>399.92</v>
      </c>
      <c r="J1867" s="4" t="n">
        <f aca="false">F1867*H1867</f>
        <v>289.12</v>
      </c>
      <c r="K1867" s="4" t="n">
        <f aca="false">I1867-J1867</f>
        <v>110.8</v>
      </c>
      <c r="L1867" s="5" t="n">
        <f aca="false">IFERROR(K1867/I1867,0)</f>
        <v>0.277055411082217</v>
      </c>
    </row>
    <row r="1868" customFormat="false" ht="15" hidden="false" customHeight="false" outlineLevel="0" collapsed="false">
      <c r="A1868" s="2" t="s">
        <v>44</v>
      </c>
      <c r="B1868" s="2" t="s">
        <v>46</v>
      </c>
      <c r="C1868" s="2" t="s">
        <v>32</v>
      </c>
      <c r="D1868" s="2" t="s">
        <v>34</v>
      </c>
      <c r="E1868" s="3" t="n">
        <v>46143</v>
      </c>
      <c r="F1868" s="2" t="n">
        <v>13</v>
      </c>
      <c r="G1868" s="4" t="n">
        <v>27.99</v>
      </c>
      <c r="H1868" s="4" t="n">
        <v>19.65</v>
      </c>
      <c r="I1868" s="4" t="n">
        <f aca="false">F1868*G1868</f>
        <v>363.87</v>
      </c>
      <c r="J1868" s="4" t="n">
        <f aca="false">F1868*H1868</f>
        <v>255.45</v>
      </c>
      <c r="K1868" s="4" t="n">
        <f aca="false">I1868-J1868</f>
        <v>108.42</v>
      </c>
      <c r="L1868" s="5" t="n">
        <f aca="false">IFERROR(K1868/I1868,0)</f>
        <v>0.297963558413719</v>
      </c>
    </row>
    <row r="1869" customFormat="false" ht="15" hidden="false" customHeight="false" outlineLevel="0" collapsed="false">
      <c r="A1869" s="2" t="s">
        <v>44</v>
      </c>
      <c r="B1869" s="2" t="s">
        <v>46</v>
      </c>
      <c r="C1869" s="2" t="s">
        <v>32</v>
      </c>
      <c r="D1869" s="2" t="s">
        <v>35</v>
      </c>
      <c r="E1869" s="3" t="n">
        <v>46143</v>
      </c>
      <c r="F1869" s="2" t="n">
        <v>9</v>
      </c>
      <c r="G1869" s="4" t="n">
        <v>64.99</v>
      </c>
      <c r="H1869" s="4" t="n">
        <v>46.79</v>
      </c>
      <c r="I1869" s="4" t="n">
        <f aca="false">F1869*G1869</f>
        <v>584.91</v>
      </c>
      <c r="J1869" s="4" t="n">
        <f aca="false">F1869*H1869</f>
        <v>421.11</v>
      </c>
      <c r="K1869" s="4" t="n">
        <f aca="false">I1869-J1869</f>
        <v>163.8</v>
      </c>
      <c r="L1869" s="5" t="n">
        <f aca="false">IFERROR(K1869/I1869,0)</f>
        <v>0.280043083551316</v>
      </c>
    </row>
    <row r="1870" customFormat="false" ht="15" hidden="false" customHeight="false" outlineLevel="0" collapsed="false">
      <c r="A1870" s="2" t="s">
        <v>44</v>
      </c>
      <c r="B1870" s="2" t="s">
        <v>46</v>
      </c>
      <c r="C1870" s="2" t="s">
        <v>32</v>
      </c>
      <c r="D1870" s="2" t="s">
        <v>36</v>
      </c>
      <c r="E1870" s="3" t="n">
        <v>46143</v>
      </c>
      <c r="F1870" s="2" t="n">
        <v>12</v>
      </c>
      <c r="G1870" s="4" t="n">
        <v>22.99</v>
      </c>
      <c r="H1870" s="4" t="n">
        <v>16.74</v>
      </c>
      <c r="I1870" s="4" t="n">
        <f aca="false">F1870*G1870</f>
        <v>275.88</v>
      </c>
      <c r="J1870" s="4" t="n">
        <f aca="false">F1870*H1870</f>
        <v>200.88</v>
      </c>
      <c r="K1870" s="4" t="n">
        <f aca="false">I1870-J1870</f>
        <v>75</v>
      </c>
      <c r="L1870" s="5" t="n">
        <f aca="false">IFERROR(K1870/I1870,0)</f>
        <v>0.271857329273597</v>
      </c>
    </row>
    <row r="1871" customFormat="false" ht="15" hidden="false" customHeight="false" outlineLevel="0" collapsed="false">
      <c r="A1871" s="2" t="s">
        <v>44</v>
      </c>
      <c r="B1871" s="2" t="s">
        <v>46</v>
      </c>
      <c r="C1871" s="2" t="s">
        <v>32</v>
      </c>
      <c r="D1871" s="2" t="s">
        <v>37</v>
      </c>
      <c r="E1871" s="3" t="n">
        <v>46143</v>
      </c>
      <c r="F1871" s="2" t="n">
        <v>12</v>
      </c>
      <c r="G1871" s="4" t="n">
        <v>29.99</v>
      </c>
      <c r="H1871" s="4" t="n">
        <v>19.93</v>
      </c>
      <c r="I1871" s="4" t="n">
        <f aca="false">F1871*G1871</f>
        <v>359.88</v>
      </c>
      <c r="J1871" s="4" t="n">
        <f aca="false">F1871*H1871</f>
        <v>239.16</v>
      </c>
      <c r="K1871" s="4" t="n">
        <f aca="false">I1871-J1871</f>
        <v>120.72</v>
      </c>
      <c r="L1871" s="5" t="n">
        <f aca="false">IFERROR(K1871/I1871,0)</f>
        <v>0.335445148382794</v>
      </c>
    </row>
    <row r="1872" customFormat="false" ht="15" hidden="false" customHeight="false" outlineLevel="0" collapsed="false">
      <c r="A1872" s="2" t="s">
        <v>44</v>
      </c>
      <c r="B1872" s="2" t="s">
        <v>46</v>
      </c>
      <c r="C1872" s="2" t="s">
        <v>38</v>
      </c>
      <c r="D1872" s="2" t="s">
        <v>39</v>
      </c>
      <c r="E1872" s="3" t="n">
        <v>46143</v>
      </c>
      <c r="F1872" s="2" t="n">
        <v>14</v>
      </c>
      <c r="G1872" s="4" t="n">
        <v>129.99</v>
      </c>
      <c r="H1872" s="4" t="n">
        <v>73.4</v>
      </c>
      <c r="I1872" s="4" t="n">
        <f aca="false">F1872*G1872</f>
        <v>1819.86</v>
      </c>
      <c r="J1872" s="4" t="n">
        <f aca="false">F1872*H1872</f>
        <v>1027.6</v>
      </c>
      <c r="K1872" s="4" t="n">
        <f aca="false">I1872-J1872</f>
        <v>792.26</v>
      </c>
      <c r="L1872" s="5" t="n">
        <f aca="false">IFERROR(K1872/I1872,0)</f>
        <v>0.435341180090776</v>
      </c>
    </row>
    <row r="1873" customFormat="false" ht="15" hidden="false" customHeight="false" outlineLevel="0" collapsed="false">
      <c r="A1873" s="2" t="s">
        <v>44</v>
      </c>
      <c r="B1873" s="2" t="s">
        <v>46</v>
      </c>
      <c r="C1873" s="2" t="s">
        <v>38</v>
      </c>
      <c r="D1873" s="2" t="s">
        <v>40</v>
      </c>
      <c r="E1873" s="3" t="n">
        <v>46143</v>
      </c>
      <c r="F1873" s="2" t="n">
        <v>13</v>
      </c>
      <c r="G1873" s="4" t="n">
        <v>74.99</v>
      </c>
      <c r="H1873" s="4" t="n">
        <v>41.47</v>
      </c>
      <c r="I1873" s="4" t="n">
        <f aca="false">F1873*G1873</f>
        <v>974.87</v>
      </c>
      <c r="J1873" s="4" t="n">
        <f aca="false">F1873*H1873</f>
        <v>539.11</v>
      </c>
      <c r="K1873" s="4" t="n">
        <f aca="false">I1873-J1873</f>
        <v>435.76</v>
      </c>
      <c r="L1873" s="5" t="n">
        <f aca="false">IFERROR(K1873/I1873,0)</f>
        <v>0.446992932390985</v>
      </c>
    </row>
    <row r="1874" customFormat="false" ht="15" hidden="false" customHeight="false" outlineLevel="0" collapsed="false">
      <c r="A1874" s="2" t="s">
        <v>44</v>
      </c>
      <c r="B1874" s="2" t="s">
        <v>46</v>
      </c>
      <c r="C1874" s="2" t="s">
        <v>38</v>
      </c>
      <c r="D1874" s="2" t="s">
        <v>41</v>
      </c>
      <c r="E1874" s="3" t="n">
        <v>46143</v>
      </c>
      <c r="F1874" s="2" t="n">
        <v>8</v>
      </c>
      <c r="G1874" s="4" t="n">
        <v>19.99</v>
      </c>
      <c r="H1874" s="4" t="n">
        <v>9.62</v>
      </c>
      <c r="I1874" s="4" t="n">
        <f aca="false">F1874*G1874</f>
        <v>159.92</v>
      </c>
      <c r="J1874" s="4" t="n">
        <f aca="false">F1874*H1874</f>
        <v>76.96</v>
      </c>
      <c r="K1874" s="4" t="n">
        <f aca="false">I1874-J1874</f>
        <v>82.96</v>
      </c>
      <c r="L1874" s="5" t="n">
        <f aca="false">IFERROR(K1874/I1874,0)</f>
        <v>0.518759379689845</v>
      </c>
    </row>
    <row r="1875" customFormat="false" ht="15" hidden="false" customHeight="false" outlineLevel="0" collapsed="false">
      <c r="A1875" s="2" t="s">
        <v>44</v>
      </c>
      <c r="B1875" s="2" t="s">
        <v>46</v>
      </c>
      <c r="C1875" s="2" t="s">
        <v>38</v>
      </c>
      <c r="D1875" s="2" t="s">
        <v>42</v>
      </c>
      <c r="E1875" s="3" t="n">
        <v>46143</v>
      </c>
      <c r="F1875" s="2" t="n">
        <v>11</v>
      </c>
      <c r="G1875" s="4" t="n">
        <v>16.99</v>
      </c>
      <c r="H1875" s="4" t="n">
        <v>8.64</v>
      </c>
      <c r="I1875" s="4" t="n">
        <f aca="false">F1875*G1875</f>
        <v>186.89</v>
      </c>
      <c r="J1875" s="4" t="n">
        <f aca="false">F1875*H1875</f>
        <v>95.04</v>
      </c>
      <c r="K1875" s="4" t="n">
        <f aca="false">I1875-J1875</f>
        <v>91.85</v>
      </c>
      <c r="L1875" s="5" t="n">
        <f aca="false">IFERROR(K1875/I1875,0)</f>
        <v>0.491465567981165</v>
      </c>
    </row>
    <row r="1876" customFormat="false" ht="15" hidden="false" customHeight="false" outlineLevel="0" collapsed="false">
      <c r="A1876" s="2" t="s">
        <v>44</v>
      </c>
      <c r="B1876" s="2" t="s">
        <v>46</v>
      </c>
      <c r="C1876" s="2" t="s">
        <v>38</v>
      </c>
      <c r="D1876" s="2" t="s">
        <v>43</v>
      </c>
      <c r="E1876" s="3" t="n">
        <v>46143</v>
      </c>
      <c r="F1876" s="2" t="n">
        <v>13</v>
      </c>
      <c r="G1876" s="4" t="n">
        <v>24.99</v>
      </c>
      <c r="H1876" s="4" t="n">
        <v>12.88</v>
      </c>
      <c r="I1876" s="4" t="n">
        <f aca="false">F1876*G1876</f>
        <v>324.87</v>
      </c>
      <c r="J1876" s="4" t="n">
        <f aca="false">F1876*H1876</f>
        <v>167.44</v>
      </c>
      <c r="K1876" s="4" t="n">
        <f aca="false">I1876-J1876</f>
        <v>157.43</v>
      </c>
      <c r="L1876" s="5" t="n">
        <f aca="false">IFERROR(K1876/I1876,0)</f>
        <v>0.484593837535014</v>
      </c>
    </row>
    <row r="1877" customFormat="false" ht="15" hidden="false" customHeight="false" outlineLevel="0" collapsed="false">
      <c r="A1877" s="2" t="s">
        <v>47</v>
      </c>
      <c r="B1877" s="2" t="s">
        <v>48</v>
      </c>
      <c r="C1877" s="2" t="s">
        <v>14</v>
      </c>
      <c r="D1877" s="2" t="s">
        <v>15</v>
      </c>
      <c r="E1877" s="3" t="n">
        <v>46143</v>
      </c>
      <c r="F1877" s="2" t="n">
        <v>12</v>
      </c>
      <c r="G1877" s="4" t="n">
        <v>69.99</v>
      </c>
      <c r="H1877" s="4" t="n">
        <v>33.02</v>
      </c>
      <c r="I1877" s="4" t="n">
        <f aca="false">F1877*G1877</f>
        <v>839.88</v>
      </c>
      <c r="J1877" s="4" t="n">
        <f aca="false">F1877*H1877</f>
        <v>396.24</v>
      </c>
      <c r="K1877" s="4" t="n">
        <f aca="false">I1877-J1877</f>
        <v>443.64</v>
      </c>
      <c r="L1877" s="5" t="n">
        <f aca="false">IFERROR(K1877/I1877,0)</f>
        <v>0.528218316902415</v>
      </c>
    </row>
    <row r="1878" customFormat="false" ht="15" hidden="false" customHeight="false" outlineLevel="0" collapsed="false">
      <c r="A1878" s="2" t="s">
        <v>47</v>
      </c>
      <c r="B1878" s="2" t="s">
        <v>48</v>
      </c>
      <c r="C1878" s="2" t="s">
        <v>14</v>
      </c>
      <c r="D1878" s="2" t="s">
        <v>16</v>
      </c>
      <c r="E1878" s="3" t="n">
        <v>46143</v>
      </c>
      <c r="F1878" s="2" t="n">
        <v>16</v>
      </c>
      <c r="G1878" s="4" t="n">
        <v>19.99</v>
      </c>
      <c r="H1878" s="4" t="n">
        <v>9.02</v>
      </c>
      <c r="I1878" s="4" t="n">
        <f aca="false">F1878*G1878</f>
        <v>319.84</v>
      </c>
      <c r="J1878" s="4" t="n">
        <f aca="false">F1878*H1878</f>
        <v>144.32</v>
      </c>
      <c r="K1878" s="4" t="n">
        <f aca="false">I1878-J1878</f>
        <v>175.52</v>
      </c>
      <c r="L1878" s="5" t="n">
        <f aca="false">IFERROR(K1878/I1878,0)</f>
        <v>0.548774387193597</v>
      </c>
    </row>
    <row r="1879" customFormat="false" ht="15" hidden="false" customHeight="false" outlineLevel="0" collapsed="false">
      <c r="A1879" s="2" t="s">
        <v>47</v>
      </c>
      <c r="B1879" s="2" t="s">
        <v>48</v>
      </c>
      <c r="C1879" s="2" t="s">
        <v>14</v>
      </c>
      <c r="D1879" s="2" t="s">
        <v>17</v>
      </c>
      <c r="E1879" s="3" t="n">
        <v>46143</v>
      </c>
      <c r="F1879" s="2" t="n">
        <v>12</v>
      </c>
      <c r="G1879" s="4" t="n">
        <v>79.99</v>
      </c>
      <c r="H1879" s="4" t="n">
        <v>41.11</v>
      </c>
      <c r="I1879" s="4" t="n">
        <f aca="false">F1879*G1879</f>
        <v>959.88</v>
      </c>
      <c r="J1879" s="4" t="n">
        <f aca="false">F1879*H1879</f>
        <v>493.32</v>
      </c>
      <c r="K1879" s="4" t="n">
        <f aca="false">I1879-J1879</f>
        <v>466.56</v>
      </c>
      <c r="L1879" s="5" t="n">
        <f aca="false">IFERROR(K1879/I1879,0)</f>
        <v>0.486060757594699</v>
      </c>
    </row>
    <row r="1880" customFormat="false" ht="15" hidden="false" customHeight="false" outlineLevel="0" collapsed="false">
      <c r="A1880" s="2" t="s">
        <v>47</v>
      </c>
      <c r="B1880" s="2" t="s">
        <v>48</v>
      </c>
      <c r="C1880" s="2" t="s">
        <v>14</v>
      </c>
      <c r="D1880" s="2" t="s">
        <v>18</v>
      </c>
      <c r="E1880" s="3" t="n">
        <v>46143</v>
      </c>
      <c r="F1880" s="2" t="n">
        <v>12</v>
      </c>
      <c r="G1880" s="4" t="n">
        <v>34.99</v>
      </c>
      <c r="H1880" s="4" t="n">
        <v>15.05</v>
      </c>
      <c r="I1880" s="4" t="n">
        <f aca="false">F1880*G1880</f>
        <v>419.88</v>
      </c>
      <c r="J1880" s="4" t="n">
        <f aca="false">F1880*H1880</f>
        <v>180.6</v>
      </c>
      <c r="K1880" s="4" t="n">
        <f aca="false">I1880-J1880</f>
        <v>239.28</v>
      </c>
      <c r="L1880" s="5" t="n">
        <f aca="false">IFERROR(K1880/I1880,0)</f>
        <v>0.56987710774507</v>
      </c>
    </row>
    <row r="1881" customFormat="false" ht="15" hidden="false" customHeight="false" outlineLevel="0" collapsed="false">
      <c r="A1881" s="2" t="s">
        <v>47</v>
      </c>
      <c r="B1881" s="2" t="s">
        <v>48</v>
      </c>
      <c r="C1881" s="2" t="s">
        <v>14</v>
      </c>
      <c r="D1881" s="2" t="s">
        <v>19</v>
      </c>
      <c r="E1881" s="3" t="n">
        <v>46143</v>
      </c>
      <c r="F1881" s="2" t="n">
        <v>16</v>
      </c>
      <c r="G1881" s="4" t="n">
        <v>54.99</v>
      </c>
      <c r="H1881" s="4" t="n">
        <v>24.25</v>
      </c>
      <c r="I1881" s="4" t="n">
        <f aca="false">F1881*G1881</f>
        <v>879.84</v>
      </c>
      <c r="J1881" s="4" t="n">
        <f aca="false">F1881*H1881</f>
        <v>388</v>
      </c>
      <c r="K1881" s="4" t="n">
        <f aca="false">I1881-J1881</f>
        <v>491.84</v>
      </c>
      <c r="L1881" s="5" t="n">
        <f aca="false">IFERROR(K1881/I1881,0)</f>
        <v>0.559010729223495</v>
      </c>
    </row>
    <row r="1882" customFormat="false" ht="15" hidden="false" customHeight="false" outlineLevel="0" collapsed="false">
      <c r="A1882" s="2" t="s">
        <v>47</v>
      </c>
      <c r="B1882" s="2" t="s">
        <v>48</v>
      </c>
      <c r="C1882" s="2" t="s">
        <v>20</v>
      </c>
      <c r="D1882" s="2" t="s">
        <v>21</v>
      </c>
      <c r="E1882" s="3" t="n">
        <v>46143</v>
      </c>
      <c r="F1882" s="2" t="n">
        <v>16</v>
      </c>
      <c r="G1882" s="4" t="n">
        <v>44.99</v>
      </c>
      <c r="H1882" s="4" t="n">
        <v>20.39</v>
      </c>
      <c r="I1882" s="4" t="n">
        <f aca="false">F1882*G1882</f>
        <v>719.84</v>
      </c>
      <c r="J1882" s="4" t="n">
        <f aca="false">F1882*H1882</f>
        <v>326.24</v>
      </c>
      <c r="K1882" s="4" t="n">
        <f aca="false">I1882-J1882</f>
        <v>393.6</v>
      </c>
      <c r="L1882" s="5" t="n">
        <f aca="false">IFERROR(K1882/I1882,0)</f>
        <v>0.546788175150033</v>
      </c>
    </row>
    <row r="1883" customFormat="false" ht="15" hidden="false" customHeight="false" outlineLevel="0" collapsed="false">
      <c r="A1883" s="2" t="s">
        <v>47</v>
      </c>
      <c r="B1883" s="2" t="s">
        <v>48</v>
      </c>
      <c r="C1883" s="2" t="s">
        <v>20</v>
      </c>
      <c r="D1883" s="2" t="s">
        <v>22</v>
      </c>
      <c r="E1883" s="3" t="n">
        <v>46143</v>
      </c>
      <c r="F1883" s="2" t="n">
        <v>16</v>
      </c>
      <c r="G1883" s="4" t="n">
        <v>14.99</v>
      </c>
      <c r="H1883" s="4" t="n">
        <v>5.56</v>
      </c>
      <c r="I1883" s="4" t="n">
        <f aca="false">F1883*G1883</f>
        <v>239.84</v>
      </c>
      <c r="J1883" s="4" t="n">
        <f aca="false">F1883*H1883</f>
        <v>88.96</v>
      </c>
      <c r="K1883" s="4" t="n">
        <f aca="false">I1883-J1883</f>
        <v>150.88</v>
      </c>
      <c r="L1883" s="5" t="n">
        <f aca="false">IFERROR(K1883/I1883,0)</f>
        <v>0.629086057371581</v>
      </c>
    </row>
    <row r="1884" customFormat="false" ht="15" hidden="false" customHeight="false" outlineLevel="0" collapsed="false">
      <c r="A1884" s="2" t="s">
        <v>47</v>
      </c>
      <c r="B1884" s="2" t="s">
        <v>48</v>
      </c>
      <c r="C1884" s="2" t="s">
        <v>20</v>
      </c>
      <c r="D1884" s="2" t="s">
        <v>23</v>
      </c>
      <c r="E1884" s="3" t="n">
        <v>46143</v>
      </c>
      <c r="F1884" s="2" t="n">
        <v>17</v>
      </c>
      <c r="G1884" s="4" t="n">
        <v>39.99</v>
      </c>
      <c r="H1884" s="4" t="n">
        <v>16.5</v>
      </c>
      <c r="I1884" s="4" t="n">
        <f aca="false">F1884*G1884</f>
        <v>679.83</v>
      </c>
      <c r="J1884" s="4" t="n">
        <f aca="false">F1884*H1884</f>
        <v>280.5</v>
      </c>
      <c r="K1884" s="4" t="n">
        <f aca="false">I1884-J1884</f>
        <v>399.33</v>
      </c>
      <c r="L1884" s="5" t="n">
        <f aca="false">IFERROR(K1884/I1884,0)</f>
        <v>0.587396849212303</v>
      </c>
    </row>
    <row r="1885" customFormat="false" ht="15" hidden="false" customHeight="false" outlineLevel="0" collapsed="false">
      <c r="A1885" s="2" t="s">
        <v>47</v>
      </c>
      <c r="B1885" s="2" t="s">
        <v>48</v>
      </c>
      <c r="C1885" s="2" t="s">
        <v>20</v>
      </c>
      <c r="D1885" s="2" t="s">
        <v>24</v>
      </c>
      <c r="E1885" s="3" t="n">
        <v>46143</v>
      </c>
      <c r="F1885" s="2" t="n">
        <v>14</v>
      </c>
      <c r="G1885" s="4" t="n">
        <v>18.99</v>
      </c>
      <c r="H1885" s="4" t="n">
        <v>7.8</v>
      </c>
      <c r="I1885" s="4" t="n">
        <f aca="false">F1885*G1885</f>
        <v>265.86</v>
      </c>
      <c r="J1885" s="4" t="n">
        <f aca="false">F1885*H1885</f>
        <v>109.2</v>
      </c>
      <c r="K1885" s="4" t="n">
        <f aca="false">I1885-J1885</f>
        <v>156.66</v>
      </c>
      <c r="L1885" s="5" t="n">
        <f aca="false">IFERROR(K1885/I1885,0)</f>
        <v>0.589257503949447</v>
      </c>
    </row>
    <row r="1886" customFormat="false" ht="15" hidden="false" customHeight="false" outlineLevel="0" collapsed="false">
      <c r="A1886" s="2" t="s">
        <v>47</v>
      </c>
      <c r="B1886" s="2" t="s">
        <v>48</v>
      </c>
      <c r="C1886" s="2" t="s">
        <v>20</v>
      </c>
      <c r="D1886" s="2" t="s">
        <v>25</v>
      </c>
      <c r="E1886" s="3" t="n">
        <v>46143</v>
      </c>
      <c r="F1886" s="2" t="n">
        <v>9</v>
      </c>
      <c r="G1886" s="4" t="n">
        <v>42.99</v>
      </c>
      <c r="H1886" s="4" t="n">
        <v>16.18</v>
      </c>
      <c r="I1886" s="4" t="n">
        <f aca="false">F1886*G1886</f>
        <v>386.91</v>
      </c>
      <c r="J1886" s="4" t="n">
        <f aca="false">F1886*H1886</f>
        <v>145.62</v>
      </c>
      <c r="K1886" s="4" t="n">
        <f aca="false">I1886-J1886</f>
        <v>241.29</v>
      </c>
      <c r="L1886" s="5" t="n">
        <f aca="false">IFERROR(K1886/I1886,0)</f>
        <v>0.623633403117004</v>
      </c>
    </row>
    <row r="1887" customFormat="false" ht="15" hidden="false" customHeight="false" outlineLevel="0" collapsed="false">
      <c r="A1887" s="2" t="s">
        <v>47</v>
      </c>
      <c r="B1887" s="2" t="s">
        <v>48</v>
      </c>
      <c r="C1887" s="2" t="s">
        <v>26</v>
      </c>
      <c r="D1887" s="2" t="s">
        <v>27</v>
      </c>
      <c r="E1887" s="3" t="n">
        <v>46143</v>
      </c>
      <c r="F1887" s="2" t="n">
        <v>19</v>
      </c>
      <c r="G1887" s="4" t="n">
        <v>44.99</v>
      </c>
      <c r="H1887" s="4" t="n">
        <v>27.07</v>
      </c>
      <c r="I1887" s="4" t="n">
        <f aca="false">F1887*G1887</f>
        <v>854.81</v>
      </c>
      <c r="J1887" s="4" t="n">
        <f aca="false">F1887*H1887</f>
        <v>514.33</v>
      </c>
      <c r="K1887" s="4" t="n">
        <f aca="false">I1887-J1887</f>
        <v>340.48</v>
      </c>
      <c r="L1887" s="5" t="n">
        <f aca="false">IFERROR(K1887/I1887,0)</f>
        <v>0.398310735719049</v>
      </c>
    </row>
    <row r="1888" customFormat="false" ht="15" hidden="false" customHeight="false" outlineLevel="0" collapsed="false">
      <c r="A1888" s="2" t="s">
        <v>47</v>
      </c>
      <c r="B1888" s="2" t="s">
        <v>48</v>
      </c>
      <c r="C1888" s="2" t="s">
        <v>26</v>
      </c>
      <c r="D1888" s="2" t="s">
        <v>28</v>
      </c>
      <c r="E1888" s="3" t="n">
        <v>46143</v>
      </c>
      <c r="F1888" s="2" t="n">
        <v>13</v>
      </c>
      <c r="G1888" s="4" t="n">
        <v>34.99</v>
      </c>
      <c r="H1888" s="4" t="n">
        <v>22.25</v>
      </c>
      <c r="I1888" s="4" t="n">
        <f aca="false">F1888*G1888</f>
        <v>454.87</v>
      </c>
      <c r="J1888" s="4" t="n">
        <f aca="false">F1888*H1888</f>
        <v>289.25</v>
      </c>
      <c r="K1888" s="4" t="n">
        <f aca="false">I1888-J1888</f>
        <v>165.62</v>
      </c>
      <c r="L1888" s="5" t="n">
        <f aca="false">IFERROR(K1888/I1888,0)</f>
        <v>0.364104029722778</v>
      </c>
    </row>
    <row r="1889" customFormat="false" ht="15" hidden="false" customHeight="false" outlineLevel="0" collapsed="false">
      <c r="A1889" s="2" t="s">
        <v>47</v>
      </c>
      <c r="B1889" s="2" t="s">
        <v>48</v>
      </c>
      <c r="C1889" s="2" t="s">
        <v>26</v>
      </c>
      <c r="D1889" s="2" t="s">
        <v>29</v>
      </c>
      <c r="E1889" s="3" t="n">
        <v>46143</v>
      </c>
      <c r="F1889" s="2" t="n">
        <v>14</v>
      </c>
      <c r="G1889" s="4" t="n">
        <v>119.99</v>
      </c>
      <c r="H1889" s="4" t="n">
        <v>80.12</v>
      </c>
      <c r="I1889" s="4" t="n">
        <f aca="false">F1889*G1889</f>
        <v>1679.86</v>
      </c>
      <c r="J1889" s="4" t="n">
        <f aca="false">F1889*H1889</f>
        <v>1121.68</v>
      </c>
      <c r="K1889" s="4" t="n">
        <f aca="false">I1889-J1889</f>
        <v>558.18</v>
      </c>
      <c r="L1889" s="5" t="n">
        <f aca="false">IFERROR(K1889/I1889,0)</f>
        <v>0.332277689807484</v>
      </c>
    </row>
    <row r="1890" customFormat="false" ht="15" hidden="false" customHeight="false" outlineLevel="0" collapsed="false">
      <c r="A1890" s="2" t="s">
        <v>47</v>
      </c>
      <c r="B1890" s="2" t="s">
        <v>48</v>
      </c>
      <c r="C1890" s="2" t="s">
        <v>26</v>
      </c>
      <c r="D1890" s="2" t="s">
        <v>30</v>
      </c>
      <c r="E1890" s="3" t="n">
        <v>46143</v>
      </c>
      <c r="F1890" s="2" t="n">
        <v>14</v>
      </c>
      <c r="G1890" s="4" t="n">
        <v>24.99</v>
      </c>
      <c r="H1890" s="4" t="n">
        <v>14.63</v>
      </c>
      <c r="I1890" s="4" t="n">
        <f aca="false">F1890*G1890</f>
        <v>349.86</v>
      </c>
      <c r="J1890" s="4" t="n">
        <f aca="false">F1890*H1890</f>
        <v>204.82</v>
      </c>
      <c r="K1890" s="4" t="n">
        <f aca="false">I1890-J1890</f>
        <v>145.04</v>
      </c>
      <c r="L1890" s="5" t="n">
        <f aca="false">IFERROR(K1890/I1890,0)</f>
        <v>0.414565826330532</v>
      </c>
    </row>
    <row r="1891" customFormat="false" ht="15" hidden="false" customHeight="false" outlineLevel="0" collapsed="false">
      <c r="A1891" s="2" t="s">
        <v>47</v>
      </c>
      <c r="B1891" s="2" t="s">
        <v>48</v>
      </c>
      <c r="C1891" s="2" t="s">
        <v>26</v>
      </c>
      <c r="D1891" s="2" t="s">
        <v>31</v>
      </c>
      <c r="E1891" s="3" t="n">
        <v>46143</v>
      </c>
      <c r="F1891" s="2" t="n">
        <v>19</v>
      </c>
      <c r="G1891" s="4" t="n">
        <v>59.99</v>
      </c>
      <c r="H1891" s="4" t="n">
        <v>38.52</v>
      </c>
      <c r="I1891" s="4" t="n">
        <f aca="false">F1891*G1891</f>
        <v>1139.81</v>
      </c>
      <c r="J1891" s="4" t="n">
        <f aca="false">F1891*H1891</f>
        <v>731.88</v>
      </c>
      <c r="K1891" s="4" t="n">
        <f aca="false">I1891-J1891</f>
        <v>407.93</v>
      </c>
      <c r="L1891" s="5" t="n">
        <f aca="false">IFERROR(K1891/I1891,0)</f>
        <v>0.357892982163694</v>
      </c>
    </row>
    <row r="1892" customFormat="false" ht="15" hidden="false" customHeight="false" outlineLevel="0" collapsed="false">
      <c r="A1892" s="2" t="s">
        <v>47</v>
      </c>
      <c r="B1892" s="2" t="s">
        <v>48</v>
      </c>
      <c r="C1892" s="2" t="s">
        <v>32</v>
      </c>
      <c r="D1892" s="2" t="s">
        <v>33</v>
      </c>
      <c r="E1892" s="3" t="n">
        <v>46143</v>
      </c>
      <c r="F1892" s="2" t="n">
        <v>10</v>
      </c>
      <c r="G1892" s="4" t="n">
        <v>49.99</v>
      </c>
      <c r="H1892" s="4" t="n">
        <v>35.68</v>
      </c>
      <c r="I1892" s="4" t="n">
        <f aca="false">F1892*G1892</f>
        <v>499.9</v>
      </c>
      <c r="J1892" s="4" t="n">
        <f aca="false">F1892*H1892</f>
        <v>356.8</v>
      </c>
      <c r="K1892" s="4" t="n">
        <f aca="false">I1892-J1892</f>
        <v>143.1</v>
      </c>
      <c r="L1892" s="5" t="n">
        <f aca="false">IFERROR(K1892/I1892,0)</f>
        <v>0.28625725145029</v>
      </c>
    </row>
    <row r="1893" customFormat="false" ht="15" hidden="false" customHeight="false" outlineLevel="0" collapsed="false">
      <c r="A1893" s="2" t="s">
        <v>47</v>
      </c>
      <c r="B1893" s="2" t="s">
        <v>48</v>
      </c>
      <c r="C1893" s="2" t="s">
        <v>32</v>
      </c>
      <c r="D1893" s="2" t="s">
        <v>34</v>
      </c>
      <c r="E1893" s="3" t="n">
        <v>46143</v>
      </c>
      <c r="F1893" s="2" t="n">
        <v>17</v>
      </c>
      <c r="G1893" s="4" t="n">
        <v>27.99</v>
      </c>
      <c r="H1893" s="4" t="n">
        <v>20.4</v>
      </c>
      <c r="I1893" s="4" t="n">
        <f aca="false">F1893*G1893</f>
        <v>475.83</v>
      </c>
      <c r="J1893" s="4" t="n">
        <f aca="false">F1893*H1893</f>
        <v>346.8</v>
      </c>
      <c r="K1893" s="4" t="n">
        <f aca="false">I1893-J1893</f>
        <v>129.03</v>
      </c>
      <c r="L1893" s="5" t="n">
        <f aca="false">IFERROR(K1893/I1893,0)</f>
        <v>0.271168274383709</v>
      </c>
    </row>
    <row r="1894" customFormat="false" ht="15" hidden="false" customHeight="false" outlineLevel="0" collapsed="false">
      <c r="A1894" s="2" t="s">
        <v>47</v>
      </c>
      <c r="B1894" s="2" t="s">
        <v>48</v>
      </c>
      <c r="C1894" s="2" t="s">
        <v>32</v>
      </c>
      <c r="D1894" s="2" t="s">
        <v>35</v>
      </c>
      <c r="E1894" s="3" t="n">
        <v>46143</v>
      </c>
      <c r="F1894" s="2" t="n">
        <v>18</v>
      </c>
      <c r="G1894" s="4" t="n">
        <v>64.99</v>
      </c>
      <c r="H1894" s="4" t="n">
        <v>44.28</v>
      </c>
      <c r="I1894" s="4" t="n">
        <f aca="false">F1894*G1894</f>
        <v>1169.82</v>
      </c>
      <c r="J1894" s="4" t="n">
        <f aca="false">F1894*H1894</f>
        <v>797.04</v>
      </c>
      <c r="K1894" s="4" t="n">
        <f aca="false">I1894-J1894</f>
        <v>372.78</v>
      </c>
      <c r="L1894" s="5" t="n">
        <f aca="false">IFERROR(K1894/I1894,0)</f>
        <v>0.318664409909217</v>
      </c>
    </row>
    <row r="1895" customFormat="false" ht="15" hidden="false" customHeight="false" outlineLevel="0" collapsed="false">
      <c r="A1895" s="2" t="s">
        <v>47</v>
      </c>
      <c r="B1895" s="2" t="s">
        <v>48</v>
      </c>
      <c r="C1895" s="2" t="s">
        <v>32</v>
      </c>
      <c r="D1895" s="2" t="s">
        <v>36</v>
      </c>
      <c r="E1895" s="3" t="n">
        <v>46143</v>
      </c>
      <c r="F1895" s="2" t="n">
        <v>14</v>
      </c>
      <c r="G1895" s="4" t="n">
        <v>22.99</v>
      </c>
      <c r="H1895" s="4" t="n">
        <v>16.4</v>
      </c>
      <c r="I1895" s="4" t="n">
        <f aca="false">F1895*G1895</f>
        <v>321.86</v>
      </c>
      <c r="J1895" s="4" t="n">
        <f aca="false">F1895*H1895</f>
        <v>229.6</v>
      </c>
      <c r="K1895" s="4" t="n">
        <f aca="false">I1895-J1895</f>
        <v>92.26</v>
      </c>
      <c r="L1895" s="5" t="n">
        <f aca="false">IFERROR(K1895/I1895,0)</f>
        <v>0.286646367986081</v>
      </c>
    </row>
    <row r="1896" customFormat="false" ht="15" hidden="false" customHeight="false" outlineLevel="0" collapsed="false">
      <c r="A1896" s="2" t="s">
        <v>47</v>
      </c>
      <c r="B1896" s="2" t="s">
        <v>48</v>
      </c>
      <c r="C1896" s="2" t="s">
        <v>32</v>
      </c>
      <c r="D1896" s="2" t="s">
        <v>37</v>
      </c>
      <c r="E1896" s="3" t="n">
        <v>46143</v>
      </c>
      <c r="F1896" s="2" t="n">
        <v>14</v>
      </c>
      <c r="G1896" s="4" t="n">
        <v>29.99</v>
      </c>
      <c r="H1896" s="4" t="n">
        <v>20.56</v>
      </c>
      <c r="I1896" s="4" t="n">
        <f aca="false">F1896*G1896</f>
        <v>419.86</v>
      </c>
      <c r="J1896" s="4" t="n">
        <f aca="false">F1896*H1896</f>
        <v>287.84</v>
      </c>
      <c r="K1896" s="4" t="n">
        <f aca="false">I1896-J1896</f>
        <v>132.02</v>
      </c>
      <c r="L1896" s="5" t="n">
        <f aca="false">IFERROR(K1896/I1896,0)</f>
        <v>0.314438146048683</v>
      </c>
    </row>
    <row r="1897" customFormat="false" ht="15" hidden="false" customHeight="false" outlineLevel="0" collapsed="false">
      <c r="A1897" s="2" t="s">
        <v>47</v>
      </c>
      <c r="B1897" s="2" t="s">
        <v>48</v>
      </c>
      <c r="C1897" s="2" t="s">
        <v>38</v>
      </c>
      <c r="D1897" s="2" t="s">
        <v>39</v>
      </c>
      <c r="E1897" s="3" t="n">
        <v>46143</v>
      </c>
      <c r="F1897" s="2" t="n">
        <v>12</v>
      </c>
      <c r="G1897" s="4" t="n">
        <v>129.99</v>
      </c>
      <c r="H1897" s="4" t="n">
        <v>73.99</v>
      </c>
      <c r="I1897" s="4" t="n">
        <f aca="false">F1897*G1897</f>
        <v>1559.88</v>
      </c>
      <c r="J1897" s="4" t="n">
        <f aca="false">F1897*H1897</f>
        <v>887.88</v>
      </c>
      <c r="K1897" s="4" t="n">
        <f aca="false">I1897-J1897</f>
        <v>672</v>
      </c>
      <c r="L1897" s="5" t="n">
        <f aca="false">IFERROR(K1897/I1897,0)</f>
        <v>0.430802369413032</v>
      </c>
    </row>
    <row r="1898" customFormat="false" ht="15" hidden="false" customHeight="false" outlineLevel="0" collapsed="false">
      <c r="A1898" s="2" t="s">
        <v>47</v>
      </c>
      <c r="B1898" s="2" t="s">
        <v>48</v>
      </c>
      <c r="C1898" s="2" t="s">
        <v>38</v>
      </c>
      <c r="D1898" s="2" t="s">
        <v>40</v>
      </c>
      <c r="E1898" s="3" t="n">
        <v>46143</v>
      </c>
      <c r="F1898" s="2" t="n">
        <v>16</v>
      </c>
      <c r="G1898" s="4" t="n">
        <v>74.99</v>
      </c>
      <c r="H1898" s="4" t="n">
        <v>41.69</v>
      </c>
      <c r="I1898" s="4" t="n">
        <f aca="false">F1898*G1898</f>
        <v>1199.84</v>
      </c>
      <c r="J1898" s="4" t="n">
        <f aca="false">F1898*H1898</f>
        <v>667.04</v>
      </c>
      <c r="K1898" s="4" t="n">
        <f aca="false">I1898-J1898</f>
        <v>532.8</v>
      </c>
      <c r="L1898" s="5" t="n">
        <f aca="false">IFERROR(K1898/I1898,0)</f>
        <v>0.444059207894386</v>
      </c>
    </row>
    <row r="1899" customFormat="false" ht="15" hidden="false" customHeight="false" outlineLevel="0" collapsed="false">
      <c r="A1899" s="2" t="s">
        <v>47</v>
      </c>
      <c r="B1899" s="2" t="s">
        <v>48</v>
      </c>
      <c r="C1899" s="2" t="s">
        <v>38</v>
      </c>
      <c r="D1899" s="2" t="s">
        <v>41</v>
      </c>
      <c r="E1899" s="3" t="n">
        <v>46143</v>
      </c>
      <c r="F1899" s="2" t="n">
        <v>15</v>
      </c>
      <c r="G1899" s="4" t="n">
        <v>19.99</v>
      </c>
      <c r="H1899" s="4" t="n">
        <v>9.49</v>
      </c>
      <c r="I1899" s="4" t="n">
        <f aca="false">F1899*G1899</f>
        <v>299.85</v>
      </c>
      <c r="J1899" s="4" t="n">
        <f aca="false">F1899*H1899</f>
        <v>142.35</v>
      </c>
      <c r="K1899" s="4" t="n">
        <f aca="false">I1899-J1899</f>
        <v>157.5</v>
      </c>
      <c r="L1899" s="5" t="n">
        <f aca="false">IFERROR(K1899/I1899,0)</f>
        <v>0.525262631315658</v>
      </c>
    </row>
    <row r="1900" customFormat="false" ht="15" hidden="false" customHeight="false" outlineLevel="0" collapsed="false">
      <c r="A1900" s="2" t="s">
        <v>47</v>
      </c>
      <c r="B1900" s="2" t="s">
        <v>48</v>
      </c>
      <c r="C1900" s="2" t="s">
        <v>38</v>
      </c>
      <c r="D1900" s="2" t="s">
        <v>42</v>
      </c>
      <c r="E1900" s="3" t="n">
        <v>46143</v>
      </c>
      <c r="F1900" s="2" t="n">
        <v>18</v>
      </c>
      <c r="G1900" s="4" t="n">
        <v>16.99</v>
      </c>
      <c r="H1900" s="4" t="n">
        <v>8.28</v>
      </c>
      <c r="I1900" s="4" t="n">
        <f aca="false">F1900*G1900</f>
        <v>305.82</v>
      </c>
      <c r="J1900" s="4" t="n">
        <f aca="false">F1900*H1900</f>
        <v>149.04</v>
      </c>
      <c r="K1900" s="4" t="n">
        <f aca="false">I1900-J1900</f>
        <v>156.78</v>
      </c>
      <c r="L1900" s="5" t="n">
        <f aca="false">IFERROR(K1900/I1900,0)</f>
        <v>0.512654502648617</v>
      </c>
    </row>
    <row r="1901" customFormat="false" ht="15" hidden="false" customHeight="false" outlineLevel="0" collapsed="false">
      <c r="A1901" s="2" t="s">
        <v>47</v>
      </c>
      <c r="B1901" s="2" t="s">
        <v>48</v>
      </c>
      <c r="C1901" s="2" t="s">
        <v>38</v>
      </c>
      <c r="D1901" s="2" t="s">
        <v>43</v>
      </c>
      <c r="E1901" s="3" t="n">
        <v>46143</v>
      </c>
      <c r="F1901" s="2" t="n">
        <v>18</v>
      </c>
      <c r="G1901" s="4" t="n">
        <v>24.99</v>
      </c>
      <c r="H1901" s="4" t="n">
        <v>12.9</v>
      </c>
      <c r="I1901" s="4" t="n">
        <f aca="false">F1901*G1901</f>
        <v>449.82</v>
      </c>
      <c r="J1901" s="4" t="n">
        <f aca="false">F1901*H1901</f>
        <v>232.2</v>
      </c>
      <c r="K1901" s="4" t="n">
        <f aca="false">I1901-J1901</f>
        <v>217.62</v>
      </c>
      <c r="L1901" s="5" t="n">
        <f aca="false">IFERROR(K1901/I1901,0)</f>
        <v>0.483793517406963</v>
      </c>
    </row>
    <row r="1902" customFormat="false" ht="15" hidden="false" customHeight="false" outlineLevel="0" collapsed="false">
      <c r="A1902" s="2" t="s">
        <v>47</v>
      </c>
      <c r="B1902" s="2" t="s">
        <v>49</v>
      </c>
      <c r="C1902" s="2" t="s">
        <v>14</v>
      </c>
      <c r="D1902" s="2" t="s">
        <v>15</v>
      </c>
      <c r="E1902" s="3" t="n">
        <v>46143</v>
      </c>
      <c r="F1902" s="2" t="n">
        <v>12</v>
      </c>
      <c r="G1902" s="4" t="n">
        <v>69.99</v>
      </c>
      <c r="H1902" s="4" t="n">
        <v>32.64</v>
      </c>
      <c r="I1902" s="4" t="n">
        <f aca="false">F1902*G1902</f>
        <v>839.88</v>
      </c>
      <c r="J1902" s="4" t="n">
        <f aca="false">F1902*H1902</f>
        <v>391.68</v>
      </c>
      <c r="K1902" s="4" t="n">
        <f aca="false">I1902-J1902</f>
        <v>448.2</v>
      </c>
      <c r="L1902" s="5" t="n">
        <f aca="false">IFERROR(K1902/I1902,0)</f>
        <v>0.533647663951993</v>
      </c>
    </row>
    <row r="1903" customFormat="false" ht="15" hidden="false" customHeight="false" outlineLevel="0" collapsed="false">
      <c r="A1903" s="2" t="s">
        <v>47</v>
      </c>
      <c r="B1903" s="2" t="s">
        <v>49</v>
      </c>
      <c r="C1903" s="2" t="s">
        <v>14</v>
      </c>
      <c r="D1903" s="2" t="s">
        <v>16</v>
      </c>
      <c r="E1903" s="3" t="n">
        <v>46143</v>
      </c>
      <c r="F1903" s="2" t="n">
        <v>14</v>
      </c>
      <c r="G1903" s="4" t="n">
        <v>19.99</v>
      </c>
      <c r="H1903" s="4" t="n">
        <v>8.94</v>
      </c>
      <c r="I1903" s="4" t="n">
        <f aca="false">F1903*G1903</f>
        <v>279.86</v>
      </c>
      <c r="J1903" s="4" t="n">
        <f aca="false">F1903*H1903</f>
        <v>125.16</v>
      </c>
      <c r="K1903" s="4" t="n">
        <f aca="false">I1903-J1903</f>
        <v>154.7</v>
      </c>
      <c r="L1903" s="5" t="n">
        <f aca="false">IFERROR(K1903/I1903,0)</f>
        <v>0.552776388194097</v>
      </c>
    </row>
    <row r="1904" customFormat="false" ht="15" hidden="false" customHeight="false" outlineLevel="0" collapsed="false">
      <c r="A1904" s="2" t="s">
        <v>47</v>
      </c>
      <c r="B1904" s="2" t="s">
        <v>49</v>
      </c>
      <c r="C1904" s="2" t="s">
        <v>14</v>
      </c>
      <c r="D1904" s="2" t="s">
        <v>17</v>
      </c>
      <c r="E1904" s="3" t="n">
        <v>46143</v>
      </c>
      <c r="F1904" s="2" t="n">
        <v>9</v>
      </c>
      <c r="G1904" s="4" t="n">
        <v>79.99</v>
      </c>
      <c r="H1904" s="4" t="n">
        <v>39.15</v>
      </c>
      <c r="I1904" s="4" t="n">
        <f aca="false">F1904*G1904</f>
        <v>719.91</v>
      </c>
      <c r="J1904" s="4" t="n">
        <f aca="false">F1904*H1904</f>
        <v>352.35</v>
      </c>
      <c r="K1904" s="4" t="n">
        <f aca="false">I1904-J1904</f>
        <v>367.56</v>
      </c>
      <c r="L1904" s="5" t="n">
        <f aca="false">IFERROR(K1904/I1904,0)</f>
        <v>0.51056382047756</v>
      </c>
    </row>
    <row r="1905" customFormat="false" ht="15" hidden="false" customHeight="false" outlineLevel="0" collapsed="false">
      <c r="A1905" s="2" t="s">
        <v>47</v>
      </c>
      <c r="B1905" s="2" t="s">
        <v>49</v>
      </c>
      <c r="C1905" s="2" t="s">
        <v>14</v>
      </c>
      <c r="D1905" s="2" t="s">
        <v>18</v>
      </c>
      <c r="E1905" s="3" t="n">
        <v>46143</v>
      </c>
      <c r="F1905" s="2" t="n">
        <v>17</v>
      </c>
      <c r="G1905" s="4" t="n">
        <v>34.99</v>
      </c>
      <c r="H1905" s="4" t="n">
        <v>14.47</v>
      </c>
      <c r="I1905" s="4" t="n">
        <f aca="false">F1905*G1905</f>
        <v>594.83</v>
      </c>
      <c r="J1905" s="4" t="n">
        <f aca="false">F1905*H1905</f>
        <v>245.99</v>
      </c>
      <c r="K1905" s="4" t="n">
        <f aca="false">I1905-J1905</f>
        <v>348.84</v>
      </c>
      <c r="L1905" s="5" t="n">
        <f aca="false">IFERROR(K1905/I1905,0)</f>
        <v>0.586453272363532</v>
      </c>
    </row>
    <row r="1906" customFormat="false" ht="15" hidden="false" customHeight="false" outlineLevel="0" collapsed="false">
      <c r="A1906" s="2" t="s">
        <v>47</v>
      </c>
      <c r="B1906" s="2" t="s">
        <v>49</v>
      </c>
      <c r="C1906" s="2" t="s">
        <v>14</v>
      </c>
      <c r="D1906" s="2" t="s">
        <v>19</v>
      </c>
      <c r="E1906" s="3" t="n">
        <v>46143</v>
      </c>
      <c r="F1906" s="2" t="n">
        <v>11</v>
      </c>
      <c r="G1906" s="4" t="n">
        <v>54.99</v>
      </c>
      <c r="H1906" s="4" t="n">
        <v>23.59</v>
      </c>
      <c r="I1906" s="4" t="n">
        <f aca="false">F1906*G1906</f>
        <v>604.89</v>
      </c>
      <c r="J1906" s="4" t="n">
        <f aca="false">F1906*H1906</f>
        <v>259.49</v>
      </c>
      <c r="K1906" s="4" t="n">
        <f aca="false">I1906-J1906</f>
        <v>345.4</v>
      </c>
      <c r="L1906" s="5" t="n">
        <f aca="false">IFERROR(K1906/I1906,0)</f>
        <v>0.571012911438443</v>
      </c>
    </row>
    <row r="1907" customFormat="false" ht="15" hidden="false" customHeight="false" outlineLevel="0" collapsed="false">
      <c r="A1907" s="2" t="s">
        <v>47</v>
      </c>
      <c r="B1907" s="2" t="s">
        <v>49</v>
      </c>
      <c r="C1907" s="2" t="s">
        <v>20</v>
      </c>
      <c r="D1907" s="2" t="s">
        <v>21</v>
      </c>
      <c r="E1907" s="3" t="n">
        <v>46143</v>
      </c>
      <c r="F1907" s="2" t="n">
        <v>11</v>
      </c>
      <c r="G1907" s="4" t="n">
        <v>44.99</v>
      </c>
      <c r="H1907" s="4" t="n">
        <v>19.83</v>
      </c>
      <c r="I1907" s="4" t="n">
        <f aca="false">F1907*G1907</f>
        <v>494.89</v>
      </c>
      <c r="J1907" s="4" t="n">
        <f aca="false">F1907*H1907</f>
        <v>218.13</v>
      </c>
      <c r="K1907" s="4" t="n">
        <f aca="false">I1907-J1907</f>
        <v>276.76</v>
      </c>
      <c r="L1907" s="5" t="n">
        <f aca="false">IFERROR(K1907/I1907,0)</f>
        <v>0.559235385641254</v>
      </c>
    </row>
    <row r="1908" customFormat="false" ht="15" hidden="false" customHeight="false" outlineLevel="0" collapsed="false">
      <c r="A1908" s="2" t="s">
        <v>47</v>
      </c>
      <c r="B1908" s="2" t="s">
        <v>49</v>
      </c>
      <c r="C1908" s="2" t="s">
        <v>20</v>
      </c>
      <c r="D1908" s="2" t="s">
        <v>22</v>
      </c>
      <c r="E1908" s="3" t="n">
        <v>46143</v>
      </c>
      <c r="F1908" s="2" t="n">
        <v>13</v>
      </c>
      <c r="G1908" s="4" t="n">
        <v>14.99</v>
      </c>
      <c r="H1908" s="4" t="n">
        <v>5.66</v>
      </c>
      <c r="I1908" s="4" t="n">
        <f aca="false">F1908*G1908</f>
        <v>194.87</v>
      </c>
      <c r="J1908" s="4" t="n">
        <f aca="false">F1908*H1908</f>
        <v>73.58</v>
      </c>
      <c r="K1908" s="4" t="n">
        <f aca="false">I1908-J1908</f>
        <v>121.29</v>
      </c>
      <c r="L1908" s="5" t="n">
        <f aca="false">IFERROR(K1908/I1908,0)</f>
        <v>0.62241494329553</v>
      </c>
    </row>
    <row r="1909" customFormat="false" ht="15" hidden="false" customHeight="false" outlineLevel="0" collapsed="false">
      <c r="A1909" s="2" t="s">
        <v>47</v>
      </c>
      <c r="B1909" s="2" t="s">
        <v>49</v>
      </c>
      <c r="C1909" s="2" t="s">
        <v>20</v>
      </c>
      <c r="D1909" s="2" t="s">
        <v>23</v>
      </c>
      <c r="E1909" s="3" t="n">
        <v>46143</v>
      </c>
      <c r="F1909" s="2" t="n">
        <v>10</v>
      </c>
      <c r="G1909" s="4" t="n">
        <v>39.99</v>
      </c>
      <c r="H1909" s="4" t="n">
        <v>17.12</v>
      </c>
      <c r="I1909" s="4" t="n">
        <f aca="false">F1909*G1909</f>
        <v>399.9</v>
      </c>
      <c r="J1909" s="4" t="n">
        <f aca="false">F1909*H1909</f>
        <v>171.2</v>
      </c>
      <c r="K1909" s="4" t="n">
        <f aca="false">I1909-J1909</f>
        <v>228.7</v>
      </c>
      <c r="L1909" s="5" t="n">
        <f aca="false">IFERROR(K1909/I1909,0)</f>
        <v>0.571892973243311</v>
      </c>
    </row>
    <row r="1910" customFormat="false" ht="15" hidden="false" customHeight="false" outlineLevel="0" collapsed="false">
      <c r="A1910" s="2" t="s">
        <v>47</v>
      </c>
      <c r="B1910" s="2" t="s">
        <v>49</v>
      </c>
      <c r="C1910" s="2" t="s">
        <v>20</v>
      </c>
      <c r="D1910" s="2" t="s">
        <v>24</v>
      </c>
      <c r="E1910" s="3" t="n">
        <v>46143</v>
      </c>
      <c r="F1910" s="2" t="n">
        <v>10</v>
      </c>
      <c r="G1910" s="4" t="n">
        <v>18.99</v>
      </c>
      <c r="H1910" s="4" t="n">
        <v>7.41</v>
      </c>
      <c r="I1910" s="4" t="n">
        <f aca="false">F1910*G1910</f>
        <v>189.9</v>
      </c>
      <c r="J1910" s="4" t="n">
        <f aca="false">F1910*H1910</f>
        <v>74.1</v>
      </c>
      <c r="K1910" s="4" t="n">
        <f aca="false">I1910-J1910</f>
        <v>115.8</v>
      </c>
      <c r="L1910" s="5" t="n">
        <f aca="false">IFERROR(K1910/I1910,0)</f>
        <v>0.609794628751975</v>
      </c>
    </row>
    <row r="1911" customFormat="false" ht="15" hidden="false" customHeight="false" outlineLevel="0" collapsed="false">
      <c r="A1911" s="2" t="s">
        <v>47</v>
      </c>
      <c r="B1911" s="2" t="s">
        <v>49</v>
      </c>
      <c r="C1911" s="2" t="s">
        <v>20</v>
      </c>
      <c r="D1911" s="2" t="s">
        <v>25</v>
      </c>
      <c r="E1911" s="3" t="n">
        <v>46143</v>
      </c>
      <c r="F1911" s="2" t="n">
        <v>12</v>
      </c>
      <c r="G1911" s="4" t="n">
        <v>42.99</v>
      </c>
      <c r="H1911" s="4" t="n">
        <v>15.69</v>
      </c>
      <c r="I1911" s="4" t="n">
        <f aca="false">F1911*G1911</f>
        <v>515.88</v>
      </c>
      <c r="J1911" s="4" t="n">
        <f aca="false">F1911*H1911</f>
        <v>188.28</v>
      </c>
      <c r="K1911" s="4" t="n">
        <f aca="false">I1911-J1911</f>
        <v>327.6</v>
      </c>
      <c r="L1911" s="5" t="n">
        <f aca="false">IFERROR(K1911/I1911,0)</f>
        <v>0.63503140265178</v>
      </c>
    </row>
    <row r="1912" customFormat="false" ht="15" hidden="false" customHeight="false" outlineLevel="0" collapsed="false">
      <c r="A1912" s="2" t="s">
        <v>47</v>
      </c>
      <c r="B1912" s="2" t="s">
        <v>49</v>
      </c>
      <c r="C1912" s="2" t="s">
        <v>26</v>
      </c>
      <c r="D1912" s="2" t="s">
        <v>27</v>
      </c>
      <c r="E1912" s="3" t="n">
        <v>46143</v>
      </c>
      <c r="F1912" s="2" t="n">
        <v>12</v>
      </c>
      <c r="G1912" s="4" t="n">
        <v>44.99</v>
      </c>
      <c r="H1912" s="4" t="n">
        <v>27.18</v>
      </c>
      <c r="I1912" s="4" t="n">
        <f aca="false">F1912*G1912</f>
        <v>539.88</v>
      </c>
      <c r="J1912" s="4" t="n">
        <f aca="false">F1912*H1912</f>
        <v>326.16</v>
      </c>
      <c r="K1912" s="4" t="n">
        <f aca="false">I1912-J1912</f>
        <v>213.72</v>
      </c>
      <c r="L1912" s="5" t="n">
        <f aca="false">IFERROR(K1912/I1912,0)</f>
        <v>0.395865747943988</v>
      </c>
    </row>
    <row r="1913" customFormat="false" ht="15" hidden="false" customHeight="false" outlineLevel="0" collapsed="false">
      <c r="A1913" s="2" t="s">
        <v>47</v>
      </c>
      <c r="B1913" s="2" t="s">
        <v>49</v>
      </c>
      <c r="C1913" s="2" t="s">
        <v>26</v>
      </c>
      <c r="D1913" s="2" t="s">
        <v>28</v>
      </c>
      <c r="E1913" s="3" t="n">
        <v>46143</v>
      </c>
      <c r="F1913" s="2" t="n">
        <v>9</v>
      </c>
      <c r="G1913" s="4" t="n">
        <v>34.99</v>
      </c>
      <c r="H1913" s="4" t="n">
        <v>22.11</v>
      </c>
      <c r="I1913" s="4" t="n">
        <f aca="false">F1913*G1913</f>
        <v>314.91</v>
      </c>
      <c r="J1913" s="4" t="n">
        <f aca="false">F1913*H1913</f>
        <v>198.99</v>
      </c>
      <c r="K1913" s="4" t="n">
        <f aca="false">I1913-J1913</f>
        <v>115.92</v>
      </c>
      <c r="L1913" s="5" t="n">
        <f aca="false">IFERROR(K1913/I1913,0)</f>
        <v>0.368105172906545</v>
      </c>
    </row>
    <row r="1914" customFormat="false" ht="15" hidden="false" customHeight="false" outlineLevel="0" collapsed="false">
      <c r="A1914" s="2" t="s">
        <v>47</v>
      </c>
      <c r="B1914" s="2" t="s">
        <v>49</v>
      </c>
      <c r="C1914" s="2" t="s">
        <v>26</v>
      </c>
      <c r="D1914" s="2" t="s">
        <v>29</v>
      </c>
      <c r="E1914" s="3" t="n">
        <v>46143</v>
      </c>
      <c r="F1914" s="2" t="n">
        <v>9</v>
      </c>
      <c r="G1914" s="4" t="n">
        <v>119.99</v>
      </c>
      <c r="H1914" s="4" t="n">
        <v>80.46</v>
      </c>
      <c r="I1914" s="4" t="n">
        <f aca="false">F1914*G1914</f>
        <v>1079.91</v>
      </c>
      <c r="J1914" s="4" t="n">
        <f aca="false">F1914*H1914</f>
        <v>724.14</v>
      </c>
      <c r="K1914" s="4" t="n">
        <f aca="false">I1914-J1914</f>
        <v>355.77</v>
      </c>
      <c r="L1914" s="5" t="n">
        <f aca="false">IFERROR(K1914/I1914,0)</f>
        <v>0.329444120343362</v>
      </c>
    </row>
    <row r="1915" customFormat="false" ht="15" hidden="false" customHeight="false" outlineLevel="0" collapsed="false">
      <c r="A1915" s="2" t="s">
        <v>47</v>
      </c>
      <c r="B1915" s="2" t="s">
        <v>49</v>
      </c>
      <c r="C1915" s="2" t="s">
        <v>26</v>
      </c>
      <c r="D1915" s="2" t="s">
        <v>30</v>
      </c>
      <c r="E1915" s="3" t="n">
        <v>46143</v>
      </c>
      <c r="F1915" s="2" t="n">
        <v>10</v>
      </c>
      <c r="G1915" s="4" t="n">
        <v>24.99</v>
      </c>
      <c r="H1915" s="4" t="n">
        <v>15.38</v>
      </c>
      <c r="I1915" s="4" t="n">
        <f aca="false">F1915*G1915</f>
        <v>249.9</v>
      </c>
      <c r="J1915" s="4" t="n">
        <f aca="false">F1915*H1915</f>
        <v>153.8</v>
      </c>
      <c r="K1915" s="4" t="n">
        <f aca="false">I1915-J1915</f>
        <v>96.1</v>
      </c>
      <c r="L1915" s="5" t="n">
        <f aca="false">IFERROR(K1915/I1915,0)</f>
        <v>0.384553821528611</v>
      </c>
    </row>
    <row r="1916" customFormat="false" ht="15" hidden="false" customHeight="false" outlineLevel="0" collapsed="false">
      <c r="A1916" s="2" t="s">
        <v>47</v>
      </c>
      <c r="B1916" s="2" t="s">
        <v>49</v>
      </c>
      <c r="C1916" s="2" t="s">
        <v>26</v>
      </c>
      <c r="D1916" s="2" t="s">
        <v>31</v>
      </c>
      <c r="E1916" s="3" t="n">
        <v>46143</v>
      </c>
      <c r="F1916" s="2" t="n">
        <v>12</v>
      </c>
      <c r="G1916" s="4" t="n">
        <v>59.99</v>
      </c>
      <c r="H1916" s="4" t="n">
        <v>40.07</v>
      </c>
      <c r="I1916" s="4" t="n">
        <f aca="false">F1916*G1916</f>
        <v>719.88</v>
      </c>
      <c r="J1916" s="4" t="n">
        <f aca="false">F1916*H1916</f>
        <v>480.84</v>
      </c>
      <c r="K1916" s="4" t="n">
        <f aca="false">I1916-J1916</f>
        <v>239.04</v>
      </c>
      <c r="L1916" s="5" t="n">
        <f aca="false">IFERROR(K1916/I1916,0)</f>
        <v>0.332055342557093</v>
      </c>
    </row>
    <row r="1917" customFormat="false" ht="15" hidden="false" customHeight="false" outlineLevel="0" collapsed="false">
      <c r="A1917" s="2" t="s">
        <v>47</v>
      </c>
      <c r="B1917" s="2" t="s">
        <v>49</v>
      </c>
      <c r="C1917" s="2" t="s">
        <v>32</v>
      </c>
      <c r="D1917" s="2" t="s">
        <v>33</v>
      </c>
      <c r="E1917" s="3" t="n">
        <v>46143</v>
      </c>
      <c r="F1917" s="2" t="n">
        <v>11</v>
      </c>
      <c r="G1917" s="4" t="n">
        <v>49.99</v>
      </c>
      <c r="H1917" s="4" t="n">
        <v>35.91</v>
      </c>
      <c r="I1917" s="4" t="n">
        <f aca="false">F1917*G1917</f>
        <v>549.89</v>
      </c>
      <c r="J1917" s="4" t="n">
        <f aca="false">F1917*H1917</f>
        <v>395.01</v>
      </c>
      <c r="K1917" s="4" t="n">
        <f aca="false">I1917-J1917</f>
        <v>154.88</v>
      </c>
      <c r="L1917" s="5" t="n">
        <f aca="false">IFERROR(K1917/I1917,0)</f>
        <v>0.281656331266253</v>
      </c>
    </row>
    <row r="1918" customFormat="false" ht="15" hidden="false" customHeight="false" outlineLevel="0" collapsed="false">
      <c r="A1918" s="2" t="s">
        <v>47</v>
      </c>
      <c r="B1918" s="2" t="s">
        <v>49</v>
      </c>
      <c r="C1918" s="2" t="s">
        <v>32</v>
      </c>
      <c r="D1918" s="2" t="s">
        <v>34</v>
      </c>
      <c r="E1918" s="3" t="n">
        <v>46143</v>
      </c>
      <c r="F1918" s="2" t="n">
        <v>10</v>
      </c>
      <c r="G1918" s="4" t="n">
        <v>27.99</v>
      </c>
      <c r="H1918" s="4" t="n">
        <v>20.37</v>
      </c>
      <c r="I1918" s="4" t="n">
        <f aca="false">F1918*G1918</f>
        <v>279.9</v>
      </c>
      <c r="J1918" s="4" t="n">
        <f aca="false">F1918*H1918</f>
        <v>203.7</v>
      </c>
      <c r="K1918" s="4" t="n">
        <f aca="false">I1918-J1918</f>
        <v>76.2</v>
      </c>
      <c r="L1918" s="5" t="n">
        <f aca="false">IFERROR(K1918/I1918,0)</f>
        <v>0.272240085744909</v>
      </c>
    </row>
    <row r="1919" customFormat="false" ht="15" hidden="false" customHeight="false" outlineLevel="0" collapsed="false">
      <c r="A1919" s="2" t="s">
        <v>47</v>
      </c>
      <c r="B1919" s="2" t="s">
        <v>49</v>
      </c>
      <c r="C1919" s="2" t="s">
        <v>32</v>
      </c>
      <c r="D1919" s="2" t="s">
        <v>35</v>
      </c>
      <c r="E1919" s="3" t="n">
        <v>46143</v>
      </c>
      <c r="F1919" s="2" t="n">
        <v>13</v>
      </c>
      <c r="G1919" s="4" t="n">
        <v>64.99</v>
      </c>
      <c r="H1919" s="4" t="n">
        <v>46.46</v>
      </c>
      <c r="I1919" s="4" t="n">
        <f aca="false">F1919*G1919</f>
        <v>844.87</v>
      </c>
      <c r="J1919" s="4" t="n">
        <f aca="false">F1919*H1919</f>
        <v>603.98</v>
      </c>
      <c r="K1919" s="4" t="n">
        <f aca="false">I1919-J1919</f>
        <v>240.89</v>
      </c>
      <c r="L1919" s="5" t="n">
        <f aca="false">IFERROR(K1919/I1919,0)</f>
        <v>0.28512078781351</v>
      </c>
    </row>
    <row r="1920" customFormat="false" ht="15" hidden="false" customHeight="false" outlineLevel="0" collapsed="false">
      <c r="A1920" s="2" t="s">
        <v>47</v>
      </c>
      <c r="B1920" s="2" t="s">
        <v>49</v>
      </c>
      <c r="C1920" s="2" t="s">
        <v>32</v>
      </c>
      <c r="D1920" s="2" t="s">
        <v>36</v>
      </c>
      <c r="E1920" s="3" t="n">
        <v>46143</v>
      </c>
      <c r="F1920" s="2" t="n">
        <v>13</v>
      </c>
      <c r="G1920" s="4" t="n">
        <v>22.99</v>
      </c>
      <c r="H1920" s="4" t="n">
        <v>16.85</v>
      </c>
      <c r="I1920" s="4" t="n">
        <f aca="false">F1920*G1920</f>
        <v>298.87</v>
      </c>
      <c r="J1920" s="4" t="n">
        <f aca="false">F1920*H1920</f>
        <v>219.05</v>
      </c>
      <c r="K1920" s="4" t="n">
        <f aca="false">I1920-J1920</f>
        <v>79.82</v>
      </c>
      <c r="L1920" s="5" t="n">
        <f aca="false">IFERROR(K1920/I1920,0)</f>
        <v>0.267072640278382</v>
      </c>
    </row>
    <row r="1921" customFormat="false" ht="15" hidden="false" customHeight="false" outlineLevel="0" collapsed="false">
      <c r="A1921" s="2" t="s">
        <v>47</v>
      </c>
      <c r="B1921" s="2" t="s">
        <v>49</v>
      </c>
      <c r="C1921" s="2" t="s">
        <v>32</v>
      </c>
      <c r="D1921" s="2" t="s">
        <v>37</v>
      </c>
      <c r="E1921" s="3" t="n">
        <v>46143</v>
      </c>
      <c r="F1921" s="2" t="n">
        <v>8</v>
      </c>
      <c r="G1921" s="4" t="n">
        <v>29.99</v>
      </c>
      <c r="H1921" s="4" t="n">
        <v>20</v>
      </c>
      <c r="I1921" s="4" t="n">
        <f aca="false">F1921*G1921</f>
        <v>239.92</v>
      </c>
      <c r="J1921" s="4" t="n">
        <f aca="false">F1921*H1921</f>
        <v>160</v>
      </c>
      <c r="K1921" s="4" t="n">
        <f aca="false">I1921-J1921</f>
        <v>79.92</v>
      </c>
      <c r="L1921" s="5" t="n">
        <f aca="false">IFERROR(K1921/I1921,0)</f>
        <v>0.333111037012337</v>
      </c>
    </row>
    <row r="1922" customFormat="false" ht="15" hidden="false" customHeight="false" outlineLevel="0" collapsed="false">
      <c r="A1922" s="2" t="s">
        <v>47</v>
      </c>
      <c r="B1922" s="2" t="s">
        <v>49</v>
      </c>
      <c r="C1922" s="2" t="s">
        <v>38</v>
      </c>
      <c r="D1922" s="2" t="s">
        <v>39</v>
      </c>
      <c r="E1922" s="3" t="n">
        <v>46143</v>
      </c>
      <c r="F1922" s="2" t="n">
        <v>13</v>
      </c>
      <c r="G1922" s="4" t="n">
        <v>129.99</v>
      </c>
      <c r="H1922" s="4" t="n">
        <v>75.11</v>
      </c>
      <c r="I1922" s="4" t="n">
        <f aca="false">F1922*G1922</f>
        <v>1689.87</v>
      </c>
      <c r="J1922" s="4" t="n">
        <f aca="false">F1922*H1922</f>
        <v>976.43</v>
      </c>
      <c r="K1922" s="4" t="n">
        <f aca="false">I1922-J1922</f>
        <v>713.44</v>
      </c>
      <c r="L1922" s="5" t="n">
        <f aca="false">IFERROR(K1922/I1922,0)</f>
        <v>0.422186322024771</v>
      </c>
    </row>
    <row r="1923" customFormat="false" ht="15" hidden="false" customHeight="false" outlineLevel="0" collapsed="false">
      <c r="A1923" s="2" t="s">
        <v>47</v>
      </c>
      <c r="B1923" s="2" t="s">
        <v>49</v>
      </c>
      <c r="C1923" s="2" t="s">
        <v>38</v>
      </c>
      <c r="D1923" s="2" t="s">
        <v>40</v>
      </c>
      <c r="E1923" s="3" t="n">
        <v>46143</v>
      </c>
      <c r="F1923" s="2" t="n">
        <v>6</v>
      </c>
      <c r="G1923" s="4" t="n">
        <v>74.99</v>
      </c>
      <c r="H1923" s="4" t="n">
        <v>41.98</v>
      </c>
      <c r="I1923" s="4" t="n">
        <f aca="false">F1923*G1923</f>
        <v>449.94</v>
      </c>
      <c r="J1923" s="4" t="n">
        <f aca="false">F1923*H1923</f>
        <v>251.88</v>
      </c>
      <c r="K1923" s="4" t="n">
        <f aca="false">I1923-J1923</f>
        <v>198.06</v>
      </c>
      <c r="L1923" s="5" t="n">
        <f aca="false">IFERROR(K1923/I1923,0)</f>
        <v>0.440192025603414</v>
      </c>
    </row>
    <row r="1924" customFormat="false" ht="15" hidden="false" customHeight="false" outlineLevel="0" collapsed="false">
      <c r="A1924" s="2" t="s">
        <v>47</v>
      </c>
      <c r="B1924" s="2" t="s">
        <v>49</v>
      </c>
      <c r="C1924" s="2" t="s">
        <v>38</v>
      </c>
      <c r="D1924" s="2" t="s">
        <v>41</v>
      </c>
      <c r="E1924" s="3" t="n">
        <v>46143</v>
      </c>
      <c r="F1924" s="2" t="n">
        <v>15</v>
      </c>
      <c r="G1924" s="4" t="n">
        <v>19.99</v>
      </c>
      <c r="H1924" s="4" t="n">
        <v>9.86</v>
      </c>
      <c r="I1924" s="4" t="n">
        <f aca="false">F1924*G1924</f>
        <v>299.85</v>
      </c>
      <c r="J1924" s="4" t="n">
        <f aca="false">F1924*H1924</f>
        <v>147.9</v>
      </c>
      <c r="K1924" s="4" t="n">
        <f aca="false">I1924-J1924</f>
        <v>151.95</v>
      </c>
      <c r="L1924" s="5" t="n">
        <f aca="false">IFERROR(K1924/I1924,0)</f>
        <v>0.506753376688344</v>
      </c>
    </row>
    <row r="1925" customFormat="false" ht="15" hidden="false" customHeight="false" outlineLevel="0" collapsed="false">
      <c r="A1925" s="2" t="s">
        <v>47</v>
      </c>
      <c r="B1925" s="2" t="s">
        <v>49</v>
      </c>
      <c r="C1925" s="2" t="s">
        <v>38</v>
      </c>
      <c r="D1925" s="2" t="s">
        <v>42</v>
      </c>
      <c r="E1925" s="3" t="n">
        <v>46143</v>
      </c>
      <c r="F1925" s="2" t="n">
        <v>11</v>
      </c>
      <c r="G1925" s="4" t="n">
        <v>16.99</v>
      </c>
      <c r="H1925" s="4" t="n">
        <v>8.24</v>
      </c>
      <c r="I1925" s="4" t="n">
        <f aca="false">F1925*G1925</f>
        <v>186.89</v>
      </c>
      <c r="J1925" s="4" t="n">
        <f aca="false">F1925*H1925</f>
        <v>90.64</v>
      </c>
      <c r="K1925" s="4" t="n">
        <f aca="false">I1925-J1925</f>
        <v>96.25</v>
      </c>
      <c r="L1925" s="5" t="n">
        <f aca="false">IFERROR(K1925/I1925,0)</f>
        <v>0.515008828722778</v>
      </c>
    </row>
    <row r="1926" customFormat="false" ht="15" hidden="false" customHeight="false" outlineLevel="0" collapsed="false">
      <c r="A1926" s="2" t="s">
        <v>47</v>
      </c>
      <c r="B1926" s="2" t="s">
        <v>49</v>
      </c>
      <c r="C1926" s="2" t="s">
        <v>38</v>
      </c>
      <c r="D1926" s="2" t="s">
        <v>43</v>
      </c>
      <c r="E1926" s="3" t="n">
        <v>46143</v>
      </c>
      <c r="F1926" s="2" t="n">
        <v>17</v>
      </c>
      <c r="G1926" s="4" t="n">
        <v>24.99</v>
      </c>
      <c r="H1926" s="4" t="n">
        <v>13.28</v>
      </c>
      <c r="I1926" s="4" t="n">
        <f aca="false">F1926*G1926</f>
        <v>424.83</v>
      </c>
      <c r="J1926" s="4" t="n">
        <f aca="false">F1926*H1926</f>
        <v>225.76</v>
      </c>
      <c r="K1926" s="4" t="n">
        <f aca="false">I1926-J1926</f>
        <v>199.07</v>
      </c>
      <c r="L1926" s="5" t="n">
        <f aca="false">IFERROR(K1926/I1926,0)</f>
        <v>0.46858743497399</v>
      </c>
    </row>
    <row r="1927" customFormat="false" ht="15" hidden="false" customHeight="false" outlineLevel="0" collapsed="false">
      <c r="A1927" s="2" t="s">
        <v>50</v>
      </c>
      <c r="B1927" s="2" t="s">
        <v>51</v>
      </c>
      <c r="C1927" s="2" t="s">
        <v>14</v>
      </c>
      <c r="D1927" s="2" t="s">
        <v>15</v>
      </c>
      <c r="E1927" s="3" t="n">
        <v>46143</v>
      </c>
      <c r="F1927" s="2" t="n">
        <v>8</v>
      </c>
      <c r="G1927" s="4" t="n">
        <v>69.99</v>
      </c>
      <c r="H1927" s="4" t="n">
        <v>33.25</v>
      </c>
      <c r="I1927" s="4" t="n">
        <f aca="false">F1927*G1927</f>
        <v>559.92</v>
      </c>
      <c r="J1927" s="4" t="n">
        <f aca="false">F1927*H1927</f>
        <v>266</v>
      </c>
      <c r="K1927" s="4" t="n">
        <f aca="false">I1927-J1927</f>
        <v>293.92</v>
      </c>
      <c r="L1927" s="5" t="n">
        <f aca="false">IFERROR(K1927/I1927,0)</f>
        <v>0.52493213316188</v>
      </c>
    </row>
    <row r="1928" customFormat="false" ht="15" hidden="false" customHeight="false" outlineLevel="0" collapsed="false">
      <c r="A1928" s="2" t="s">
        <v>50</v>
      </c>
      <c r="B1928" s="2" t="s">
        <v>51</v>
      </c>
      <c r="C1928" s="2" t="s">
        <v>14</v>
      </c>
      <c r="D1928" s="2" t="s">
        <v>16</v>
      </c>
      <c r="E1928" s="3" t="n">
        <v>46143</v>
      </c>
      <c r="F1928" s="2" t="n">
        <v>13</v>
      </c>
      <c r="G1928" s="4" t="n">
        <v>19.99</v>
      </c>
      <c r="H1928" s="4" t="n">
        <v>9.09</v>
      </c>
      <c r="I1928" s="4" t="n">
        <f aca="false">F1928*G1928</f>
        <v>259.87</v>
      </c>
      <c r="J1928" s="4" t="n">
        <f aca="false">F1928*H1928</f>
        <v>118.17</v>
      </c>
      <c r="K1928" s="4" t="n">
        <f aca="false">I1928-J1928</f>
        <v>141.7</v>
      </c>
      <c r="L1928" s="5" t="n">
        <f aca="false">IFERROR(K1928/I1928,0)</f>
        <v>0.545272636318159</v>
      </c>
    </row>
    <row r="1929" customFormat="false" ht="15" hidden="false" customHeight="false" outlineLevel="0" collapsed="false">
      <c r="A1929" s="2" t="s">
        <v>50</v>
      </c>
      <c r="B1929" s="2" t="s">
        <v>51</v>
      </c>
      <c r="C1929" s="2" t="s">
        <v>14</v>
      </c>
      <c r="D1929" s="2" t="s">
        <v>17</v>
      </c>
      <c r="E1929" s="3" t="n">
        <v>46143</v>
      </c>
      <c r="F1929" s="2" t="n">
        <v>18</v>
      </c>
      <c r="G1929" s="4" t="n">
        <v>79.99</v>
      </c>
      <c r="H1929" s="4" t="n">
        <v>38.96</v>
      </c>
      <c r="I1929" s="4" t="n">
        <f aca="false">F1929*G1929</f>
        <v>1439.82</v>
      </c>
      <c r="J1929" s="4" t="n">
        <f aca="false">F1929*H1929</f>
        <v>701.28</v>
      </c>
      <c r="K1929" s="4" t="n">
        <f aca="false">I1929-J1929</f>
        <v>738.54</v>
      </c>
      <c r="L1929" s="5" t="n">
        <f aca="false">IFERROR(K1929/I1929,0)</f>
        <v>0.512939117389674</v>
      </c>
    </row>
    <row r="1930" customFormat="false" ht="15" hidden="false" customHeight="false" outlineLevel="0" collapsed="false">
      <c r="A1930" s="2" t="s">
        <v>50</v>
      </c>
      <c r="B1930" s="2" t="s">
        <v>51</v>
      </c>
      <c r="C1930" s="2" t="s">
        <v>14</v>
      </c>
      <c r="D1930" s="2" t="s">
        <v>18</v>
      </c>
      <c r="E1930" s="3" t="n">
        <v>46143</v>
      </c>
      <c r="F1930" s="2" t="n">
        <v>8</v>
      </c>
      <c r="G1930" s="4" t="n">
        <v>34.99</v>
      </c>
      <c r="H1930" s="4" t="n">
        <v>14.39</v>
      </c>
      <c r="I1930" s="4" t="n">
        <f aca="false">F1930*G1930</f>
        <v>279.92</v>
      </c>
      <c r="J1930" s="4" t="n">
        <f aca="false">F1930*H1930</f>
        <v>115.12</v>
      </c>
      <c r="K1930" s="4" t="n">
        <f aca="false">I1930-J1930</f>
        <v>164.8</v>
      </c>
      <c r="L1930" s="5" t="n">
        <f aca="false">IFERROR(K1930/I1930,0)</f>
        <v>0.588739639897113</v>
      </c>
    </row>
    <row r="1931" customFormat="false" ht="15" hidden="false" customHeight="false" outlineLevel="0" collapsed="false">
      <c r="A1931" s="2" t="s">
        <v>50</v>
      </c>
      <c r="B1931" s="2" t="s">
        <v>51</v>
      </c>
      <c r="C1931" s="2" t="s">
        <v>14</v>
      </c>
      <c r="D1931" s="2" t="s">
        <v>19</v>
      </c>
      <c r="E1931" s="3" t="n">
        <v>46143</v>
      </c>
      <c r="F1931" s="2" t="n">
        <v>22</v>
      </c>
      <c r="G1931" s="4" t="n">
        <v>54.99</v>
      </c>
      <c r="H1931" s="4" t="n">
        <v>24.03</v>
      </c>
      <c r="I1931" s="4" t="n">
        <f aca="false">F1931*G1931</f>
        <v>1209.78</v>
      </c>
      <c r="J1931" s="4" t="n">
        <f aca="false">F1931*H1931</f>
        <v>528.66</v>
      </c>
      <c r="K1931" s="4" t="n">
        <f aca="false">I1931-J1931</f>
        <v>681.12</v>
      </c>
      <c r="L1931" s="5" t="n">
        <f aca="false">IFERROR(K1931/I1931,0)</f>
        <v>0.563011456628478</v>
      </c>
    </row>
    <row r="1932" customFormat="false" ht="15" hidden="false" customHeight="false" outlineLevel="0" collapsed="false">
      <c r="A1932" s="2" t="s">
        <v>50</v>
      </c>
      <c r="B1932" s="2" t="s">
        <v>51</v>
      </c>
      <c r="C1932" s="2" t="s">
        <v>20</v>
      </c>
      <c r="D1932" s="2" t="s">
        <v>21</v>
      </c>
      <c r="E1932" s="3" t="n">
        <v>46143</v>
      </c>
      <c r="F1932" s="2" t="n">
        <v>10</v>
      </c>
      <c r="G1932" s="4" t="n">
        <v>44.99</v>
      </c>
      <c r="H1932" s="4" t="n">
        <v>20.55</v>
      </c>
      <c r="I1932" s="4" t="n">
        <f aca="false">F1932*G1932</f>
        <v>449.9</v>
      </c>
      <c r="J1932" s="4" t="n">
        <f aca="false">F1932*H1932</f>
        <v>205.5</v>
      </c>
      <c r="K1932" s="4" t="n">
        <f aca="false">I1932-J1932</f>
        <v>244.4</v>
      </c>
      <c r="L1932" s="5" t="n">
        <f aca="false">IFERROR(K1932/I1932,0)</f>
        <v>0.543231829295399</v>
      </c>
    </row>
    <row r="1933" customFormat="false" ht="15" hidden="false" customHeight="false" outlineLevel="0" collapsed="false">
      <c r="A1933" s="2" t="s">
        <v>50</v>
      </c>
      <c r="B1933" s="2" t="s">
        <v>51</v>
      </c>
      <c r="C1933" s="2" t="s">
        <v>20</v>
      </c>
      <c r="D1933" s="2" t="s">
        <v>22</v>
      </c>
      <c r="E1933" s="3" t="n">
        <v>46143</v>
      </c>
      <c r="F1933" s="2" t="n">
        <v>12</v>
      </c>
      <c r="G1933" s="4" t="n">
        <v>14.99</v>
      </c>
      <c r="H1933" s="4" t="n">
        <v>5.81</v>
      </c>
      <c r="I1933" s="4" t="n">
        <f aca="false">F1933*G1933</f>
        <v>179.88</v>
      </c>
      <c r="J1933" s="4" t="n">
        <f aca="false">F1933*H1933</f>
        <v>69.72</v>
      </c>
      <c r="K1933" s="4" t="n">
        <f aca="false">I1933-J1933</f>
        <v>110.16</v>
      </c>
      <c r="L1933" s="5" t="n">
        <f aca="false">IFERROR(K1933/I1933,0)</f>
        <v>0.612408272181454</v>
      </c>
    </row>
    <row r="1934" customFormat="false" ht="15" hidden="false" customHeight="false" outlineLevel="0" collapsed="false">
      <c r="A1934" s="2" t="s">
        <v>50</v>
      </c>
      <c r="B1934" s="2" t="s">
        <v>51</v>
      </c>
      <c r="C1934" s="2" t="s">
        <v>20</v>
      </c>
      <c r="D1934" s="2" t="s">
        <v>23</v>
      </c>
      <c r="E1934" s="3" t="n">
        <v>46143</v>
      </c>
      <c r="F1934" s="2" t="n">
        <v>7</v>
      </c>
      <c r="G1934" s="4" t="n">
        <v>39.99</v>
      </c>
      <c r="H1934" s="4" t="n">
        <v>16.92</v>
      </c>
      <c r="I1934" s="4" t="n">
        <f aca="false">F1934*G1934</f>
        <v>279.93</v>
      </c>
      <c r="J1934" s="4" t="n">
        <f aca="false">F1934*H1934</f>
        <v>118.44</v>
      </c>
      <c r="K1934" s="4" t="n">
        <f aca="false">I1934-J1934</f>
        <v>161.49</v>
      </c>
      <c r="L1934" s="5" t="n">
        <f aca="false">IFERROR(K1934/I1934,0)</f>
        <v>0.576894223555889</v>
      </c>
    </row>
    <row r="1935" customFormat="false" ht="15" hidden="false" customHeight="false" outlineLevel="0" collapsed="false">
      <c r="A1935" s="2" t="s">
        <v>50</v>
      </c>
      <c r="B1935" s="2" t="s">
        <v>51</v>
      </c>
      <c r="C1935" s="2" t="s">
        <v>20</v>
      </c>
      <c r="D1935" s="2" t="s">
        <v>24</v>
      </c>
      <c r="E1935" s="3" t="n">
        <v>46143</v>
      </c>
      <c r="F1935" s="2" t="n">
        <v>17</v>
      </c>
      <c r="G1935" s="4" t="n">
        <v>18.99</v>
      </c>
      <c r="H1935" s="4" t="n">
        <v>7.61</v>
      </c>
      <c r="I1935" s="4" t="n">
        <f aca="false">F1935*G1935</f>
        <v>322.83</v>
      </c>
      <c r="J1935" s="4" t="n">
        <f aca="false">F1935*H1935</f>
        <v>129.37</v>
      </c>
      <c r="K1935" s="4" t="n">
        <f aca="false">I1935-J1935</f>
        <v>193.46</v>
      </c>
      <c r="L1935" s="5" t="n">
        <f aca="false">IFERROR(K1935/I1935,0)</f>
        <v>0.599262769878884</v>
      </c>
    </row>
    <row r="1936" customFormat="false" ht="15" hidden="false" customHeight="false" outlineLevel="0" collapsed="false">
      <c r="A1936" s="2" t="s">
        <v>50</v>
      </c>
      <c r="B1936" s="2" t="s">
        <v>51</v>
      </c>
      <c r="C1936" s="2" t="s">
        <v>20</v>
      </c>
      <c r="D1936" s="2" t="s">
        <v>25</v>
      </c>
      <c r="E1936" s="3" t="n">
        <v>46143</v>
      </c>
      <c r="F1936" s="2" t="n">
        <v>15</v>
      </c>
      <c r="G1936" s="4" t="n">
        <v>42.99</v>
      </c>
      <c r="H1936" s="4" t="n">
        <v>15.78</v>
      </c>
      <c r="I1936" s="4" t="n">
        <f aca="false">F1936*G1936</f>
        <v>644.85</v>
      </c>
      <c r="J1936" s="4" t="n">
        <f aca="false">F1936*H1936</f>
        <v>236.7</v>
      </c>
      <c r="K1936" s="4" t="n">
        <f aca="false">I1936-J1936</f>
        <v>408.15</v>
      </c>
      <c r="L1936" s="5" t="n">
        <f aca="false">IFERROR(K1936/I1936,0)</f>
        <v>0.632937892533147</v>
      </c>
    </row>
    <row r="1937" customFormat="false" ht="15" hidden="false" customHeight="false" outlineLevel="0" collapsed="false">
      <c r="A1937" s="2" t="s">
        <v>50</v>
      </c>
      <c r="B1937" s="2" t="s">
        <v>51</v>
      </c>
      <c r="C1937" s="2" t="s">
        <v>26</v>
      </c>
      <c r="D1937" s="2" t="s">
        <v>27</v>
      </c>
      <c r="E1937" s="3" t="n">
        <v>46143</v>
      </c>
      <c r="F1937" s="2" t="n">
        <v>10</v>
      </c>
      <c r="G1937" s="4" t="n">
        <v>44.99</v>
      </c>
      <c r="H1937" s="4" t="n">
        <v>27.52</v>
      </c>
      <c r="I1937" s="4" t="n">
        <f aca="false">F1937*G1937</f>
        <v>449.9</v>
      </c>
      <c r="J1937" s="4" t="n">
        <f aca="false">F1937*H1937</f>
        <v>275.2</v>
      </c>
      <c r="K1937" s="4" t="n">
        <f aca="false">I1937-J1937</f>
        <v>174.7</v>
      </c>
      <c r="L1937" s="5" t="n">
        <f aca="false">IFERROR(K1937/I1937,0)</f>
        <v>0.38830851300289</v>
      </c>
    </row>
    <row r="1938" customFormat="false" ht="15" hidden="false" customHeight="false" outlineLevel="0" collapsed="false">
      <c r="A1938" s="2" t="s">
        <v>50</v>
      </c>
      <c r="B1938" s="2" t="s">
        <v>51</v>
      </c>
      <c r="C1938" s="2" t="s">
        <v>26</v>
      </c>
      <c r="D1938" s="2" t="s">
        <v>28</v>
      </c>
      <c r="E1938" s="3" t="n">
        <v>46143</v>
      </c>
      <c r="F1938" s="2" t="n">
        <v>14</v>
      </c>
      <c r="G1938" s="4" t="n">
        <v>34.99</v>
      </c>
      <c r="H1938" s="4" t="n">
        <v>22.5</v>
      </c>
      <c r="I1938" s="4" t="n">
        <f aca="false">F1938*G1938</f>
        <v>489.86</v>
      </c>
      <c r="J1938" s="4" t="n">
        <f aca="false">F1938*H1938</f>
        <v>315</v>
      </c>
      <c r="K1938" s="4" t="n">
        <f aca="false">I1938-J1938</f>
        <v>174.86</v>
      </c>
      <c r="L1938" s="5" t="n">
        <f aca="false">IFERROR(K1938/I1938,0)</f>
        <v>0.356959131180337</v>
      </c>
    </row>
    <row r="1939" customFormat="false" ht="15" hidden="false" customHeight="false" outlineLevel="0" collapsed="false">
      <c r="A1939" s="2" t="s">
        <v>50</v>
      </c>
      <c r="B1939" s="2" t="s">
        <v>51</v>
      </c>
      <c r="C1939" s="2" t="s">
        <v>26</v>
      </c>
      <c r="D1939" s="2" t="s">
        <v>29</v>
      </c>
      <c r="E1939" s="3" t="n">
        <v>46143</v>
      </c>
      <c r="F1939" s="2" t="n">
        <v>9</v>
      </c>
      <c r="G1939" s="4" t="n">
        <v>119.99</v>
      </c>
      <c r="H1939" s="4" t="n">
        <v>82.48</v>
      </c>
      <c r="I1939" s="4" t="n">
        <f aca="false">F1939*G1939</f>
        <v>1079.91</v>
      </c>
      <c r="J1939" s="4" t="n">
        <f aca="false">F1939*H1939</f>
        <v>742.32</v>
      </c>
      <c r="K1939" s="4" t="n">
        <f aca="false">I1939-J1939</f>
        <v>337.59</v>
      </c>
      <c r="L1939" s="5" t="n">
        <f aca="false">IFERROR(K1939/I1939,0)</f>
        <v>0.312609384115343</v>
      </c>
    </row>
    <row r="1940" customFormat="false" ht="15" hidden="false" customHeight="false" outlineLevel="0" collapsed="false">
      <c r="A1940" s="2" t="s">
        <v>50</v>
      </c>
      <c r="B1940" s="2" t="s">
        <v>51</v>
      </c>
      <c r="C1940" s="2" t="s">
        <v>26</v>
      </c>
      <c r="D1940" s="2" t="s">
        <v>30</v>
      </c>
      <c r="E1940" s="3" t="n">
        <v>46143</v>
      </c>
      <c r="F1940" s="2" t="n">
        <v>8</v>
      </c>
      <c r="G1940" s="4" t="n">
        <v>24.99</v>
      </c>
      <c r="H1940" s="4" t="n">
        <v>15.43</v>
      </c>
      <c r="I1940" s="4" t="n">
        <f aca="false">F1940*G1940</f>
        <v>199.92</v>
      </c>
      <c r="J1940" s="4" t="n">
        <f aca="false">F1940*H1940</f>
        <v>123.44</v>
      </c>
      <c r="K1940" s="4" t="n">
        <f aca="false">I1940-J1940</f>
        <v>76.48</v>
      </c>
      <c r="L1940" s="5" t="n">
        <f aca="false">IFERROR(K1940/I1940,0)</f>
        <v>0.382553021208483</v>
      </c>
    </row>
    <row r="1941" customFormat="false" ht="15" hidden="false" customHeight="false" outlineLevel="0" collapsed="false">
      <c r="A1941" s="2" t="s">
        <v>50</v>
      </c>
      <c r="B1941" s="2" t="s">
        <v>51</v>
      </c>
      <c r="C1941" s="2" t="s">
        <v>26</v>
      </c>
      <c r="D1941" s="2" t="s">
        <v>31</v>
      </c>
      <c r="E1941" s="3" t="n">
        <v>46143</v>
      </c>
      <c r="F1941" s="2" t="n">
        <v>11</v>
      </c>
      <c r="G1941" s="4" t="n">
        <v>59.99</v>
      </c>
      <c r="H1941" s="4" t="n">
        <v>39.71</v>
      </c>
      <c r="I1941" s="4" t="n">
        <f aca="false">F1941*G1941</f>
        <v>659.89</v>
      </c>
      <c r="J1941" s="4" t="n">
        <f aca="false">F1941*H1941</f>
        <v>436.81</v>
      </c>
      <c r="K1941" s="4" t="n">
        <f aca="false">I1941-J1941</f>
        <v>223.08</v>
      </c>
      <c r="L1941" s="5" t="n">
        <f aca="false">IFERROR(K1941/I1941,0)</f>
        <v>0.338056342723787</v>
      </c>
    </row>
    <row r="1942" customFormat="false" ht="15" hidden="false" customHeight="false" outlineLevel="0" collapsed="false">
      <c r="A1942" s="2" t="s">
        <v>50</v>
      </c>
      <c r="B1942" s="2" t="s">
        <v>51</v>
      </c>
      <c r="C1942" s="2" t="s">
        <v>32</v>
      </c>
      <c r="D1942" s="2" t="s">
        <v>33</v>
      </c>
      <c r="E1942" s="3" t="n">
        <v>46143</v>
      </c>
      <c r="F1942" s="2" t="n">
        <v>24</v>
      </c>
      <c r="G1942" s="4" t="n">
        <v>49.99</v>
      </c>
      <c r="H1942" s="4" t="n">
        <v>35.29</v>
      </c>
      <c r="I1942" s="4" t="n">
        <f aca="false">F1942*G1942</f>
        <v>1199.76</v>
      </c>
      <c r="J1942" s="4" t="n">
        <f aca="false">F1942*H1942</f>
        <v>846.96</v>
      </c>
      <c r="K1942" s="4" t="n">
        <f aca="false">I1942-J1942</f>
        <v>352.8</v>
      </c>
      <c r="L1942" s="5" t="n">
        <f aca="false">IFERROR(K1942/I1942,0)</f>
        <v>0.294058811762352</v>
      </c>
    </row>
    <row r="1943" customFormat="false" ht="15" hidden="false" customHeight="false" outlineLevel="0" collapsed="false">
      <c r="A1943" s="2" t="s">
        <v>50</v>
      </c>
      <c r="B1943" s="2" t="s">
        <v>51</v>
      </c>
      <c r="C1943" s="2" t="s">
        <v>32</v>
      </c>
      <c r="D1943" s="2" t="s">
        <v>34</v>
      </c>
      <c r="E1943" s="3" t="n">
        <v>46143</v>
      </c>
      <c r="F1943" s="2" t="n">
        <v>19</v>
      </c>
      <c r="G1943" s="4" t="n">
        <v>27.99</v>
      </c>
      <c r="H1943" s="4" t="n">
        <v>20.01</v>
      </c>
      <c r="I1943" s="4" t="n">
        <f aca="false">F1943*G1943</f>
        <v>531.81</v>
      </c>
      <c r="J1943" s="4" t="n">
        <f aca="false">F1943*H1943</f>
        <v>380.19</v>
      </c>
      <c r="K1943" s="4" t="n">
        <f aca="false">I1943-J1943</f>
        <v>151.62</v>
      </c>
      <c r="L1943" s="5" t="n">
        <f aca="false">IFERROR(K1943/I1943,0)</f>
        <v>0.285101822079314</v>
      </c>
    </row>
    <row r="1944" customFormat="false" ht="15" hidden="false" customHeight="false" outlineLevel="0" collapsed="false">
      <c r="A1944" s="2" t="s">
        <v>50</v>
      </c>
      <c r="B1944" s="2" t="s">
        <v>51</v>
      </c>
      <c r="C1944" s="2" t="s">
        <v>32</v>
      </c>
      <c r="D1944" s="2" t="s">
        <v>35</v>
      </c>
      <c r="E1944" s="3" t="n">
        <v>46143</v>
      </c>
      <c r="F1944" s="2" t="n">
        <v>19</v>
      </c>
      <c r="G1944" s="4" t="n">
        <v>64.99</v>
      </c>
      <c r="H1944" s="4" t="n">
        <v>45.91</v>
      </c>
      <c r="I1944" s="4" t="n">
        <f aca="false">F1944*G1944</f>
        <v>1234.81</v>
      </c>
      <c r="J1944" s="4" t="n">
        <f aca="false">F1944*H1944</f>
        <v>872.29</v>
      </c>
      <c r="K1944" s="4" t="n">
        <f aca="false">I1944-J1944</f>
        <v>362.52</v>
      </c>
      <c r="L1944" s="5" t="n">
        <f aca="false">IFERROR(K1944/I1944,0)</f>
        <v>0.2935836282505</v>
      </c>
    </row>
    <row r="1945" customFormat="false" ht="15" hidden="false" customHeight="false" outlineLevel="0" collapsed="false">
      <c r="A1945" s="2" t="s">
        <v>50</v>
      </c>
      <c r="B1945" s="2" t="s">
        <v>51</v>
      </c>
      <c r="C1945" s="2" t="s">
        <v>32</v>
      </c>
      <c r="D1945" s="2" t="s">
        <v>36</v>
      </c>
      <c r="E1945" s="3" t="n">
        <v>46143</v>
      </c>
      <c r="F1945" s="2" t="n">
        <v>10</v>
      </c>
      <c r="G1945" s="4" t="n">
        <v>22.99</v>
      </c>
      <c r="H1945" s="4" t="n">
        <v>16.88</v>
      </c>
      <c r="I1945" s="4" t="n">
        <f aca="false">F1945*G1945</f>
        <v>229.9</v>
      </c>
      <c r="J1945" s="4" t="n">
        <f aca="false">F1945*H1945</f>
        <v>168.8</v>
      </c>
      <c r="K1945" s="4" t="n">
        <f aca="false">I1945-J1945</f>
        <v>61.1</v>
      </c>
      <c r="L1945" s="5" t="n">
        <f aca="false">IFERROR(K1945/I1945,0)</f>
        <v>0.265767725097869</v>
      </c>
    </row>
    <row r="1946" customFormat="false" ht="15" hidden="false" customHeight="false" outlineLevel="0" collapsed="false">
      <c r="A1946" s="2" t="s">
        <v>50</v>
      </c>
      <c r="B1946" s="2" t="s">
        <v>51</v>
      </c>
      <c r="C1946" s="2" t="s">
        <v>32</v>
      </c>
      <c r="D1946" s="2" t="s">
        <v>37</v>
      </c>
      <c r="E1946" s="3" t="n">
        <v>46143</v>
      </c>
      <c r="F1946" s="2" t="n">
        <v>9</v>
      </c>
      <c r="G1946" s="4" t="n">
        <v>29.99</v>
      </c>
      <c r="H1946" s="4" t="n">
        <v>20.08</v>
      </c>
      <c r="I1946" s="4" t="n">
        <f aca="false">F1946*G1946</f>
        <v>269.91</v>
      </c>
      <c r="J1946" s="4" t="n">
        <f aca="false">F1946*H1946</f>
        <v>180.72</v>
      </c>
      <c r="K1946" s="4" t="n">
        <f aca="false">I1946-J1946</f>
        <v>89.19</v>
      </c>
      <c r="L1946" s="5" t="n">
        <f aca="false">IFERROR(K1946/I1946,0)</f>
        <v>0.330443481160387</v>
      </c>
    </row>
    <row r="1947" customFormat="false" ht="15" hidden="false" customHeight="false" outlineLevel="0" collapsed="false">
      <c r="A1947" s="2" t="s">
        <v>50</v>
      </c>
      <c r="B1947" s="2" t="s">
        <v>51</v>
      </c>
      <c r="C1947" s="2" t="s">
        <v>38</v>
      </c>
      <c r="D1947" s="2" t="s">
        <v>39</v>
      </c>
      <c r="E1947" s="3" t="n">
        <v>46143</v>
      </c>
      <c r="F1947" s="2" t="n">
        <v>2</v>
      </c>
      <c r="G1947" s="4" t="n">
        <v>129.99</v>
      </c>
      <c r="H1947" s="4" t="n">
        <v>74.49</v>
      </c>
      <c r="I1947" s="4" t="n">
        <f aca="false">F1947*G1947</f>
        <v>259.98</v>
      </c>
      <c r="J1947" s="4" t="n">
        <f aca="false">F1947*H1947</f>
        <v>148.98</v>
      </c>
      <c r="K1947" s="4" t="n">
        <f aca="false">I1947-J1947</f>
        <v>111</v>
      </c>
      <c r="L1947" s="5" t="n">
        <f aca="false">IFERROR(K1947/I1947,0)</f>
        <v>0.42695591968613</v>
      </c>
    </row>
    <row r="1948" customFormat="false" ht="15" hidden="false" customHeight="false" outlineLevel="0" collapsed="false">
      <c r="A1948" s="2" t="s">
        <v>50</v>
      </c>
      <c r="B1948" s="2" t="s">
        <v>51</v>
      </c>
      <c r="C1948" s="2" t="s">
        <v>38</v>
      </c>
      <c r="D1948" s="2" t="s">
        <v>40</v>
      </c>
      <c r="E1948" s="3" t="n">
        <v>46143</v>
      </c>
      <c r="F1948" s="2" t="n">
        <v>3</v>
      </c>
      <c r="G1948" s="4" t="n">
        <v>74.99</v>
      </c>
      <c r="H1948" s="4" t="n">
        <v>41.13</v>
      </c>
      <c r="I1948" s="4" t="n">
        <f aca="false">F1948*G1948</f>
        <v>224.97</v>
      </c>
      <c r="J1948" s="4" t="n">
        <f aca="false">F1948*H1948</f>
        <v>123.39</v>
      </c>
      <c r="K1948" s="4" t="n">
        <f aca="false">I1948-J1948</f>
        <v>101.58</v>
      </c>
      <c r="L1948" s="5" t="n">
        <f aca="false">IFERROR(K1948/I1948,0)</f>
        <v>0.451526870249366</v>
      </c>
    </row>
    <row r="1949" customFormat="false" ht="15" hidden="false" customHeight="false" outlineLevel="0" collapsed="false">
      <c r="A1949" s="2" t="s">
        <v>50</v>
      </c>
      <c r="B1949" s="2" t="s">
        <v>51</v>
      </c>
      <c r="C1949" s="2" t="s">
        <v>38</v>
      </c>
      <c r="D1949" s="2" t="s">
        <v>41</v>
      </c>
      <c r="E1949" s="3" t="n">
        <v>46143</v>
      </c>
      <c r="F1949" s="2" t="n">
        <v>4</v>
      </c>
      <c r="G1949" s="4" t="n">
        <v>19.99</v>
      </c>
      <c r="H1949" s="4" t="n">
        <v>9.7</v>
      </c>
      <c r="I1949" s="4" t="n">
        <f aca="false">F1949*G1949</f>
        <v>79.96</v>
      </c>
      <c r="J1949" s="4" t="n">
        <f aca="false">F1949*H1949</f>
        <v>38.8</v>
      </c>
      <c r="K1949" s="4" t="n">
        <f aca="false">I1949-J1949</f>
        <v>41.16</v>
      </c>
      <c r="L1949" s="5" t="n">
        <f aca="false">IFERROR(K1949/I1949,0)</f>
        <v>0.514757378689345</v>
      </c>
    </row>
    <row r="1950" customFormat="false" ht="15" hidden="false" customHeight="false" outlineLevel="0" collapsed="false">
      <c r="A1950" s="2" t="s">
        <v>50</v>
      </c>
      <c r="B1950" s="2" t="s">
        <v>51</v>
      </c>
      <c r="C1950" s="2" t="s">
        <v>38</v>
      </c>
      <c r="D1950" s="2" t="s">
        <v>42</v>
      </c>
      <c r="E1950" s="3" t="n">
        <v>46143</v>
      </c>
      <c r="F1950" s="2" t="n">
        <v>5</v>
      </c>
      <c r="G1950" s="4" t="n">
        <v>16.99</v>
      </c>
      <c r="H1950" s="4" t="n">
        <v>8.69</v>
      </c>
      <c r="I1950" s="4" t="n">
        <f aca="false">F1950*G1950</f>
        <v>84.95</v>
      </c>
      <c r="J1950" s="4" t="n">
        <f aca="false">F1950*H1950</f>
        <v>43.45</v>
      </c>
      <c r="K1950" s="4" t="n">
        <f aca="false">I1950-J1950</f>
        <v>41.5</v>
      </c>
      <c r="L1950" s="5" t="n">
        <f aca="false">IFERROR(K1950/I1950,0)</f>
        <v>0.488522660388464</v>
      </c>
    </row>
    <row r="1951" customFormat="false" ht="15" hidden="false" customHeight="false" outlineLevel="0" collapsed="false">
      <c r="A1951" s="2" t="s">
        <v>50</v>
      </c>
      <c r="B1951" s="2" t="s">
        <v>51</v>
      </c>
      <c r="C1951" s="2" t="s">
        <v>38</v>
      </c>
      <c r="D1951" s="2" t="s">
        <v>43</v>
      </c>
      <c r="E1951" s="3" t="n">
        <v>46143</v>
      </c>
      <c r="F1951" s="2" t="n">
        <v>4</v>
      </c>
      <c r="G1951" s="4" t="n">
        <v>24.99</v>
      </c>
      <c r="H1951" s="4" t="n">
        <v>13.21</v>
      </c>
      <c r="I1951" s="4" t="n">
        <f aca="false">F1951*G1951</f>
        <v>99.96</v>
      </c>
      <c r="J1951" s="4" t="n">
        <f aca="false">F1951*H1951</f>
        <v>52.84</v>
      </c>
      <c r="K1951" s="4" t="n">
        <f aca="false">I1951-J1951</f>
        <v>47.12</v>
      </c>
      <c r="L1951" s="5" t="n">
        <f aca="false">IFERROR(K1951/I1951,0)</f>
        <v>0.471388555422169</v>
      </c>
    </row>
    <row r="1952" customFormat="false" ht="15" hidden="false" customHeight="false" outlineLevel="0" collapsed="false">
      <c r="A1952" s="2" t="s">
        <v>52</v>
      </c>
      <c r="B1952" s="2" t="s">
        <v>53</v>
      </c>
      <c r="C1952" s="2" t="s">
        <v>14</v>
      </c>
      <c r="D1952" s="2" t="s">
        <v>15</v>
      </c>
      <c r="E1952" s="3" t="n">
        <v>46143</v>
      </c>
      <c r="F1952" s="2" t="n">
        <v>16</v>
      </c>
      <c r="G1952" s="4" t="n">
        <v>69.99</v>
      </c>
      <c r="H1952" s="4" t="n">
        <v>34.37</v>
      </c>
      <c r="I1952" s="4" t="n">
        <f aca="false">F1952*G1952</f>
        <v>1119.84</v>
      </c>
      <c r="J1952" s="4" t="n">
        <f aca="false">F1952*H1952</f>
        <v>549.92</v>
      </c>
      <c r="K1952" s="4" t="n">
        <f aca="false">I1952-J1952</f>
        <v>569.92</v>
      </c>
      <c r="L1952" s="5" t="n">
        <f aca="false">IFERROR(K1952/I1952,0)</f>
        <v>0.508929847121017</v>
      </c>
    </row>
    <row r="1953" customFormat="false" ht="15" hidden="false" customHeight="false" outlineLevel="0" collapsed="false">
      <c r="A1953" s="2" t="s">
        <v>52</v>
      </c>
      <c r="B1953" s="2" t="s">
        <v>53</v>
      </c>
      <c r="C1953" s="2" t="s">
        <v>14</v>
      </c>
      <c r="D1953" s="2" t="s">
        <v>16</v>
      </c>
      <c r="E1953" s="3" t="n">
        <v>46143</v>
      </c>
      <c r="F1953" s="2" t="n">
        <v>12</v>
      </c>
      <c r="G1953" s="4" t="n">
        <v>19.99</v>
      </c>
      <c r="H1953" s="4" t="n">
        <v>8.86</v>
      </c>
      <c r="I1953" s="4" t="n">
        <f aca="false">F1953*G1953</f>
        <v>239.88</v>
      </c>
      <c r="J1953" s="4" t="n">
        <f aca="false">F1953*H1953</f>
        <v>106.32</v>
      </c>
      <c r="K1953" s="4" t="n">
        <f aca="false">I1953-J1953</f>
        <v>133.56</v>
      </c>
      <c r="L1953" s="5" t="n">
        <f aca="false">IFERROR(K1953/I1953,0)</f>
        <v>0.556778389194597</v>
      </c>
    </row>
    <row r="1954" customFormat="false" ht="15" hidden="false" customHeight="false" outlineLevel="0" collapsed="false">
      <c r="A1954" s="2" t="s">
        <v>52</v>
      </c>
      <c r="B1954" s="2" t="s">
        <v>53</v>
      </c>
      <c r="C1954" s="2" t="s">
        <v>14</v>
      </c>
      <c r="D1954" s="2" t="s">
        <v>17</v>
      </c>
      <c r="E1954" s="3" t="n">
        <v>46143</v>
      </c>
      <c r="F1954" s="2" t="n">
        <v>12</v>
      </c>
      <c r="G1954" s="4" t="n">
        <v>79.99</v>
      </c>
      <c r="H1954" s="4" t="n">
        <v>41.12</v>
      </c>
      <c r="I1954" s="4" t="n">
        <f aca="false">F1954*G1954</f>
        <v>959.88</v>
      </c>
      <c r="J1954" s="4" t="n">
        <f aca="false">F1954*H1954</f>
        <v>493.44</v>
      </c>
      <c r="K1954" s="4" t="n">
        <f aca="false">I1954-J1954</f>
        <v>466.44</v>
      </c>
      <c r="L1954" s="5" t="n">
        <f aca="false">IFERROR(K1954/I1954,0)</f>
        <v>0.485935741967746</v>
      </c>
    </row>
    <row r="1955" customFormat="false" ht="15" hidden="false" customHeight="false" outlineLevel="0" collapsed="false">
      <c r="A1955" s="2" t="s">
        <v>52</v>
      </c>
      <c r="B1955" s="2" t="s">
        <v>53</v>
      </c>
      <c r="C1955" s="2" t="s">
        <v>14</v>
      </c>
      <c r="D1955" s="2" t="s">
        <v>18</v>
      </c>
      <c r="E1955" s="3" t="n">
        <v>46143</v>
      </c>
      <c r="F1955" s="2" t="n">
        <v>14</v>
      </c>
      <c r="G1955" s="4" t="n">
        <v>34.99</v>
      </c>
      <c r="H1955" s="4" t="n">
        <v>14.9</v>
      </c>
      <c r="I1955" s="4" t="n">
        <f aca="false">F1955*G1955</f>
        <v>489.86</v>
      </c>
      <c r="J1955" s="4" t="n">
        <f aca="false">F1955*H1955</f>
        <v>208.6</v>
      </c>
      <c r="K1955" s="4" t="n">
        <f aca="false">I1955-J1955</f>
        <v>281.26</v>
      </c>
      <c r="L1955" s="5" t="n">
        <f aca="false">IFERROR(K1955/I1955,0)</f>
        <v>0.574164046870534</v>
      </c>
    </row>
    <row r="1956" customFormat="false" ht="15" hidden="false" customHeight="false" outlineLevel="0" collapsed="false">
      <c r="A1956" s="2" t="s">
        <v>52</v>
      </c>
      <c r="B1956" s="2" t="s">
        <v>53</v>
      </c>
      <c r="C1956" s="2" t="s">
        <v>14</v>
      </c>
      <c r="D1956" s="2" t="s">
        <v>19</v>
      </c>
      <c r="E1956" s="3" t="n">
        <v>46143</v>
      </c>
      <c r="F1956" s="2" t="n">
        <v>12</v>
      </c>
      <c r="G1956" s="4" t="n">
        <v>54.99</v>
      </c>
      <c r="H1956" s="4" t="n">
        <v>24.25</v>
      </c>
      <c r="I1956" s="4" t="n">
        <f aca="false">F1956*G1956</f>
        <v>659.88</v>
      </c>
      <c r="J1956" s="4" t="n">
        <f aca="false">F1956*H1956</f>
        <v>291</v>
      </c>
      <c r="K1956" s="4" t="n">
        <f aca="false">I1956-J1956</f>
        <v>368.88</v>
      </c>
      <c r="L1956" s="5" t="n">
        <f aca="false">IFERROR(K1956/I1956,0)</f>
        <v>0.559010729223495</v>
      </c>
    </row>
    <row r="1957" customFormat="false" ht="15" hidden="false" customHeight="false" outlineLevel="0" collapsed="false">
      <c r="A1957" s="2" t="s">
        <v>52</v>
      </c>
      <c r="B1957" s="2" t="s">
        <v>53</v>
      </c>
      <c r="C1957" s="2" t="s">
        <v>20</v>
      </c>
      <c r="D1957" s="2" t="s">
        <v>21</v>
      </c>
      <c r="E1957" s="3" t="n">
        <v>46143</v>
      </c>
      <c r="F1957" s="2" t="n">
        <v>11</v>
      </c>
      <c r="G1957" s="4" t="n">
        <v>44.99</v>
      </c>
      <c r="H1957" s="4" t="n">
        <v>20.31</v>
      </c>
      <c r="I1957" s="4" t="n">
        <f aca="false">F1957*G1957</f>
        <v>494.89</v>
      </c>
      <c r="J1957" s="4" t="n">
        <f aca="false">F1957*H1957</f>
        <v>223.41</v>
      </c>
      <c r="K1957" s="4" t="n">
        <f aca="false">I1957-J1957</f>
        <v>271.48</v>
      </c>
      <c r="L1957" s="5" t="n">
        <f aca="false">IFERROR(K1957/I1957,0)</f>
        <v>0.548566348077351</v>
      </c>
    </row>
    <row r="1958" customFormat="false" ht="15" hidden="false" customHeight="false" outlineLevel="0" collapsed="false">
      <c r="A1958" s="2" t="s">
        <v>52</v>
      </c>
      <c r="B1958" s="2" t="s">
        <v>53</v>
      </c>
      <c r="C1958" s="2" t="s">
        <v>20</v>
      </c>
      <c r="D1958" s="2" t="s">
        <v>22</v>
      </c>
      <c r="E1958" s="3" t="n">
        <v>46143</v>
      </c>
      <c r="F1958" s="2" t="n">
        <v>15</v>
      </c>
      <c r="G1958" s="4" t="n">
        <v>14.99</v>
      </c>
      <c r="H1958" s="4" t="n">
        <v>5.68</v>
      </c>
      <c r="I1958" s="4" t="n">
        <f aca="false">F1958*G1958</f>
        <v>224.85</v>
      </c>
      <c r="J1958" s="4" t="n">
        <f aca="false">F1958*H1958</f>
        <v>85.2</v>
      </c>
      <c r="K1958" s="4" t="n">
        <f aca="false">I1958-J1958</f>
        <v>139.65</v>
      </c>
      <c r="L1958" s="5" t="n">
        <f aca="false">IFERROR(K1958/I1958,0)</f>
        <v>0.62108072048032</v>
      </c>
    </row>
    <row r="1959" customFormat="false" ht="15" hidden="false" customHeight="false" outlineLevel="0" collapsed="false">
      <c r="A1959" s="2" t="s">
        <v>52</v>
      </c>
      <c r="B1959" s="2" t="s">
        <v>53</v>
      </c>
      <c r="C1959" s="2" t="s">
        <v>20</v>
      </c>
      <c r="D1959" s="2" t="s">
        <v>23</v>
      </c>
      <c r="E1959" s="3" t="n">
        <v>46143</v>
      </c>
      <c r="F1959" s="2" t="n">
        <v>15</v>
      </c>
      <c r="G1959" s="4" t="n">
        <v>39.99</v>
      </c>
      <c r="H1959" s="4" t="n">
        <v>17.19</v>
      </c>
      <c r="I1959" s="4" t="n">
        <f aca="false">F1959*G1959</f>
        <v>599.85</v>
      </c>
      <c r="J1959" s="4" t="n">
        <f aca="false">F1959*H1959</f>
        <v>257.85</v>
      </c>
      <c r="K1959" s="4" t="n">
        <f aca="false">I1959-J1959</f>
        <v>342</v>
      </c>
      <c r="L1959" s="5" t="n">
        <f aca="false">IFERROR(K1959/I1959,0)</f>
        <v>0.570142535633909</v>
      </c>
    </row>
    <row r="1960" customFormat="false" ht="15" hidden="false" customHeight="false" outlineLevel="0" collapsed="false">
      <c r="A1960" s="2" t="s">
        <v>52</v>
      </c>
      <c r="B1960" s="2" t="s">
        <v>53</v>
      </c>
      <c r="C1960" s="2" t="s">
        <v>20</v>
      </c>
      <c r="D1960" s="2" t="s">
        <v>24</v>
      </c>
      <c r="E1960" s="3" t="n">
        <v>46143</v>
      </c>
      <c r="F1960" s="2" t="n">
        <v>13</v>
      </c>
      <c r="G1960" s="4" t="n">
        <v>18.99</v>
      </c>
      <c r="H1960" s="4" t="n">
        <v>7.59</v>
      </c>
      <c r="I1960" s="4" t="n">
        <f aca="false">F1960*G1960</f>
        <v>246.87</v>
      </c>
      <c r="J1960" s="4" t="n">
        <f aca="false">F1960*H1960</f>
        <v>98.67</v>
      </c>
      <c r="K1960" s="4" t="n">
        <f aca="false">I1960-J1960</f>
        <v>148.2</v>
      </c>
      <c r="L1960" s="5" t="n">
        <f aca="false">IFERROR(K1960/I1960,0)</f>
        <v>0.600315955766193</v>
      </c>
    </row>
    <row r="1961" customFormat="false" ht="15" hidden="false" customHeight="false" outlineLevel="0" collapsed="false">
      <c r="A1961" s="2" t="s">
        <v>52</v>
      </c>
      <c r="B1961" s="2" t="s">
        <v>53</v>
      </c>
      <c r="C1961" s="2" t="s">
        <v>20</v>
      </c>
      <c r="D1961" s="2" t="s">
        <v>25</v>
      </c>
      <c r="E1961" s="3" t="n">
        <v>46143</v>
      </c>
      <c r="F1961" s="2" t="n">
        <v>14</v>
      </c>
      <c r="G1961" s="4" t="n">
        <v>42.99</v>
      </c>
      <c r="H1961" s="4" t="n">
        <v>15.99</v>
      </c>
      <c r="I1961" s="4" t="n">
        <f aca="false">F1961*G1961</f>
        <v>601.86</v>
      </c>
      <c r="J1961" s="4" t="n">
        <f aca="false">F1961*H1961</f>
        <v>223.86</v>
      </c>
      <c r="K1961" s="4" t="n">
        <f aca="false">I1961-J1961</f>
        <v>378</v>
      </c>
      <c r="L1961" s="5" t="n">
        <f aca="false">IFERROR(K1961/I1961,0)</f>
        <v>0.628053035589672</v>
      </c>
    </row>
    <row r="1962" customFormat="false" ht="15" hidden="false" customHeight="false" outlineLevel="0" collapsed="false">
      <c r="A1962" s="2" t="s">
        <v>52</v>
      </c>
      <c r="B1962" s="2" t="s">
        <v>53</v>
      </c>
      <c r="C1962" s="2" t="s">
        <v>26</v>
      </c>
      <c r="D1962" s="2" t="s">
        <v>27</v>
      </c>
      <c r="E1962" s="3" t="n">
        <v>46143</v>
      </c>
      <c r="F1962" s="2" t="n">
        <v>12</v>
      </c>
      <c r="G1962" s="4" t="n">
        <v>44.99</v>
      </c>
      <c r="H1962" s="4" t="n">
        <v>28.04</v>
      </c>
      <c r="I1962" s="4" t="n">
        <f aca="false">F1962*G1962</f>
        <v>539.88</v>
      </c>
      <c r="J1962" s="4" t="n">
        <f aca="false">F1962*H1962</f>
        <v>336.48</v>
      </c>
      <c r="K1962" s="4" t="n">
        <f aca="false">I1962-J1962</f>
        <v>203.4</v>
      </c>
      <c r="L1962" s="5" t="n">
        <f aca="false">IFERROR(K1962/I1962,0)</f>
        <v>0.376750388975328</v>
      </c>
    </row>
    <row r="1963" customFormat="false" ht="15" hidden="false" customHeight="false" outlineLevel="0" collapsed="false">
      <c r="A1963" s="2" t="s">
        <v>52</v>
      </c>
      <c r="B1963" s="2" t="s">
        <v>53</v>
      </c>
      <c r="C1963" s="2" t="s">
        <v>26</v>
      </c>
      <c r="D1963" s="2" t="s">
        <v>28</v>
      </c>
      <c r="E1963" s="3" t="n">
        <v>46143</v>
      </c>
      <c r="F1963" s="2" t="n">
        <v>13</v>
      </c>
      <c r="G1963" s="4" t="n">
        <v>34.99</v>
      </c>
      <c r="H1963" s="4" t="n">
        <v>21.99</v>
      </c>
      <c r="I1963" s="4" t="n">
        <f aca="false">F1963*G1963</f>
        <v>454.87</v>
      </c>
      <c r="J1963" s="4" t="n">
        <f aca="false">F1963*H1963</f>
        <v>285.87</v>
      </c>
      <c r="K1963" s="4" t="n">
        <f aca="false">I1963-J1963</f>
        <v>169</v>
      </c>
      <c r="L1963" s="5" t="n">
        <f aca="false">IFERROR(K1963/I1963,0)</f>
        <v>0.371534724206916</v>
      </c>
    </row>
    <row r="1964" customFormat="false" ht="15" hidden="false" customHeight="false" outlineLevel="0" collapsed="false">
      <c r="A1964" s="2" t="s">
        <v>52</v>
      </c>
      <c r="B1964" s="2" t="s">
        <v>53</v>
      </c>
      <c r="C1964" s="2" t="s">
        <v>26</v>
      </c>
      <c r="D1964" s="2" t="s">
        <v>29</v>
      </c>
      <c r="E1964" s="3" t="n">
        <v>46143</v>
      </c>
      <c r="F1964" s="2" t="n">
        <v>13</v>
      </c>
      <c r="G1964" s="4" t="n">
        <v>119.99</v>
      </c>
      <c r="H1964" s="4" t="n">
        <v>82.28</v>
      </c>
      <c r="I1964" s="4" t="n">
        <f aca="false">F1964*G1964</f>
        <v>1559.87</v>
      </c>
      <c r="J1964" s="4" t="n">
        <f aca="false">F1964*H1964</f>
        <v>1069.64</v>
      </c>
      <c r="K1964" s="4" t="n">
        <f aca="false">I1964-J1964</f>
        <v>490.23</v>
      </c>
      <c r="L1964" s="5" t="n">
        <f aca="false">IFERROR(K1964/I1964,0)</f>
        <v>0.314276189682473</v>
      </c>
    </row>
    <row r="1965" customFormat="false" ht="15" hidden="false" customHeight="false" outlineLevel="0" collapsed="false">
      <c r="A1965" s="2" t="s">
        <v>52</v>
      </c>
      <c r="B1965" s="2" t="s">
        <v>53</v>
      </c>
      <c r="C1965" s="2" t="s">
        <v>26</v>
      </c>
      <c r="D1965" s="2" t="s">
        <v>30</v>
      </c>
      <c r="E1965" s="3" t="n">
        <v>46143</v>
      </c>
      <c r="F1965" s="2" t="n">
        <v>12</v>
      </c>
      <c r="G1965" s="4" t="n">
        <v>24.99</v>
      </c>
      <c r="H1965" s="4" t="n">
        <v>14.6</v>
      </c>
      <c r="I1965" s="4" t="n">
        <f aca="false">F1965*G1965</f>
        <v>299.88</v>
      </c>
      <c r="J1965" s="4" t="n">
        <f aca="false">F1965*H1965</f>
        <v>175.2</v>
      </c>
      <c r="K1965" s="4" t="n">
        <f aca="false">I1965-J1965</f>
        <v>124.68</v>
      </c>
      <c r="L1965" s="5" t="n">
        <f aca="false">IFERROR(K1965/I1965,0)</f>
        <v>0.415766306522609</v>
      </c>
    </row>
    <row r="1966" customFormat="false" ht="15" hidden="false" customHeight="false" outlineLevel="0" collapsed="false">
      <c r="A1966" s="2" t="s">
        <v>52</v>
      </c>
      <c r="B1966" s="2" t="s">
        <v>53</v>
      </c>
      <c r="C1966" s="2" t="s">
        <v>26</v>
      </c>
      <c r="D1966" s="2" t="s">
        <v>31</v>
      </c>
      <c r="E1966" s="3" t="n">
        <v>46143</v>
      </c>
      <c r="F1966" s="2" t="n">
        <v>11</v>
      </c>
      <c r="G1966" s="4" t="n">
        <v>59.99</v>
      </c>
      <c r="H1966" s="4" t="n">
        <v>39.6</v>
      </c>
      <c r="I1966" s="4" t="n">
        <f aca="false">F1966*G1966</f>
        <v>659.89</v>
      </c>
      <c r="J1966" s="4" t="n">
        <f aca="false">F1966*H1966</f>
        <v>435.6</v>
      </c>
      <c r="K1966" s="4" t="n">
        <f aca="false">I1966-J1966</f>
        <v>224.29</v>
      </c>
      <c r="L1966" s="5" t="n">
        <f aca="false">IFERROR(K1966/I1966,0)</f>
        <v>0.339889981663611</v>
      </c>
    </row>
    <row r="1967" customFormat="false" ht="15" hidden="false" customHeight="false" outlineLevel="0" collapsed="false">
      <c r="A1967" s="2" t="s">
        <v>52</v>
      </c>
      <c r="B1967" s="2" t="s">
        <v>53</v>
      </c>
      <c r="C1967" s="2" t="s">
        <v>32</v>
      </c>
      <c r="D1967" s="2" t="s">
        <v>33</v>
      </c>
      <c r="E1967" s="3" t="n">
        <v>46143</v>
      </c>
      <c r="F1967" s="2" t="n">
        <v>17</v>
      </c>
      <c r="G1967" s="4" t="n">
        <v>49.99</v>
      </c>
      <c r="H1967" s="4" t="n">
        <v>36.91</v>
      </c>
      <c r="I1967" s="4" t="n">
        <f aca="false">F1967*G1967</f>
        <v>849.83</v>
      </c>
      <c r="J1967" s="4" t="n">
        <f aca="false">F1967*H1967</f>
        <v>627.47</v>
      </c>
      <c r="K1967" s="4" t="n">
        <f aca="false">I1967-J1967</f>
        <v>222.36</v>
      </c>
      <c r="L1967" s="5" t="n">
        <f aca="false">IFERROR(K1967/I1967,0)</f>
        <v>0.261652330466093</v>
      </c>
    </row>
    <row r="1968" customFormat="false" ht="15" hidden="false" customHeight="false" outlineLevel="0" collapsed="false">
      <c r="A1968" s="2" t="s">
        <v>52</v>
      </c>
      <c r="B1968" s="2" t="s">
        <v>53</v>
      </c>
      <c r="C1968" s="2" t="s">
        <v>32</v>
      </c>
      <c r="D1968" s="2" t="s">
        <v>34</v>
      </c>
      <c r="E1968" s="3" t="n">
        <v>46143</v>
      </c>
      <c r="F1968" s="2" t="n">
        <v>16</v>
      </c>
      <c r="G1968" s="4" t="n">
        <v>27.99</v>
      </c>
      <c r="H1968" s="4" t="n">
        <v>19.98</v>
      </c>
      <c r="I1968" s="4" t="n">
        <f aca="false">F1968*G1968</f>
        <v>447.84</v>
      </c>
      <c r="J1968" s="4" t="n">
        <f aca="false">F1968*H1968</f>
        <v>319.68</v>
      </c>
      <c r="K1968" s="4" t="n">
        <f aca="false">I1968-J1968</f>
        <v>128.16</v>
      </c>
      <c r="L1968" s="5" t="n">
        <f aca="false">IFERROR(K1968/I1968,0)</f>
        <v>0.286173633440514</v>
      </c>
    </row>
    <row r="1969" customFormat="false" ht="15" hidden="false" customHeight="false" outlineLevel="0" collapsed="false">
      <c r="A1969" s="2" t="s">
        <v>52</v>
      </c>
      <c r="B1969" s="2" t="s">
        <v>53</v>
      </c>
      <c r="C1969" s="2" t="s">
        <v>32</v>
      </c>
      <c r="D1969" s="2" t="s">
        <v>35</v>
      </c>
      <c r="E1969" s="3" t="n">
        <v>46143</v>
      </c>
      <c r="F1969" s="2" t="n">
        <v>8</v>
      </c>
      <c r="G1969" s="4" t="n">
        <v>64.99</v>
      </c>
      <c r="H1969" s="4" t="n">
        <v>46.25</v>
      </c>
      <c r="I1969" s="4" t="n">
        <f aca="false">F1969*G1969</f>
        <v>519.92</v>
      </c>
      <c r="J1969" s="4" t="n">
        <f aca="false">F1969*H1969</f>
        <v>370</v>
      </c>
      <c r="K1969" s="4" t="n">
        <f aca="false">I1969-J1969</f>
        <v>149.92</v>
      </c>
      <c r="L1969" s="5" t="n">
        <f aca="false">IFERROR(K1969/I1969,0)</f>
        <v>0.288352054162179</v>
      </c>
    </row>
    <row r="1970" customFormat="false" ht="15" hidden="false" customHeight="false" outlineLevel="0" collapsed="false">
      <c r="A1970" s="2" t="s">
        <v>52</v>
      </c>
      <c r="B1970" s="2" t="s">
        <v>53</v>
      </c>
      <c r="C1970" s="2" t="s">
        <v>32</v>
      </c>
      <c r="D1970" s="2" t="s">
        <v>36</v>
      </c>
      <c r="E1970" s="3" t="n">
        <v>46143</v>
      </c>
      <c r="F1970" s="2" t="n">
        <v>8</v>
      </c>
      <c r="G1970" s="4" t="n">
        <v>22.99</v>
      </c>
      <c r="H1970" s="4" t="n">
        <v>16.69</v>
      </c>
      <c r="I1970" s="4" t="n">
        <f aca="false">F1970*G1970</f>
        <v>183.92</v>
      </c>
      <c r="J1970" s="4" t="n">
        <f aca="false">F1970*H1970</f>
        <v>133.52</v>
      </c>
      <c r="K1970" s="4" t="n">
        <f aca="false">I1970-J1970</f>
        <v>50.4</v>
      </c>
      <c r="L1970" s="5" t="n">
        <f aca="false">IFERROR(K1970/I1970,0)</f>
        <v>0.274032187907786</v>
      </c>
    </row>
    <row r="1971" customFormat="false" ht="15" hidden="false" customHeight="false" outlineLevel="0" collapsed="false">
      <c r="A1971" s="2" t="s">
        <v>52</v>
      </c>
      <c r="B1971" s="2" t="s">
        <v>53</v>
      </c>
      <c r="C1971" s="2" t="s">
        <v>32</v>
      </c>
      <c r="D1971" s="2" t="s">
        <v>37</v>
      </c>
      <c r="E1971" s="3" t="n">
        <v>46143</v>
      </c>
      <c r="F1971" s="2" t="n">
        <v>15</v>
      </c>
      <c r="G1971" s="4" t="n">
        <v>29.99</v>
      </c>
      <c r="H1971" s="4" t="n">
        <v>20.27</v>
      </c>
      <c r="I1971" s="4" t="n">
        <f aca="false">F1971*G1971</f>
        <v>449.85</v>
      </c>
      <c r="J1971" s="4" t="n">
        <f aca="false">F1971*H1971</f>
        <v>304.05</v>
      </c>
      <c r="K1971" s="4" t="n">
        <f aca="false">I1971-J1971</f>
        <v>145.8</v>
      </c>
      <c r="L1971" s="5" t="n">
        <f aca="false">IFERROR(K1971/I1971,0)</f>
        <v>0.324108036012004</v>
      </c>
    </row>
    <row r="1972" customFormat="false" ht="15" hidden="false" customHeight="false" outlineLevel="0" collapsed="false">
      <c r="A1972" s="2" t="s">
        <v>52</v>
      </c>
      <c r="B1972" s="2" t="s">
        <v>53</v>
      </c>
      <c r="C1972" s="2" t="s">
        <v>38</v>
      </c>
      <c r="D1972" s="2" t="s">
        <v>39</v>
      </c>
      <c r="E1972" s="3" t="n">
        <v>46143</v>
      </c>
      <c r="F1972" s="2" t="n">
        <v>14</v>
      </c>
      <c r="G1972" s="4" t="n">
        <v>129.99</v>
      </c>
      <c r="H1972" s="4" t="n">
        <v>75.09</v>
      </c>
      <c r="I1972" s="4" t="n">
        <f aca="false">F1972*G1972</f>
        <v>1819.86</v>
      </c>
      <c r="J1972" s="4" t="n">
        <f aca="false">F1972*H1972</f>
        <v>1051.26</v>
      </c>
      <c r="K1972" s="4" t="n">
        <f aca="false">I1972-J1972</f>
        <v>768.6</v>
      </c>
      <c r="L1972" s="5" t="n">
        <f aca="false">IFERROR(K1972/I1972,0)</f>
        <v>0.422340180013847</v>
      </c>
    </row>
    <row r="1973" customFormat="false" ht="15" hidden="false" customHeight="false" outlineLevel="0" collapsed="false">
      <c r="A1973" s="2" t="s">
        <v>52</v>
      </c>
      <c r="B1973" s="2" t="s">
        <v>53</v>
      </c>
      <c r="C1973" s="2" t="s">
        <v>38</v>
      </c>
      <c r="D1973" s="2" t="s">
        <v>40</v>
      </c>
      <c r="E1973" s="3" t="n">
        <v>46143</v>
      </c>
      <c r="F1973" s="2" t="n">
        <v>10</v>
      </c>
      <c r="G1973" s="4" t="n">
        <v>74.99</v>
      </c>
      <c r="H1973" s="4" t="n">
        <v>41.54</v>
      </c>
      <c r="I1973" s="4" t="n">
        <f aca="false">F1973*G1973</f>
        <v>749.9</v>
      </c>
      <c r="J1973" s="4" t="n">
        <f aca="false">F1973*H1973</f>
        <v>415.4</v>
      </c>
      <c r="K1973" s="4" t="n">
        <f aca="false">I1973-J1973</f>
        <v>334.5</v>
      </c>
      <c r="L1973" s="5" t="n">
        <f aca="false">IFERROR(K1973/I1973,0)</f>
        <v>0.446059474596613</v>
      </c>
    </row>
    <row r="1974" customFormat="false" ht="15" hidden="false" customHeight="false" outlineLevel="0" collapsed="false">
      <c r="A1974" s="2" t="s">
        <v>52</v>
      </c>
      <c r="B1974" s="2" t="s">
        <v>53</v>
      </c>
      <c r="C1974" s="2" t="s">
        <v>38</v>
      </c>
      <c r="D1974" s="2" t="s">
        <v>41</v>
      </c>
      <c r="E1974" s="3" t="n">
        <v>46143</v>
      </c>
      <c r="F1974" s="2" t="n">
        <v>16</v>
      </c>
      <c r="G1974" s="4" t="n">
        <v>19.99</v>
      </c>
      <c r="H1974" s="4" t="n">
        <v>9.79</v>
      </c>
      <c r="I1974" s="4" t="n">
        <f aca="false">F1974*G1974</f>
        <v>319.84</v>
      </c>
      <c r="J1974" s="4" t="n">
        <f aca="false">F1974*H1974</f>
        <v>156.64</v>
      </c>
      <c r="K1974" s="4" t="n">
        <f aca="false">I1974-J1974</f>
        <v>163.2</v>
      </c>
      <c r="L1974" s="5" t="n">
        <f aca="false">IFERROR(K1974/I1974,0)</f>
        <v>0.510255127563782</v>
      </c>
    </row>
    <row r="1975" customFormat="false" ht="15" hidden="false" customHeight="false" outlineLevel="0" collapsed="false">
      <c r="A1975" s="2" t="s">
        <v>52</v>
      </c>
      <c r="B1975" s="2" t="s">
        <v>53</v>
      </c>
      <c r="C1975" s="2" t="s">
        <v>38</v>
      </c>
      <c r="D1975" s="2" t="s">
        <v>42</v>
      </c>
      <c r="E1975" s="3" t="n">
        <v>46143</v>
      </c>
      <c r="F1975" s="2" t="n">
        <v>14</v>
      </c>
      <c r="G1975" s="4" t="n">
        <v>16.99</v>
      </c>
      <c r="H1975" s="4" t="n">
        <v>8.47</v>
      </c>
      <c r="I1975" s="4" t="n">
        <f aca="false">F1975*G1975</f>
        <v>237.86</v>
      </c>
      <c r="J1975" s="4" t="n">
        <f aca="false">F1975*H1975</f>
        <v>118.58</v>
      </c>
      <c r="K1975" s="4" t="n">
        <f aca="false">I1975-J1975</f>
        <v>119.28</v>
      </c>
      <c r="L1975" s="5" t="n">
        <f aca="false">IFERROR(K1975/I1975,0)</f>
        <v>0.501471453796351</v>
      </c>
    </row>
    <row r="1976" customFormat="false" ht="15" hidden="false" customHeight="false" outlineLevel="0" collapsed="false">
      <c r="A1976" s="2" t="s">
        <v>52</v>
      </c>
      <c r="B1976" s="2" t="s">
        <v>53</v>
      </c>
      <c r="C1976" s="2" t="s">
        <v>38</v>
      </c>
      <c r="D1976" s="2" t="s">
        <v>43</v>
      </c>
      <c r="E1976" s="3" t="n">
        <v>46143</v>
      </c>
      <c r="F1976" s="2" t="n">
        <v>13</v>
      </c>
      <c r="G1976" s="4" t="n">
        <v>24.99</v>
      </c>
      <c r="H1976" s="4" t="n">
        <v>13.22</v>
      </c>
      <c r="I1976" s="4" t="n">
        <f aca="false">F1976*G1976</f>
        <v>324.87</v>
      </c>
      <c r="J1976" s="4" t="n">
        <f aca="false">F1976*H1976</f>
        <v>171.86</v>
      </c>
      <c r="K1976" s="4" t="n">
        <f aca="false">I1976-J1976</f>
        <v>153.01</v>
      </c>
      <c r="L1976" s="5" t="n">
        <f aca="false">IFERROR(K1976/I1976,0)</f>
        <v>0.470988395358143</v>
      </c>
    </row>
    <row r="1977" customFormat="false" ht="15" hidden="false" customHeight="false" outlineLevel="0" collapsed="false">
      <c r="A1977" s="2" t="s">
        <v>52</v>
      </c>
      <c r="B1977" s="2" t="s">
        <v>54</v>
      </c>
      <c r="C1977" s="2" t="s">
        <v>14</v>
      </c>
      <c r="D1977" s="2" t="s">
        <v>15</v>
      </c>
      <c r="E1977" s="3" t="n">
        <v>46143</v>
      </c>
      <c r="F1977" s="2" t="n">
        <v>21</v>
      </c>
      <c r="G1977" s="4" t="n">
        <v>69.99</v>
      </c>
      <c r="H1977" s="4" t="n">
        <v>33.36</v>
      </c>
      <c r="I1977" s="4" t="n">
        <f aca="false">F1977*G1977</f>
        <v>1469.79</v>
      </c>
      <c r="J1977" s="4" t="n">
        <f aca="false">F1977*H1977</f>
        <v>700.56</v>
      </c>
      <c r="K1977" s="4" t="n">
        <f aca="false">I1977-J1977</f>
        <v>769.23</v>
      </c>
      <c r="L1977" s="5" t="n">
        <f aca="false">IFERROR(K1977/I1977,0)</f>
        <v>0.523360480068581</v>
      </c>
    </row>
    <row r="1978" customFormat="false" ht="15" hidden="false" customHeight="false" outlineLevel="0" collapsed="false">
      <c r="A1978" s="2" t="s">
        <v>52</v>
      </c>
      <c r="B1978" s="2" t="s">
        <v>54</v>
      </c>
      <c r="C1978" s="2" t="s">
        <v>14</v>
      </c>
      <c r="D1978" s="2" t="s">
        <v>16</v>
      </c>
      <c r="E1978" s="3" t="n">
        <v>46143</v>
      </c>
      <c r="F1978" s="2" t="n">
        <v>15</v>
      </c>
      <c r="G1978" s="4" t="n">
        <v>19.99</v>
      </c>
      <c r="H1978" s="4" t="n">
        <v>8.8</v>
      </c>
      <c r="I1978" s="4" t="n">
        <f aca="false">F1978*G1978</f>
        <v>299.85</v>
      </c>
      <c r="J1978" s="4" t="n">
        <f aca="false">F1978*H1978</f>
        <v>132</v>
      </c>
      <c r="K1978" s="4" t="n">
        <f aca="false">I1978-J1978</f>
        <v>167.85</v>
      </c>
      <c r="L1978" s="5" t="n">
        <f aca="false">IFERROR(K1978/I1978,0)</f>
        <v>0.559779889944972</v>
      </c>
    </row>
    <row r="1979" customFormat="false" ht="15" hidden="false" customHeight="false" outlineLevel="0" collapsed="false">
      <c r="A1979" s="2" t="s">
        <v>52</v>
      </c>
      <c r="B1979" s="2" t="s">
        <v>54</v>
      </c>
      <c r="C1979" s="2" t="s">
        <v>14</v>
      </c>
      <c r="D1979" s="2" t="s">
        <v>17</v>
      </c>
      <c r="E1979" s="3" t="n">
        <v>46143</v>
      </c>
      <c r="F1979" s="2" t="n">
        <v>11</v>
      </c>
      <c r="G1979" s="4" t="n">
        <v>79.99</v>
      </c>
      <c r="H1979" s="4" t="n">
        <v>40.91</v>
      </c>
      <c r="I1979" s="4" t="n">
        <f aca="false">F1979*G1979</f>
        <v>879.89</v>
      </c>
      <c r="J1979" s="4" t="n">
        <f aca="false">F1979*H1979</f>
        <v>450.01</v>
      </c>
      <c r="K1979" s="4" t="n">
        <f aca="false">I1979-J1979</f>
        <v>429.88</v>
      </c>
      <c r="L1979" s="5" t="n">
        <f aca="false">IFERROR(K1979/I1979,0)</f>
        <v>0.488561070133767</v>
      </c>
    </row>
    <row r="1980" customFormat="false" ht="15" hidden="false" customHeight="false" outlineLevel="0" collapsed="false">
      <c r="A1980" s="2" t="s">
        <v>52</v>
      </c>
      <c r="B1980" s="2" t="s">
        <v>54</v>
      </c>
      <c r="C1980" s="2" t="s">
        <v>14</v>
      </c>
      <c r="D1980" s="2" t="s">
        <v>18</v>
      </c>
      <c r="E1980" s="3" t="n">
        <v>46143</v>
      </c>
      <c r="F1980" s="2" t="n">
        <v>18</v>
      </c>
      <c r="G1980" s="4" t="n">
        <v>34.99</v>
      </c>
      <c r="H1980" s="4" t="n">
        <v>14.93</v>
      </c>
      <c r="I1980" s="4" t="n">
        <f aca="false">F1980*G1980</f>
        <v>629.82</v>
      </c>
      <c r="J1980" s="4" t="n">
        <f aca="false">F1980*H1980</f>
        <v>268.74</v>
      </c>
      <c r="K1980" s="4" t="n">
        <f aca="false">I1980-J1980</f>
        <v>361.08</v>
      </c>
      <c r="L1980" s="5" t="n">
        <f aca="false">IFERROR(K1980/I1980,0)</f>
        <v>0.573306659045442</v>
      </c>
    </row>
    <row r="1981" customFormat="false" ht="15" hidden="false" customHeight="false" outlineLevel="0" collapsed="false">
      <c r="A1981" s="2" t="s">
        <v>52</v>
      </c>
      <c r="B1981" s="2" t="s">
        <v>54</v>
      </c>
      <c r="C1981" s="2" t="s">
        <v>14</v>
      </c>
      <c r="D1981" s="2" t="s">
        <v>19</v>
      </c>
      <c r="E1981" s="3" t="n">
        <v>46143</v>
      </c>
      <c r="F1981" s="2" t="n">
        <v>15</v>
      </c>
      <c r="G1981" s="4" t="n">
        <v>54.99</v>
      </c>
      <c r="H1981" s="4" t="n">
        <v>23.48</v>
      </c>
      <c r="I1981" s="4" t="n">
        <f aca="false">F1981*G1981</f>
        <v>824.85</v>
      </c>
      <c r="J1981" s="4" t="n">
        <f aca="false">F1981*H1981</f>
        <v>352.2</v>
      </c>
      <c r="K1981" s="4" t="n">
        <f aca="false">I1981-J1981</f>
        <v>472.65</v>
      </c>
      <c r="L1981" s="5" t="n">
        <f aca="false">IFERROR(K1981/I1981,0)</f>
        <v>0.573013275140935</v>
      </c>
    </row>
    <row r="1982" customFormat="false" ht="15" hidden="false" customHeight="false" outlineLevel="0" collapsed="false">
      <c r="A1982" s="2" t="s">
        <v>52</v>
      </c>
      <c r="B1982" s="2" t="s">
        <v>54</v>
      </c>
      <c r="C1982" s="2" t="s">
        <v>20</v>
      </c>
      <c r="D1982" s="2" t="s">
        <v>21</v>
      </c>
      <c r="E1982" s="3" t="n">
        <v>46143</v>
      </c>
      <c r="F1982" s="2" t="n">
        <v>13</v>
      </c>
      <c r="G1982" s="4" t="n">
        <v>44.99</v>
      </c>
      <c r="H1982" s="4" t="n">
        <v>20.08</v>
      </c>
      <c r="I1982" s="4" t="n">
        <f aca="false">F1982*G1982</f>
        <v>584.87</v>
      </c>
      <c r="J1982" s="4" t="n">
        <f aca="false">F1982*H1982</f>
        <v>261.04</v>
      </c>
      <c r="K1982" s="4" t="n">
        <f aca="false">I1982-J1982</f>
        <v>323.83</v>
      </c>
      <c r="L1982" s="5" t="n">
        <f aca="false">IFERROR(K1982/I1982,0)</f>
        <v>0.553678595243388</v>
      </c>
    </row>
    <row r="1983" customFormat="false" ht="15" hidden="false" customHeight="false" outlineLevel="0" collapsed="false">
      <c r="A1983" s="2" t="s">
        <v>52</v>
      </c>
      <c r="B1983" s="2" t="s">
        <v>54</v>
      </c>
      <c r="C1983" s="2" t="s">
        <v>20</v>
      </c>
      <c r="D1983" s="2" t="s">
        <v>22</v>
      </c>
      <c r="E1983" s="3" t="n">
        <v>46143</v>
      </c>
      <c r="F1983" s="2" t="n">
        <v>17</v>
      </c>
      <c r="G1983" s="4" t="n">
        <v>14.99</v>
      </c>
      <c r="H1983" s="4" t="n">
        <v>5.68</v>
      </c>
      <c r="I1983" s="4" t="n">
        <f aca="false">F1983*G1983</f>
        <v>254.83</v>
      </c>
      <c r="J1983" s="4" t="n">
        <f aca="false">F1983*H1983</f>
        <v>96.56</v>
      </c>
      <c r="K1983" s="4" t="n">
        <f aca="false">I1983-J1983</f>
        <v>158.27</v>
      </c>
      <c r="L1983" s="5" t="n">
        <f aca="false">IFERROR(K1983/I1983,0)</f>
        <v>0.62108072048032</v>
      </c>
    </row>
    <row r="1984" customFormat="false" ht="15" hidden="false" customHeight="false" outlineLevel="0" collapsed="false">
      <c r="A1984" s="2" t="s">
        <v>52</v>
      </c>
      <c r="B1984" s="2" t="s">
        <v>54</v>
      </c>
      <c r="C1984" s="2" t="s">
        <v>20</v>
      </c>
      <c r="D1984" s="2" t="s">
        <v>23</v>
      </c>
      <c r="E1984" s="3" t="n">
        <v>46143</v>
      </c>
      <c r="F1984" s="2" t="n">
        <v>17</v>
      </c>
      <c r="G1984" s="4" t="n">
        <v>39.99</v>
      </c>
      <c r="H1984" s="4" t="n">
        <v>16.42</v>
      </c>
      <c r="I1984" s="4" t="n">
        <f aca="false">F1984*G1984</f>
        <v>679.83</v>
      </c>
      <c r="J1984" s="4" t="n">
        <f aca="false">F1984*H1984</f>
        <v>279.14</v>
      </c>
      <c r="K1984" s="4" t="n">
        <f aca="false">I1984-J1984</f>
        <v>400.69</v>
      </c>
      <c r="L1984" s="5" t="n">
        <f aca="false">IFERROR(K1984/I1984,0)</f>
        <v>0.589397349337334</v>
      </c>
    </row>
    <row r="1985" customFormat="false" ht="15" hidden="false" customHeight="false" outlineLevel="0" collapsed="false">
      <c r="A1985" s="2" t="s">
        <v>52</v>
      </c>
      <c r="B1985" s="2" t="s">
        <v>54</v>
      </c>
      <c r="C1985" s="2" t="s">
        <v>20</v>
      </c>
      <c r="D1985" s="2" t="s">
        <v>24</v>
      </c>
      <c r="E1985" s="3" t="n">
        <v>46143</v>
      </c>
      <c r="F1985" s="2" t="n">
        <v>10</v>
      </c>
      <c r="G1985" s="4" t="n">
        <v>18.99</v>
      </c>
      <c r="H1985" s="4" t="n">
        <v>7.8</v>
      </c>
      <c r="I1985" s="4" t="n">
        <f aca="false">F1985*G1985</f>
        <v>189.9</v>
      </c>
      <c r="J1985" s="4" t="n">
        <f aca="false">F1985*H1985</f>
        <v>78</v>
      </c>
      <c r="K1985" s="4" t="n">
        <f aca="false">I1985-J1985</f>
        <v>111.9</v>
      </c>
      <c r="L1985" s="5" t="n">
        <f aca="false">IFERROR(K1985/I1985,0)</f>
        <v>0.589257503949447</v>
      </c>
    </row>
    <row r="1986" customFormat="false" ht="15" hidden="false" customHeight="false" outlineLevel="0" collapsed="false">
      <c r="A1986" s="2" t="s">
        <v>52</v>
      </c>
      <c r="B1986" s="2" t="s">
        <v>54</v>
      </c>
      <c r="C1986" s="2" t="s">
        <v>20</v>
      </c>
      <c r="D1986" s="2" t="s">
        <v>25</v>
      </c>
      <c r="E1986" s="3" t="n">
        <v>46143</v>
      </c>
      <c r="F1986" s="2" t="n">
        <v>13</v>
      </c>
      <c r="G1986" s="4" t="n">
        <v>42.99</v>
      </c>
      <c r="H1986" s="4" t="n">
        <v>16.13</v>
      </c>
      <c r="I1986" s="4" t="n">
        <f aca="false">F1986*G1986</f>
        <v>558.87</v>
      </c>
      <c r="J1986" s="4" t="n">
        <f aca="false">F1986*H1986</f>
        <v>209.69</v>
      </c>
      <c r="K1986" s="4" t="n">
        <f aca="false">I1986-J1986</f>
        <v>349.18</v>
      </c>
      <c r="L1986" s="5" t="n">
        <f aca="false">IFERROR(K1986/I1986,0)</f>
        <v>0.624796464294022</v>
      </c>
    </row>
    <row r="1987" customFormat="false" ht="15" hidden="false" customHeight="false" outlineLevel="0" collapsed="false">
      <c r="A1987" s="2" t="s">
        <v>52</v>
      </c>
      <c r="B1987" s="2" t="s">
        <v>54</v>
      </c>
      <c r="C1987" s="2" t="s">
        <v>26</v>
      </c>
      <c r="D1987" s="2" t="s">
        <v>27</v>
      </c>
      <c r="E1987" s="3" t="n">
        <v>46143</v>
      </c>
      <c r="F1987" s="2" t="n">
        <v>19</v>
      </c>
      <c r="G1987" s="4" t="n">
        <v>44.99</v>
      </c>
      <c r="H1987" s="4" t="n">
        <v>27.59</v>
      </c>
      <c r="I1987" s="4" t="n">
        <f aca="false">F1987*G1987</f>
        <v>854.81</v>
      </c>
      <c r="J1987" s="4" t="n">
        <f aca="false">F1987*H1987</f>
        <v>524.21</v>
      </c>
      <c r="K1987" s="4" t="n">
        <f aca="false">I1987-J1987</f>
        <v>330.6</v>
      </c>
      <c r="L1987" s="5" t="n">
        <f aca="false">IFERROR(K1987/I1987,0)</f>
        <v>0.386752611691487</v>
      </c>
    </row>
    <row r="1988" customFormat="false" ht="15" hidden="false" customHeight="false" outlineLevel="0" collapsed="false">
      <c r="A1988" s="2" t="s">
        <v>52</v>
      </c>
      <c r="B1988" s="2" t="s">
        <v>54</v>
      </c>
      <c r="C1988" s="2" t="s">
        <v>26</v>
      </c>
      <c r="D1988" s="2" t="s">
        <v>28</v>
      </c>
      <c r="E1988" s="3" t="n">
        <v>46143</v>
      </c>
      <c r="F1988" s="2" t="n">
        <v>14</v>
      </c>
      <c r="G1988" s="4" t="n">
        <v>34.99</v>
      </c>
      <c r="H1988" s="4" t="n">
        <v>22.22</v>
      </c>
      <c r="I1988" s="4" t="n">
        <f aca="false">F1988*G1988</f>
        <v>489.86</v>
      </c>
      <c r="J1988" s="4" t="n">
        <f aca="false">F1988*H1988</f>
        <v>311.08</v>
      </c>
      <c r="K1988" s="4" t="n">
        <f aca="false">I1988-J1988</f>
        <v>178.78</v>
      </c>
      <c r="L1988" s="5" t="n">
        <f aca="false">IFERROR(K1988/I1988,0)</f>
        <v>0.364961417547871</v>
      </c>
    </row>
    <row r="1989" customFormat="false" ht="15" hidden="false" customHeight="false" outlineLevel="0" collapsed="false">
      <c r="A1989" s="2" t="s">
        <v>52</v>
      </c>
      <c r="B1989" s="2" t="s">
        <v>54</v>
      </c>
      <c r="C1989" s="2" t="s">
        <v>26</v>
      </c>
      <c r="D1989" s="2" t="s">
        <v>29</v>
      </c>
      <c r="E1989" s="3" t="n">
        <v>46143</v>
      </c>
      <c r="F1989" s="2" t="n">
        <v>22</v>
      </c>
      <c r="G1989" s="4" t="n">
        <v>119.99</v>
      </c>
      <c r="H1989" s="4" t="n">
        <v>83.19</v>
      </c>
      <c r="I1989" s="4" t="n">
        <f aca="false">F1989*G1989</f>
        <v>2639.78</v>
      </c>
      <c r="J1989" s="4" t="n">
        <f aca="false">F1989*H1989</f>
        <v>1830.18</v>
      </c>
      <c r="K1989" s="4" t="n">
        <f aca="false">I1989-J1989</f>
        <v>809.6</v>
      </c>
      <c r="L1989" s="5" t="n">
        <f aca="false">IFERROR(K1989/I1989,0)</f>
        <v>0.306692224352029</v>
      </c>
    </row>
    <row r="1990" customFormat="false" ht="15" hidden="false" customHeight="false" outlineLevel="0" collapsed="false">
      <c r="A1990" s="2" t="s">
        <v>52</v>
      </c>
      <c r="B1990" s="2" t="s">
        <v>54</v>
      </c>
      <c r="C1990" s="2" t="s">
        <v>26</v>
      </c>
      <c r="D1990" s="2" t="s">
        <v>30</v>
      </c>
      <c r="E1990" s="3" t="n">
        <v>46143</v>
      </c>
      <c r="F1990" s="2" t="n">
        <v>16</v>
      </c>
      <c r="G1990" s="4" t="n">
        <v>24.99</v>
      </c>
      <c r="H1990" s="4" t="n">
        <v>15.07</v>
      </c>
      <c r="I1990" s="4" t="n">
        <f aca="false">F1990*G1990</f>
        <v>399.84</v>
      </c>
      <c r="J1990" s="4" t="n">
        <f aca="false">F1990*H1990</f>
        <v>241.12</v>
      </c>
      <c r="K1990" s="4" t="n">
        <f aca="false">I1990-J1990</f>
        <v>158.72</v>
      </c>
      <c r="L1990" s="5" t="n">
        <f aca="false">IFERROR(K1990/I1990,0)</f>
        <v>0.396958783513405</v>
      </c>
    </row>
    <row r="1991" customFormat="false" ht="15" hidden="false" customHeight="false" outlineLevel="0" collapsed="false">
      <c r="A1991" s="2" t="s">
        <v>52</v>
      </c>
      <c r="B1991" s="2" t="s">
        <v>54</v>
      </c>
      <c r="C1991" s="2" t="s">
        <v>26</v>
      </c>
      <c r="D1991" s="2" t="s">
        <v>31</v>
      </c>
      <c r="E1991" s="3" t="n">
        <v>46143</v>
      </c>
      <c r="F1991" s="2" t="n">
        <v>15</v>
      </c>
      <c r="G1991" s="4" t="n">
        <v>59.99</v>
      </c>
      <c r="H1991" s="4" t="n">
        <v>38.13</v>
      </c>
      <c r="I1991" s="4" t="n">
        <f aca="false">F1991*G1991</f>
        <v>899.85</v>
      </c>
      <c r="J1991" s="4" t="n">
        <f aca="false">F1991*H1991</f>
        <v>571.95</v>
      </c>
      <c r="K1991" s="4" t="n">
        <f aca="false">I1991-J1991</f>
        <v>327.9</v>
      </c>
      <c r="L1991" s="5" t="n">
        <f aca="false">IFERROR(K1991/I1991,0)</f>
        <v>0.364394065677613</v>
      </c>
    </row>
    <row r="1992" customFormat="false" ht="15" hidden="false" customHeight="false" outlineLevel="0" collapsed="false">
      <c r="A1992" s="2" t="s">
        <v>52</v>
      </c>
      <c r="B1992" s="2" t="s">
        <v>54</v>
      </c>
      <c r="C1992" s="2" t="s">
        <v>32</v>
      </c>
      <c r="D1992" s="2" t="s">
        <v>33</v>
      </c>
      <c r="E1992" s="3" t="n">
        <v>46143</v>
      </c>
      <c r="F1992" s="2" t="n">
        <v>15</v>
      </c>
      <c r="G1992" s="4" t="n">
        <v>49.99</v>
      </c>
      <c r="H1992" s="4" t="n">
        <v>36.52</v>
      </c>
      <c r="I1992" s="4" t="n">
        <f aca="false">F1992*G1992</f>
        <v>749.85</v>
      </c>
      <c r="J1992" s="4" t="n">
        <f aca="false">F1992*H1992</f>
        <v>547.8</v>
      </c>
      <c r="K1992" s="4" t="n">
        <f aca="false">I1992-J1992</f>
        <v>202.05</v>
      </c>
      <c r="L1992" s="5" t="n">
        <f aca="false">IFERROR(K1992/I1992,0)</f>
        <v>0.269453890778156</v>
      </c>
    </row>
    <row r="1993" customFormat="false" ht="15" hidden="false" customHeight="false" outlineLevel="0" collapsed="false">
      <c r="A1993" s="2" t="s">
        <v>52</v>
      </c>
      <c r="B1993" s="2" t="s">
        <v>54</v>
      </c>
      <c r="C1993" s="2" t="s">
        <v>32</v>
      </c>
      <c r="D1993" s="2" t="s">
        <v>34</v>
      </c>
      <c r="E1993" s="3" t="n">
        <v>46143</v>
      </c>
      <c r="F1993" s="2" t="n">
        <v>19</v>
      </c>
      <c r="G1993" s="4" t="n">
        <v>27.99</v>
      </c>
      <c r="H1993" s="4" t="n">
        <v>19.44</v>
      </c>
      <c r="I1993" s="4" t="n">
        <f aca="false">F1993*G1993</f>
        <v>531.81</v>
      </c>
      <c r="J1993" s="4" t="n">
        <f aca="false">F1993*H1993</f>
        <v>369.36</v>
      </c>
      <c r="K1993" s="4" t="n">
        <f aca="false">I1993-J1993</f>
        <v>162.45</v>
      </c>
      <c r="L1993" s="5" t="n">
        <f aca="false">IFERROR(K1993/I1993,0)</f>
        <v>0.305466237942122</v>
      </c>
    </row>
    <row r="1994" customFormat="false" ht="15" hidden="false" customHeight="false" outlineLevel="0" collapsed="false">
      <c r="A1994" s="2" t="s">
        <v>52</v>
      </c>
      <c r="B1994" s="2" t="s">
        <v>54</v>
      </c>
      <c r="C1994" s="2" t="s">
        <v>32</v>
      </c>
      <c r="D1994" s="2" t="s">
        <v>35</v>
      </c>
      <c r="E1994" s="3" t="n">
        <v>46143</v>
      </c>
      <c r="F1994" s="2" t="n">
        <v>16</v>
      </c>
      <c r="G1994" s="4" t="n">
        <v>64.99</v>
      </c>
      <c r="H1994" s="4" t="n">
        <v>46.03</v>
      </c>
      <c r="I1994" s="4" t="n">
        <f aca="false">F1994*G1994</f>
        <v>1039.84</v>
      </c>
      <c r="J1994" s="4" t="n">
        <f aca="false">F1994*H1994</f>
        <v>736.48</v>
      </c>
      <c r="K1994" s="4" t="n">
        <f aca="false">I1994-J1994</f>
        <v>303.36</v>
      </c>
      <c r="L1994" s="5" t="n">
        <f aca="false">IFERROR(K1994/I1994,0)</f>
        <v>0.291737190336975</v>
      </c>
    </row>
    <row r="1995" customFormat="false" ht="15" hidden="false" customHeight="false" outlineLevel="0" collapsed="false">
      <c r="A1995" s="2" t="s">
        <v>52</v>
      </c>
      <c r="B1995" s="2" t="s">
        <v>54</v>
      </c>
      <c r="C1995" s="2" t="s">
        <v>32</v>
      </c>
      <c r="D1995" s="2" t="s">
        <v>36</v>
      </c>
      <c r="E1995" s="3" t="n">
        <v>46143</v>
      </c>
      <c r="F1995" s="2" t="n">
        <v>13</v>
      </c>
      <c r="G1995" s="4" t="n">
        <v>22.99</v>
      </c>
      <c r="H1995" s="4" t="n">
        <v>17.21</v>
      </c>
      <c r="I1995" s="4" t="n">
        <f aca="false">F1995*G1995</f>
        <v>298.87</v>
      </c>
      <c r="J1995" s="4" t="n">
        <f aca="false">F1995*H1995</f>
        <v>223.73</v>
      </c>
      <c r="K1995" s="4" t="n">
        <f aca="false">I1995-J1995</f>
        <v>75.14</v>
      </c>
      <c r="L1995" s="5" t="n">
        <f aca="false">IFERROR(K1995/I1995,0)</f>
        <v>0.251413658112223</v>
      </c>
    </row>
    <row r="1996" customFormat="false" ht="15" hidden="false" customHeight="false" outlineLevel="0" collapsed="false">
      <c r="A1996" s="2" t="s">
        <v>52</v>
      </c>
      <c r="B1996" s="2" t="s">
        <v>54</v>
      </c>
      <c r="C1996" s="2" t="s">
        <v>32</v>
      </c>
      <c r="D1996" s="2" t="s">
        <v>37</v>
      </c>
      <c r="E1996" s="3" t="n">
        <v>46143</v>
      </c>
      <c r="F1996" s="2" t="n">
        <v>26</v>
      </c>
      <c r="G1996" s="4" t="n">
        <v>29.99</v>
      </c>
      <c r="H1996" s="4" t="n">
        <v>20.11</v>
      </c>
      <c r="I1996" s="4" t="n">
        <f aca="false">F1996*G1996</f>
        <v>779.74</v>
      </c>
      <c r="J1996" s="4" t="n">
        <f aca="false">F1996*H1996</f>
        <v>522.86</v>
      </c>
      <c r="K1996" s="4" t="n">
        <f aca="false">I1996-J1996</f>
        <v>256.88</v>
      </c>
      <c r="L1996" s="5" t="n">
        <f aca="false">IFERROR(K1996/I1996,0)</f>
        <v>0.329443147715905</v>
      </c>
    </row>
    <row r="1997" customFormat="false" ht="15" hidden="false" customHeight="false" outlineLevel="0" collapsed="false">
      <c r="A1997" s="2" t="s">
        <v>52</v>
      </c>
      <c r="B1997" s="2" t="s">
        <v>54</v>
      </c>
      <c r="C1997" s="2" t="s">
        <v>38</v>
      </c>
      <c r="D1997" s="2" t="s">
        <v>39</v>
      </c>
      <c r="E1997" s="3" t="n">
        <v>46143</v>
      </c>
      <c r="F1997" s="2" t="n">
        <v>17</v>
      </c>
      <c r="G1997" s="4" t="n">
        <v>129.99</v>
      </c>
      <c r="H1997" s="4" t="n">
        <v>73.88</v>
      </c>
      <c r="I1997" s="4" t="n">
        <f aca="false">F1997*G1997</f>
        <v>2209.83</v>
      </c>
      <c r="J1997" s="4" t="n">
        <f aca="false">F1997*H1997</f>
        <v>1255.96</v>
      </c>
      <c r="K1997" s="4" t="n">
        <f aca="false">I1997-J1997</f>
        <v>953.87</v>
      </c>
      <c r="L1997" s="5" t="n">
        <f aca="false">IFERROR(K1997/I1997,0)</f>
        <v>0.43164858835295</v>
      </c>
    </row>
    <row r="1998" customFormat="false" ht="15" hidden="false" customHeight="false" outlineLevel="0" collapsed="false">
      <c r="A1998" s="2" t="s">
        <v>52</v>
      </c>
      <c r="B1998" s="2" t="s">
        <v>54</v>
      </c>
      <c r="C1998" s="2" t="s">
        <v>38</v>
      </c>
      <c r="D1998" s="2" t="s">
        <v>40</v>
      </c>
      <c r="E1998" s="3" t="n">
        <v>46143</v>
      </c>
      <c r="F1998" s="2" t="n">
        <v>13</v>
      </c>
      <c r="G1998" s="4" t="n">
        <v>74.99</v>
      </c>
      <c r="H1998" s="4" t="n">
        <v>42.04</v>
      </c>
      <c r="I1998" s="4" t="n">
        <f aca="false">F1998*G1998</f>
        <v>974.87</v>
      </c>
      <c r="J1998" s="4" t="n">
        <f aca="false">F1998*H1998</f>
        <v>546.52</v>
      </c>
      <c r="K1998" s="4" t="n">
        <f aca="false">I1998-J1998</f>
        <v>428.35</v>
      </c>
      <c r="L1998" s="5" t="n">
        <f aca="false">IFERROR(K1998/I1998,0)</f>
        <v>0.439391918922523</v>
      </c>
    </row>
    <row r="1999" customFormat="false" ht="15" hidden="false" customHeight="false" outlineLevel="0" collapsed="false">
      <c r="A1999" s="2" t="s">
        <v>52</v>
      </c>
      <c r="B1999" s="2" t="s">
        <v>54</v>
      </c>
      <c r="C1999" s="2" t="s">
        <v>38</v>
      </c>
      <c r="D1999" s="2" t="s">
        <v>41</v>
      </c>
      <c r="E1999" s="3" t="n">
        <v>46143</v>
      </c>
      <c r="F1999" s="2" t="n">
        <v>19</v>
      </c>
      <c r="G1999" s="4" t="n">
        <v>19.99</v>
      </c>
      <c r="H1999" s="4" t="n">
        <v>9.55</v>
      </c>
      <c r="I1999" s="4" t="n">
        <f aca="false">F1999*G1999</f>
        <v>379.81</v>
      </c>
      <c r="J1999" s="4" t="n">
        <f aca="false">F1999*H1999</f>
        <v>181.45</v>
      </c>
      <c r="K1999" s="4" t="n">
        <f aca="false">I1999-J1999</f>
        <v>198.36</v>
      </c>
      <c r="L1999" s="5" t="n">
        <f aca="false">IFERROR(K1999/I1999,0)</f>
        <v>0.522261130565283</v>
      </c>
    </row>
    <row r="2000" customFormat="false" ht="15" hidden="false" customHeight="false" outlineLevel="0" collapsed="false">
      <c r="A2000" s="2" t="s">
        <v>52</v>
      </c>
      <c r="B2000" s="2" t="s">
        <v>54</v>
      </c>
      <c r="C2000" s="2" t="s">
        <v>38</v>
      </c>
      <c r="D2000" s="2" t="s">
        <v>42</v>
      </c>
      <c r="E2000" s="3" t="n">
        <v>46143</v>
      </c>
      <c r="F2000" s="2" t="n">
        <v>23</v>
      </c>
      <c r="G2000" s="4" t="n">
        <v>16.99</v>
      </c>
      <c r="H2000" s="4" t="n">
        <v>8.42</v>
      </c>
      <c r="I2000" s="4" t="n">
        <f aca="false">F2000*G2000</f>
        <v>390.77</v>
      </c>
      <c r="J2000" s="4" t="n">
        <f aca="false">F2000*H2000</f>
        <v>193.66</v>
      </c>
      <c r="K2000" s="4" t="n">
        <f aca="false">I2000-J2000</f>
        <v>197.11</v>
      </c>
      <c r="L2000" s="5" t="n">
        <f aca="false">IFERROR(K2000/I2000,0)</f>
        <v>0.504414361389052</v>
      </c>
    </row>
    <row r="2001" customFormat="false" ht="15" hidden="false" customHeight="false" outlineLevel="0" collapsed="false">
      <c r="A2001" s="2" t="s">
        <v>52</v>
      </c>
      <c r="B2001" s="2" t="s">
        <v>54</v>
      </c>
      <c r="C2001" s="2" t="s">
        <v>38</v>
      </c>
      <c r="D2001" s="2" t="s">
        <v>43</v>
      </c>
      <c r="E2001" s="3" t="n">
        <v>46143</v>
      </c>
      <c r="F2001" s="2" t="n">
        <v>15</v>
      </c>
      <c r="G2001" s="4" t="n">
        <v>24.99</v>
      </c>
      <c r="H2001" s="4" t="n">
        <v>12.72</v>
      </c>
      <c r="I2001" s="4" t="n">
        <f aca="false">F2001*G2001</f>
        <v>374.85</v>
      </c>
      <c r="J2001" s="4" t="n">
        <f aca="false">F2001*H2001</f>
        <v>190.8</v>
      </c>
      <c r="K2001" s="4" t="n">
        <f aca="false">I2001-J2001</f>
        <v>184.05</v>
      </c>
      <c r="L2001" s="5" t="n">
        <f aca="false">IFERROR(K2001/I2001,0)</f>
        <v>0.490996398559424</v>
      </c>
    </row>
    <row r="2002" customFormat="false" ht="15" hidden="false" customHeight="false" outlineLevel="0" collapsed="false">
      <c r="A2002" s="2" t="s">
        <v>12</v>
      </c>
      <c r="B2002" s="2" t="s">
        <v>13</v>
      </c>
      <c r="C2002" s="2" t="s">
        <v>14</v>
      </c>
      <c r="D2002" s="2" t="s">
        <v>15</v>
      </c>
      <c r="E2002" s="3" t="n">
        <v>46174</v>
      </c>
      <c r="F2002" s="2" t="n">
        <v>22</v>
      </c>
      <c r="G2002" s="4" t="n">
        <v>69.99</v>
      </c>
      <c r="H2002" s="4" t="n">
        <v>34.04</v>
      </c>
      <c r="I2002" s="4" t="n">
        <f aca="false">F2002*G2002</f>
        <v>1539.78</v>
      </c>
      <c r="J2002" s="4" t="n">
        <f aca="false">F2002*H2002</f>
        <v>748.88</v>
      </c>
      <c r="K2002" s="4" t="n">
        <f aca="false">I2002-J2002</f>
        <v>790.9</v>
      </c>
      <c r="L2002" s="5" t="n">
        <f aca="false">IFERROR(K2002/I2002,0)</f>
        <v>0.513644806400914</v>
      </c>
    </row>
    <row r="2003" customFormat="false" ht="15" hidden="false" customHeight="false" outlineLevel="0" collapsed="false">
      <c r="A2003" s="2" t="s">
        <v>12</v>
      </c>
      <c r="B2003" s="2" t="s">
        <v>13</v>
      </c>
      <c r="C2003" s="2" t="s">
        <v>14</v>
      </c>
      <c r="D2003" s="2" t="s">
        <v>16</v>
      </c>
      <c r="E2003" s="3" t="n">
        <v>46174</v>
      </c>
      <c r="F2003" s="2" t="n">
        <v>15</v>
      </c>
      <c r="G2003" s="4" t="n">
        <v>19.99</v>
      </c>
      <c r="H2003" s="4" t="n">
        <v>8.85</v>
      </c>
      <c r="I2003" s="4" t="n">
        <f aca="false">F2003*G2003</f>
        <v>299.85</v>
      </c>
      <c r="J2003" s="4" t="n">
        <f aca="false">F2003*H2003</f>
        <v>132.75</v>
      </c>
      <c r="K2003" s="4" t="n">
        <f aca="false">I2003-J2003</f>
        <v>167.1</v>
      </c>
      <c r="L2003" s="5" t="n">
        <f aca="false">IFERROR(K2003/I2003,0)</f>
        <v>0.55727863931966</v>
      </c>
    </row>
    <row r="2004" customFormat="false" ht="15" hidden="false" customHeight="false" outlineLevel="0" collapsed="false">
      <c r="A2004" s="2" t="s">
        <v>12</v>
      </c>
      <c r="B2004" s="2" t="s">
        <v>13</v>
      </c>
      <c r="C2004" s="2" t="s">
        <v>14</v>
      </c>
      <c r="D2004" s="2" t="s">
        <v>17</v>
      </c>
      <c r="E2004" s="3" t="n">
        <v>46174</v>
      </c>
      <c r="F2004" s="2" t="n">
        <v>18</v>
      </c>
      <c r="G2004" s="4" t="n">
        <v>79.99</v>
      </c>
      <c r="H2004" s="4" t="n">
        <v>40.69</v>
      </c>
      <c r="I2004" s="4" t="n">
        <f aca="false">F2004*G2004</f>
        <v>1439.82</v>
      </c>
      <c r="J2004" s="4" t="n">
        <f aca="false">F2004*H2004</f>
        <v>732.42</v>
      </c>
      <c r="K2004" s="4" t="n">
        <f aca="false">I2004-J2004</f>
        <v>707.4</v>
      </c>
      <c r="L2004" s="5" t="n">
        <f aca="false">IFERROR(K2004/I2004,0)</f>
        <v>0.491311413926741</v>
      </c>
    </row>
    <row r="2005" customFormat="false" ht="15" hidden="false" customHeight="false" outlineLevel="0" collapsed="false">
      <c r="A2005" s="2" t="s">
        <v>12</v>
      </c>
      <c r="B2005" s="2" t="s">
        <v>13</v>
      </c>
      <c r="C2005" s="2" t="s">
        <v>14</v>
      </c>
      <c r="D2005" s="2" t="s">
        <v>18</v>
      </c>
      <c r="E2005" s="3" t="n">
        <v>46174</v>
      </c>
      <c r="F2005" s="2" t="n">
        <v>13</v>
      </c>
      <c r="G2005" s="4" t="n">
        <v>34.99</v>
      </c>
      <c r="H2005" s="4" t="n">
        <v>14.29</v>
      </c>
      <c r="I2005" s="4" t="n">
        <f aca="false">F2005*G2005</f>
        <v>454.87</v>
      </c>
      <c r="J2005" s="4" t="n">
        <f aca="false">F2005*H2005</f>
        <v>185.77</v>
      </c>
      <c r="K2005" s="4" t="n">
        <f aca="false">I2005-J2005</f>
        <v>269.1</v>
      </c>
      <c r="L2005" s="5" t="n">
        <f aca="false">IFERROR(K2005/I2005,0)</f>
        <v>0.59159759931409</v>
      </c>
    </row>
    <row r="2006" customFormat="false" ht="15" hidden="false" customHeight="false" outlineLevel="0" collapsed="false">
      <c r="A2006" s="2" t="s">
        <v>12</v>
      </c>
      <c r="B2006" s="2" t="s">
        <v>13</v>
      </c>
      <c r="C2006" s="2" t="s">
        <v>14</v>
      </c>
      <c r="D2006" s="2" t="s">
        <v>19</v>
      </c>
      <c r="E2006" s="3" t="n">
        <v>46174</v>
      </c>
      <c r="F2006" s="2" t="n">
        <v>25</v>
      </c>
      <c r="G2006" s="4" t="n">
        <v>54.99</v>
      </c>
      <c r="H2006" s="4" t="n">
        <v>24.42</v>
      </c>
      <c r="I2006" s="4" t="n">
        <f aca="false">F2006*G2006</f>
        <v>1374.75</v>
      </c>
      <c r="J2006" s="4" t="n">
        <f aca="false">F2006*H2006</f>
        <v>610.5</v>
      </c>
      <c r="K2006" s="4" t="n">
        <f aca="false">I2006-J2006</f>
        <v>764.25</v>
      </c>
      <c r="L2006" s="5" t="n">
        <f aca="false">IFERROR(K2006/I2006,0)</f>
        <v>0.555919258046918</v>
      </c>
    </row>
    <row r="2007" customFormat="false" ht="15" hidden="false" customHeight="false" outlineLevel="0" collapsed="false">
      <c r="A2007" s="2" t="s">
        <v>12</v>
      </c>
      <c r="B2007" s="2" t="s">
        <v>13</v>
      </c>
      <c r="C2007" s="2" t="s">
        <v>20</v>
      </c>
      <c r="D2007" s="2" t="s">
        <v>21</v>
      </c>
      <c r="E2007" s="3" t="n">
        <v>46174</v>
      </c>
      <c r="F2007" s="2" t="n">
        <v>13</v>
      </c>
      <c r="G2007" s="4" t="n">
        <v>44.99</v>
      </c>
      <c r="H2007" s="4" t="n">
        <v>20.24</v>
      </c>
      <c r="I2007" s="4" t="n">
        <f aca="false">F2007*G2007</f>
        <v>584.87</v>
      </c>
      <c r="J2007" s="4" t="n">
        <f aca="false">F2007*H2007</f>
        <v>263.12</v>
      </c>
      <c r="K2007" s="4" t="n">
        <f aca="false">I2007-J2007</f>
        <v>321.75</v>
      </c>
      <c r="L2007" s="5" t="n">
        <f aca="false">IFERROR(K2007/I2007,0)</f>
        <v>0.550122249388753</v>
      </c>
    </row>
    <row r="2008" customFormat="false" ht="15" hidden="false" customHeight="false" outlineLevel="0" collapsed="false">
      <c r="A2008" s="2" t="s">
        <v>12</v>
      </c>
      <c r="B2008" s="2" t="s">
        <v>13</v>
      </c>
      <c r="C2008" s="2" t="s">
        <v>20</v>
      </c>
      <c r="D2008" s="2" t="s">
        <v>22</v>
      </c>
      <c r="E2008" s="3" t="n">
        <v>46174</v>
      </c>
      <c r="F2008" s="2" t="n">
        <v>15</v>
      </c>
      <c r="G2008" s="4" t="n">
        <v>14.99</v>
      </c>
      <c r="H2008" s="4" t="n">
        <v>5.76</v>
      </c>
      <c r="I2008" s="4" t="n">
        <f aca="false">F2008*G2008</f>
        <v>224.85</v>
      </c>
      <c r="J2008" s="4" t="n">
        <f aca="false">F2008*H2008</f>
        <v>86.4</v>
      </c>
      <c r="K2008" s="4" t="n">
        <f aca="false">I2008-J2008</f>
        <v>138.45</v>
      </c>
      <c r="L2008" s="5" t="n">
        <f aca="false">IFERROR(K2008/I2008,0)</f>
        <v>0.61574382921948</v>
      </c>
    </row>
    <row r="2009" customFormat="false" ht="15" hidden="false" customHeight="false" outlineLevel="0" collapsed="false">
      <c r="A2009" s="2" t="s">
        <v>12</v>
      </c>
      <c r="B2009" s="2" t="s">
        <v>13</v>
      </c>
      <c r="C2009" s="2" t="s">
        <v>20</v>
      </c>
      <c r="D2009" s="2" t="s">
        <v>23</v>
      </c>
      <c r="E2009" s="3" t="n">
        <v>46174</v>
      </c>
      <c r="F2009" s="2" t="n">
        <v>11</v>
      </c>
      <c r="G2009" s="4" t="n">
        <v>39.99</v>
      </c>
      <c r="H2009" s="4" t="n">
        <v>17</v>
      </c>
      <c r="I2009" s="4" t="n">
        <f aca="false">F2009*G2009</f>
        <v>439.89</v>
      </c>
      <c r="J2009" s="4" t="n">
        <f aca="false">F2009*H2009</f>
        <v>187</v>
      </c>
      <c r="K2009" s="4" t="n">
        <f aca="false">I2009-J2009</f>
        <v>252.89</v>
      </c>
      <c r="L2009" s="5" t="n">
        <f aca="false">IFERROR(K2009/I2009,0)</f>
        <v>0.574893723430858</v>
      </c>
    </row>
    <row r="2010" customFormat="false" ht="15" hidden="false" customHeight="false" outlineLevel="0" collapsed="false">
      <c r="A2010" s="2" t="s">
        <v>12</v>
      </c>
      <c r="B2010" s="2" t="s">
        <v>13</v>
      </c>
      <c r="C2010" s="2" t="s">
        <v>20</v>
      </c>
      <c r="D2010" s="2" t="s">
        <v>24</v>
      </c>
      <c r="E2010" s="3" t="n">
        <v>46174</v>
      </c>
      <c r="F2010" s="2" t="n">
        <v>21</v>
      </c>
      <c r="G2010" s="4" t="n">
        <v>18.99</v>
      </c>
      <c r="H2010" s="4" t="n">
        <v>7.78</v>
      </c>
      <c r="I2010" s="4" t="n">
        <f aca="false">F2010*G2010</f>
        <v>398.79</v>
      </c>
      <c r="J2010" s="4" t="n">
        <f aca="false">F2010*H2010</f>
        <v>163.38</v>
      </c>
      <c r="K2010" s="4" t="n">
        <f aca="false">I2010-J2010</f>
        <v>235.41</v>
      </c>
      <c r="L2010" s="5" t="n">
        <f aca="false">IFERROR(K2010/I2010,0)</f>
        <v>0.590310689836756</v>
      </c>
    </row>
    <row r="2011" customFormat="false" ht="15" hidden="false" customHeight="false" outlineLevel="0" collapsed="false">
      <c r="A2011" s="2" t="s">
        <v>12</v>
      </c>
      <c r="B2011" s="2" t="s">
        <v>13</v>
      </c>
      <c r="C2011" s="2" t="s">
        <v>20</v>
      </c>
      <c r="D2011" s="2" t="s">
        <v>25</v>
      </c>
      <c r="E2011" s="3" t="n">
        <v>46174</v>
      </c>
      <c r="F2011" s="2" t="n">
        <v>15</v>
      </c>
      <c r="G2011" s="4" t="n">
        <v>42.99</v>
      </c>
      <c r="H2011" s="4" t="n">
        <v>15.86</v>
      </c>
      <c r="I2011" s="4" t="n">
        <f aca="false">F2011*G2011</f>
        <v>644.85</v>
      </c>
      <c r="J2011" s="4" t="n">
        <f aca="false">F2011*H2011</f>
        <v>237.9</v>
      </c>
      <c r="K2011" s="4" t="n">
        <f aca="false">I2011-J2011</f>
        <v>406.95</v>
      </c>
      <c r="L2011" s="5" t="n">
        <f aca="false">IFERROR(K2011/I2011,0)</f>
        <v>0.631076994649919</v>
      </c>
    </row>
    <row r="2012" customFormat="false" ht="15" hidden="false" customHeight="false" outlineLevel="0" collapsed="false">
      <c r="A2012" s="2" t="s">
        <v>12</v>
      </c>
      <c r="B2012" s="2" t="s">
        <v>13</v>
      </c>
      <c r="C2012" s="2" t="s">
        <v>26</v>
      </c>
      <c r="D2012" s="2" t="s">
        <v>27</v>
      </c>
      <c r="E2012" s="3" t="n">
        <v>46174</v>
      </c>
      <c r="F2012" s="2" t="n">
        <v>15</v>
      </c>
      <c r="G2012" s="4" t="n">
        <v>44.99</v>
      </c>
      <c r="H2012" s="4" t="n">
        <v>28.18</v>
      </c>
      <c r="I2012" s="4" t="n">
        <f aca="false">F2012*G2012</f>
        <v>674.85</v>
      </c>
      <c r="J2012" s="4" t="n">
        <f aca="false">F2012*H2012</f>
        <v>422.7</v>
      </c>
      <c r="K2012" s="4" t="n">
        <f aca="false">I2012-J2012</f>
        <v>252.15</v>
      </c>
      <c r="L2012" s="5" t="n">
        <f aca="false">IFERROR(K2012/I2012,0)</f>
        <v>0.373638586352523</v>
      </c>
    </row>
    <row r="2013" customFormat="false" ht="15" hidden="false" customHeight="false" outlineLevel="0" collapsed="false">
      <c r="A2013" s="2" t="s">
        <v>12</v>
      </c>
      <c r="B2013" s="2" t="s">
        <v>13</v>
      </c>
      <c r="C2013" s="2" t="s">
        <v>26</v>
      </c>
      <c r="D2013" s="2" t="s">
        <v>28</v>
      </c>
      <c r="E2013" s="3" t="n">
        <v>46174</v>
      </c>
      <c r="F2013" s="2" t="n">
        <v>11</v>
      </c>
      <c r="G2013" s="4" t="n">
        <v>34.99</v>
      </c>
      <c r="H2013" s="4" t="n">
        <v>22.6</v>
      </c>
      <c r="I2013" s="4" t="n">
        <f aca="false">F2013*G2013</f>
        <v>384.89</v>
      </c>
      <c r="J2013" s="4" t="n">
        <f aca="false">F2013*H2013</f>
        <v>248.6</v>
      </c>
      <c r="K2013" s="4" t="n">
        <f aca="false">I2013-J2013</f>
        <v>136.29</v>
      </c>
      <c r="L2013" s="5" t="n">
        <f aca="false">IFERROR(K2013/I2013,0)</f>
        <v>0.354101171763361</v>
      </c>
    </row>
    <row r="2014" customFormat="false" ht="15" hidden="false" customHeight="false" outlineLevel="0" collapsed="false">
      <c r="A2014" s="2" t="s">
        <v>12</v>
      </c>
      <c r="B2014" s="2" t="s">
        <v>13</v>
      </c>
      <c r="C2014" s="2" t="s">
        <v>26</v>
      </c>
      <c r="D2014" s="2" t="s">
        <v>29</v>
      </c>
      <c r="E2014" s="3" t="n">
        <v>46174</v>
      </c>
      <c r="F2014" s="2" t="n">
        <v>19</v>
      </c>
      <c r="G2014" s="4" t="n">
        <v>119.99</v>
      </c>
      <c r="H2014" s="4" t="n">
        <v>80.75</v>
      </c>
      <c r="I2014" s="4" t="n">
        <f aca="false">F2014*G2014</f>
        <v>2279.81</v>
      </c>
      <c r="J2014" s="4" t="n">
        <f aca="false">F2014*H2014</f>
        <v>1534.25</v>
      </c>
      <c r="K2014" s="4" t="n">
        <f aca="false">I2014-J2014</f>
        <v>745.56</v>
      </c>
      <c r="L2014" s="5" t="n">
        <f aca="false">IFERROR(K2014/I2014,0)</f>
        <v>0.327027252271023</v>
      </c>
    </row>
    <row r="2015" customFormat="false" ht="15" hidden="false" customHeight="false" outlineLevel="0" collapsed="false">
      <c r="A2015" s="2" t="s">
        <v>12</v>
      </c>
      <c r="B2015" s="2" t="s">
        <v>13</v>
      </c>
      <c r="C2015" s="2" t="s">
        <v>26</v>
      </c>
      <c r="D2015" s="2" t="s">
        <v>30</v>
      </c>
      <c r="E2015" s="3" t="n">
        <v>46174</v>
      </c>
      <c r="F2015" s="2" t="n">
        <v>14</v>
      </c>
      <c r="G2015" s="4" t="n">
        <v>24.99</v>
      </c>
      <c r="H2015" s="4" t="n">
        <v>14.82</v>
      </c>
      <c r="I2015" s="4" t="n">
        <f aca="false">F2015*G2015</f>
        <v>349.86</v>
      </c>
      <c r="J2015" s="4" t="n">
        <f aca="false">F2015*H2015</f>
        <v>207.48</v>
      </c>
      <c r="K2015" s="4" t="n">
        <f aca="false">I2015-J2015</f>
        <v>142.38</v>
      </c>
      <c r="L2015" s="5" t="n">
        <f aca="false">IFERROR(K2015/I2015,0)</f>
        <v>0.406962785114046</v>
      </c>
    </row>
    <row r="2016" customFormat="false" ht="15" hidden="false" customHeight="false" outlineLevel="0" collapsed="false">
      <c r="A2016" s="2" t="s">
        <v>12</v>
      </c>
      <c r="B2016" s="2" t="s">
        <v>13</v>
      </c>
      <c r="C2016" s="2" t="s">
        <v>26</v>
      </c>
      <c r="D2016" s="2" t="s">
        <v>31</v>
      </c>
      <c r="E2016" s="3" t="n">
        <v>46174</v>
      </c>
      <c r="F2016" s="2" t="n">
        <v>22</v>
      </c>
      <c r="G2016" s="4" t="n">
        <v>59.99</v>
      </c>
      <c r="H2016" s="4" t="n">
        <v>38.13</v>
      </c>
      <c r="I2016" s="4" t="n">
        <f aca="false">F2016*G2016</f>
        <v>1319.78</v>
      </c>
      <c r="J2016" s="4" t="n">
        <f aca="false">F2016*H2016</f>
        <v>838.86</v>
      </c>
      <c r="K2016" s="4" t="n">
        <f aca="false">I2016-J2016</f>
        <v>480.92</v>
      </c>
      <c r="L2016" s="5" t="n">
        <f aca="false">IFERROR(K2016/I2016,0)</f>
        <v>0.364394065677613</v>
      </c>
    </row>
    <row r="2017" customFormat="false" ht="15" hidden="false" customHeight="false" outlineLevel="0" collapsed="false">
      <c r="A2017" s="2" t="s">
        <v>12</v>
      </c>
      <c r="B2017" s="2" t="s">
        <v>13</v>
      </c>
      <c r="C2017" s="2" t="s">
        <v>32</v>
      </c>
      <c r="D2017" s="2" t="s">
        <v>33</v>
      </c>
      <c r="E2017" s="3" t="n">
        <v>46174</v>
      </c>
      <c r="F2017" s="2" t="n">
        <v>14</v>
      </c>
      <c r="G2017" s="4" t="n">
        <v>49.99</v>
      </c>
      <c r="H2017" s="4" t="n">
        <v>35.36</v>
      </c>
      <c r="I2017" s="4" t="n">
        <f aca="false">F2017*G2017</f>
        <v>699.86</v>
      </c>
      <c r="J2017" s="4" t="n">
        <f aca="false">F2017*H2017</f>
        <v>495.04</v>
      </c>
      <c r="K2017" s="4" t="n">
        <f aca="false">I2017-J2017</f>
        <v>204.82</v>
      </c>
      <c r="L2017" s="5" t="n">
        <f aca="false">IFERROR(K2017/I2017,0)</f>
        <v>0.292658531706341</v>
      </c>
    </row>
    <row r="2018" customFormat="false" ht="15" hidden="false" customHeight="false" outlineLevel="0" collapsed="false">
      <c r="A2018" s="2" t="s">
        <v>12</v>
      </c>
      <c r="B2018" s="2" t="s">
        <v>13</v>
      </c>
      <c r="C2018" s="2" t="s">
        <v>32</v>
      </c>
      <c r="D2018" s="2" t="s">
        <v>34</v>
      </c>
      <c r="E2018" s="3" t="n">
        <v>46174</v>
      </c>
      <c r="F2018" s="2" t="n">
        <v>19</v>
      </c>
      <c r="G2018" s="4" t="n">
        <v>27.99</v>
      </c>
      <c r="H2018" s="4" t="n">
        <v>19.38</v>
      </c>
      <c r="I2018" s="4" t="n">
        <f aca="false">F2018*G2018</f>
        <v>531.81</v>
      </c>
      <c r="J2018" s="4" t="n">
        <f aca="false">F2018*H2018</f>
        <v>368.22</v>
      </c>
      <c r="K2018" s="4" t="n">
        <f aca="false">I2018-J2018</f>
        <v>163.59</v>
      </c>
      <c r="L2018" s="5" t="n">
        <f aca="false">IFERROR(K2018/I2018,0)</f>
        <v>0.307609860664523</v>
      </c>
    </row>
    <row r="2019" customFormat="false" ht="15" hidden="false" customHeight="false" outlineLevel="0" collapsed="false">
      <c r="A2019" s="2" t="s">
        <v>12</v>
      </c>
      <c r="B2019" s="2" t="s">
        <v>13</v>
      </c>
      <c r="C2019" s="2" t="s">
        <v>32</v>
      </c>
      <c r="D2019" s="2" t="s">
        <v>35</v>
      </c>
      <c r="E2019" s="3" t="n">
        <v>46174</v>
      </c>
      <c r="F2019" s="2" t="n">
        <v>16</v>
      </c>
      <c r="G2019" s="4" t="n">
        <v>64.99</v>
      </c>
      <c r="H2019" s="4" t="n">
        <v>45.65</v>
      </c>
      <c r="I2019" s="4" t="n">
        <f aca="false">F2019*G2019</f>
        <v>1039.84</v>
      </c>
      <c r="J2019" s="4" t="n">
        <f aca="false">F2019*H2019</f>
        <v>730.4</v>
      </c>
      <c r="K2019" s="4" t="n">
        <f aca="false">I2019-J2019</f>
        <v>309.44</v>
      </c>
      <c r="L2019" s="5" t="n">
        <f aca="false">IFERROR(K2019/I2019,0)</f>
        <v>0.297584243729805</v>
      </c>
    </row>
    <row r="2020" customFormat="false" ht="15" hidden="false" customHeight="false" outlineLevel="0" collapsed="false">
      <c r="A2020" s="2" t="s">
        <v>12</v>
      </c>
      <c r="B2020" s="2" t="s">
        <v>13</v>
      </c>
      <c r="C2020" s="2" t="s">
        <v>32</v>
      </c>
      <c r="D2020" s="2" t="s">
        <v>36</v>
      </c>
      <c r="E2020" s="3" t="n">
        <v>46174</v>
      </c>
      <c r="F2020" s="2" t="n">
        <v>13</v>
      </c>
      <c r="G2020" s="4" t="n">
        <v>22.99</v>
      </c>
      <c r="H2020" s="4" t="n">
        <v>16.55</v>
      </c>
      <c r="I2020" s="4" t="n">
        <f aca="false">F2020*G2020</f>
        <v>298.87</v>
      </c>
      <c r="J2020" s="4" t="n">
        <f aca="false">F2020*H2020</f>
        <v>215.15</v>
      </c>
      <c r="K2020" s="4" t="n">
        <f aca="false">I2020-J2020</f>
        <v>83.72</v>
      </c>
      <c r="L2020" s="5" t="n">
        <f aca="false">IFERROR(K2020/I2020,0)</f>
        <v>0.280121792083515</v>
      </c>
    </row>
    <row r="2021" customFormat="false" ht="15" hidden="false" customHeight="false" outlineLevel="0" collapsed="false">
      <c r="A2021" s="2" t="s">
        <v>12</v>
      </c>
      <c r="B2021" s="2" t="s">
        <v>13</v>
      </c>
      <c r="C2021" s="2" t="s">
        <v>32</v>
      </c>
      <c r="D2021" s="2" t="s">
        <v>37</v>
      </c>
      <c r="E2021" s="3" t="n">
        <v>46174</v>
      </c>
      <c r="F2021" s="2" t="n">
        <v>20</v>
      </c>
      <c r="G2021" s="4" t="n">
        <v>29.99</v>
      </c>
      <c r="H2021" s="4" t="n">
        <v>19.79</v>
      </c>
      <c r="I2021" s="4" t="n">
        <f aca="false">F2021*G2021</f>
        <v>599.8</v>
      </c>
      <c r="J2021" s="4" t="n">
        <f aca="false">F2021*H2021</f>
        <v>395.8</v>
      </c>
      <c r="K2021" s="4" t="n">
        <f aca="false">I2021-J2021</f>
        <v>204</v>
      </c>
      <c r="L2021" s="5" t="n">
        <f aca="false">IFERROR(K2021/I2021,0)</f>
        <v>0.340113371123708</v>
      </c>
    </row>
    <row r="2022" customFormat="false" ht="15" hidden="false" customHeight="false" outlineLevel="0" collapsed="false">
      <c r="A2022" s="2" t="s">
        <v>12</v>
      </c>
      <c r="B2022" s="2" t="s">
        <v>13</v>
      </c>
      <c r="C2022" s="2" t="s">
        <v>38</v>
      </c>
      <c r="D2022" s="2" t="s">
        <v>39</v>
      </c>
      <c r="E2022" s="3" t="n">
        <v>46174</v>
      </c>
      <c r="F2022" s="2" t="n">
        <v>11</v>
      </c>
      <c r="G2022" s="4" t="n">
        <v>129.99</v>
      </c>
      <c r="H2022" s="4" t="n">
        <v>73.91</v>
      </c>
      <c r="I2022" s="4" t="n">
        <f aca="false">F2022*G2022</f>
        <v>1429.89</v>
      </c>
      <c r="J2022" s="4" t="n">
        <f aca="false">F2022*H2022</f>
        <v>813.01</v>
      </c>
      <c r="K2022" s="4" t="n">
        <f aca="false">I2022-J2022</f>
        <v>616.88</v>
      </c>
      <c r="L2022" s="5" t="n">
        <f aca="false">IFERROR(K2022/I2022,0)</f>
        <v>0.431417801369336</v>
      </c>
    </row>
    <row r="2023" customFormat="false" ht="15" hidden="false" customHeight="false" outlineLevel="0" collapsed="false">
      <c r="A2023" s="2" t="s">
        <v>12</v>
      </c>
      <c r="B2023" s="2" t="s">
        <v>13</v>
      </c>
      <c r="C2023" s="2" t="s">
        <v>38</v>
      </c>
      <c r="D2023" s="2" t="s">
        <v>40</v>
      </c>
      <c r="E2023" s="3" t="n">
        <v>46174</v>
      </c>
      <c r="F2023" s="2" t="n">
        <v>17</v>
      </c>
      <c r="G2023" s="4" t="n">
        <v>74.99</v>
      </c>
      <c r="H2023" s="4" t="n">
        <v>40.34</v>
      </c>
      <c r="I2023" s="4" t="n">
        <f aca="false">F2023*G2023</f>
        <v>1274.83</v>
      </c>
      <c r="J2023" s="4" t="n">
        <f aca="false">F2023*H2023</f>
        <v>685.78</v>
      </c>
      <c r="K2023" s="4" t="n">
        <f aca="false">I2023-J2023</f>
        <v>589.05</v>
      </c>
      <c r="L2023" s="5" t="n">
        <f aca="false">IFERROR(K2023/I2023,0)</f>
        <v>0.462061608214429</v>
      </c>
    </row>
    <row r="2024" customFormat="false" ht="15" hidden="false" customHeight="false" outlineLevel="0" collapsed="false">
      <c r="A2024" s="2" t="s">
        <v>12</v>
      </c>
      <c r="B2024" s="2" t="s">
        <v>13</v>
      </c>
      <c r="C2024" s="2" t="s">
        <v>38</v>
      </c>
      <c r="D2024" s="2" t="s">
        <v>41</v>
      </c>
      <c r="E2024" s="3" t="n">
        <v>46174</v>
      </c>
      <c r="F2024" s="2" t="n">
        <v>17</v>
      </c>
      <c r="G2024" s="4" t="n">
        <v>19.99</v>
      </c>
      <c r="H2024" s="4" t="n">
        <v>9.48</v>
      </c>
      <c r="I2024" s="4" t="n">
        <f aca="false">F2024*G2024</f>
        <v>339.83</v>
      </c>
      <c r="J2024" s="4" t="n">
        <f aca="false">F2024*H2024</f>
        <v>161.16</v>
      </c>
      <c r="K2024" s="4" t="n">
        <f aca="false">I2024-J2024</f>
        <v>178.67</v>
      </c>
      <c r="L2024" s="5" t="n">
        <f aca="false">IFERROR(K2024/I2024,0)</f>
        <v>0.52576288144072</v>
      </c>
    </row>
    <row r="2025" customFormat="false" ht="15" hidden="false" customHeight="false" outlineLevel="0" collapsed="false">
      <c r="A2025" s="2" t="s">
        <v>12</v>
      </c>
      <c r="B2025" s="2" t="s">
        <v>13</v>
      </c>
      <c r="C2025" s="2" t="s">
        <v>38</v>
      </c>
      <c r="D2025" s="2" t="s">
        <v>42</v>
      </c>
      <c r="E2025" s="3" t="n">
        <v>46174</v>
      </c>
      <c r="F2025" s="2" t="n">
        <v>17</v>
      </c>
      <c r="G2025" s="4" t="n">
        <v>16.99</v>
      </c>
      <c r="H2025" s="4" t="n">
        <v>8.26</v>
      </c>
      <c r="I2025" s="4" t="n">
        <f aca="false">F2025*G2025</f>
        <v>288.83</v>
      </c>
      <c r="J2025" s="4" t="n">
        <f aca="false">F2025*H2025</f>
        <v>140.42</v>
      </c>
      <c r="K2025" s="4" t="n">
        <f aca="false">I2025-J2025</f>
        <v>148.41</v>
      </c>
      <c r="L2025" s="5" t="n">
        <f aca="false">IFERROR(K2025/I2025,0)</f>
        <v>0.513831665685698</v>
      </c>
    </row>
    <row r="2026" customFormat="false" ht="15" hidden="false" customHeight="false" outlineLevel="0" collapsed="false">
      <c r="A2026" s="2" t="s">
        <v>12</v>
      </c>
      <c r="B2026" s="2" t="s">
        <v>13</v>
      </c>
      <c r="C2026" s="2" t="s">
        <v>38</v>
      </c>
      <c r="D2026" s="2" t="s">
        <v>43</v>
      </c>
      <c r="E2026" s="3" t="n">
        <v>46174</v>
      </c>
      <c r="F2026" s="2" t="n">
        <v>17</v>
      </c>
      <c r="G2026" s="4" t="n">
        <v>24.99</v>
      </c>
      <c r="H2026" s="4" t="n">
        <v>12.76</v>
      </c>
      <c r="I2026" s="4" t="n">
        <f aca="false">F2026*G2026</f>
        <v>424.83</v>
      </c>
      <c r="J2026" s="4" t="n">
        <f aca="false">F2026*H2026</f>
        <v>216.92</v>
      </c>
      <c r="K2026" s="4" t="n">
        <f aca="false">I2026-J2026</f>
        <v>207.91</v>
      </c>
      <c r="L2026" s="5" t="n">
        <f aca="false">IFERROR(K2026/I2026,0)</f>
        <v>0.489395758303321</v>
      </c>
    </row>
    <row r="2027" customFormat="false" ht="15" hidden="false" customHeight="false" outlineLevel="0" collapsed="false">
      <c r="A2027" s="2" t="s">
        <v>44</v>
      </c>
      <c r="B2027" s="2" t="s">
        <v>45</v>
      </c>
      <c r="C2027" s="2" t="s">
        <v>14</v>
      </c>
      <c r="D2027" s="2" t="s">
        <v>15</v>
      </c>
      <c r="E2027" s="3" t="n">
        <v>46174</v>
      </c>
      <c r="F2027" s="2" t="n">
        <v>19</v>
      </c>
      <c r="G2027" s="4" t="n">
        <v>69.99</v>
      </c>
      <c r="H2027" s="4" t="n">
        <v>34</v>
      </c>
      <c r="I2027" s="4" t="n">
        <f aca="false">F2027*G2027</f>
        <v>1329.81</v>
      </c>
      <c r="J2027" s="4" t="n">
        <f aca="false">F2027*H2027</f>
        <v>646</v>
      </c>
      <c r="K2027" s="4" t="n">
        <f aca="false">I2027-J2027</f>
        <v>683.81</v>
      </c>
      <c r="L2027" s="5" t="n">
        <f aca="false">IFERROR(K2027/I2027,0)</f>
        <v>0.51421631661666</v>
      </c>
    </row>
    <row r="2028" customFormat="false" ht="15" hidden="false" customHeight="false" outlineLevel="0" collapsed="false">
      <c r="A2028" s="2" t="s">
        <v>44</v>
      </c>
      <c r="B2028" s="2" t="s">
        <v>45</v>
      </c>
      <c r="C2028" s="2" t="s">
        <v>14</v>
      </c>
      <c r="D2028" s="2" t="s">
        <v>16</v>
      </c>
      <c r="E2028" s="3" t="n">
        <v>46174</v>
      </c>
      <c r="F2028" s="2" t="n">
        <v>19</v>
      </c>
      <c r="G2028" s="4" t="n">
        <v>19.99</v>
      </c>
      <c r="H2028" s="4" t="n">
        <v>8.8</v>
      </c>
      <c r="I2028" s="4" t="n">
        <f aca="false">F2028*G2028</f>
        <v>379.81</v>
      </c>
      <c r="J2028" s="4" t="n">
        <f aca="false">F2028*H2028</f>
        <v>167.2</v>
      </c>
      <c r="K2028" s="4" t="n">
        <f aca="false">I2028-J2028</f>
        <v>212.61</v>
      </c>
      <c r="L2028" s="5" t="n">
        <f aca="false">IFERROR(K2028/I2028,0)</f>
        <v>0.559779889944972</v>
      </c>
    </row>
    <row r="2029" customFormat="false" ht="15" hidden="false" customHeight="false" outlineLevel="0" collapsed="false">
      <c r="A2029" s="2" t="s">
        <v>44</v>
      </c>
      <c r="B2029" s="2" t="s">
        <v>45</v>
      </c>
      <c r="C2029" s="2" t="s">
        <v>14</v>
      </c>
      <c r="D2029" s="2" t="s">
        <v>17</v>
      </c>
      <c r="E2029" s="3" t="n">
        <v>46174</v>
      </c>
      <c r="F2029" s="2" t="n">
        <v>16</v>
      </c>
      <c r="G2029" s="4" t="n">
        <v>79.99</v>
      </c>
      <c r="H2029" s="4" t="n">
        <v>39.8</v>
      </c>
      <c r="I2029" s="4" t="n">
        <f aca="false">F2029*G2029</f>
        <v>1279.84</v>
      </c>
      <c r="J2029" s="4" t="n">
        <f aca="false">F2029*H2029</f>
        <v>636.8</v>
      </c>
      <c r="K2029" s="4" t="n">
        <f aca="false">I2029-J2029</f>
        <v>643.04</v>
      </c>
      <c r="L2029" s="5" t="n">
        <f aca="false">IFERROR(K2029/I2029,0)</f>
        <v>0.502437804725591</v>
      </c>
    </row>
    <row r="2030" customFormat="false" ht="15" hidden="false" customHeight="false" outlineLevel="0" collapsed="false">
      <c r="A2030" s="2" t="s">
        <v>44</v>
      </c>
      <c r="B2030" s="2" t="s">
        <v>45</v>
      </c>
      <c r="C2030" s="2" t="s">
        <v>14</v>
      </c>
      <c r="D2030" s="2" t="s">
        <v>18</v>
      </c>
      <c r="E2030" s="3" t="n">
        <v>46174</v>
      </c>
      <c r="F2030" s="2" t="n">
        <v>9</v>
      </c>
      <c r="G2030" s="4" t="n">
        <v>34.99</v>
      </c>
      <c r="H2030" s="4" t="n">
        <v>14.29</v>
      </c>
      <c r="I2030" s="4" t="n">
        <f aca="false">F2030*G2030</f>
        <v>314.91</v>
      </c>
      <c r="J2030" s="4" t="n">
        <f aca="false">F2030*H2030</f>
        <v>128.61</v>
      </c>
      <c r="K2030" s="4" t="n">
        <f aca="false">I2030-J2030</f>
        <v>186.3</v>
      </c>
      <c r="L2030" s="5" t="n">
        <f aca="false">IFERROR(K2030/I2030,0)</f>
        <v>0.59159759931409</v>
      </c>
    </row>
    <row r="2031" customFormat="false" ht="15" hidden="false" customHeight="false" outlineLevel="0" collapsed="false">
      <c r="A2031" s="2" t="s">
        <v>44</v>
      </c>
      <c r="B2031" s="2" t="s">
        <v>45</v>
      </c>
      <c r="C2031" s="2" t="s">
        <v>14</v>
      </c>
      <c r="D2031" s="2" t="s">
        <v>19</v>
      </c>
      <c r="E2031" s="3" t="n">
        <v>46174</v>
      </c>
      <c r="F2031" s="2" t="n">
        <v>23</v>
      </c>
      <c r="G2031" s="4" t="n">
        <v>54.99</v>
      </c>
      <c r="H2031" s="4" t="n">
        <v>23.74</v>
      </c>
      <c r="I2031" s="4" t="n">
        <f aca="false">F2031*G2031</f>
        <v>1264.77</v>
      </c>
      <c r="J2031" s="4" t="n">
        <f aca="false">F2031*H2031</f>
        <v>546.02</v>
      </c>
      <c r="K2031" s="4" t="n">
        <f aca="false">I2031-J2031</f>
        <v>718.75</v>
      </c>
      <c r="L2031" s="5" t="n">
        <f aca="false">IFERROR(K2031/I2031,0)</f>
        <v>0.568285142753228</v>
      </c>
    </row>
    <row r="2032" customFormat="false" ht="15" hidden="false" customHeight="false" outlineLevel="0" collapsed="false">
      <c r="A2032" s="2" t="s">
        <v>44</v>
      </c>
      <c r="B2032" s="2" t="s">
        <v>45</v>
      </c>
      <c r="C2032" s="2" t="s">
        <v>20</v>
      </c>
      <c r="D2032" s="2" t="s">
        <v>21</v>
      </c>
      <c r="E2032" s="3" t="n">
        <v>46174</v>
      </c>
      <c r="F2032" s="2" t="n">
        <v>28</v>
      </c>
      <c r="G2032" s="4" t="n">
        <v>44.99</v>
      </c>
      <c r="H2032" s="4" t="n">
        <v>20.12</v>
      </c>
      <c r="I2032" s="4" t="n">
        <f aca="false">F2032*G2032</f>
        <v>1259.72</v>
      </c>
      <c r="J2032" s="4" t="n">
        <f aca="false">F2032*H2032</f>
        <v>563.36</v>
      </c>
      <c r="K2032" s="4" t="n">
        <f aca="false">I2032-J2032</f>
        <v>696.36</v>
      </c>
      <c r="L2032" s="5" t="n">
        <f aca="false">IFERROR(K2032/I2032,0)</f>
        <v>0.552789508779729</v>
      </c>
    </row>
    <row r="2033" customFormat="false" ht="15" hidden="false" customHeight="false" outlineLevel="0" collapsed="false">
      <c r="A2033" s="2" t="s">
        <v>44</v>
      </c>
      <c r="B2033" s="2" t="s">
        <v>45</v>
      </c>
      <c r="C2033" s="2" t="s">
        <v>20</v>
      </c>
      <c r="D2033" s="2" t="s">
        <v>22</v>
      </c>
      <c r="E2033" s="3" t="n">
        <v>46174</v>
      </c>
      <c r="F2033" s="2" t="n">
        <v>15</v>
      </c>
      <c r="G2033" s="4" t="n">
        <v>14.99</v>
      </c>
      <c r="H2033" s="4" t="n">
        <v>5.81</v>
      </c>
      <c r="I2033" s="4" t="n">
        <f aca="false">F2033*G2033</f>
        <v>224.85</v>
      </c>
      <c r="J2033" s="4" t="n">
        <f aca="false">F2033*H2033</f>
        <v>87.15</v>
      </c>
      <c r="K2033" s="4" t="n">
        <f aca="false">I2033-J2033</f>
        <v>137.7</v>
      </c>
      <c r="L2033" s="5" t="n">
        <f aca="false">IFERROR(K2033/I2033,0)</f>
        <v>0.612408272181454</v>
      </c>
    </row>
    <row r="2034" customFormat="false" ht="15" hidden="false" customHeight="false" outlineLevel="0" collapsed="false">
      <c r="A2034" s="2" t="s">
        <v>44</v>
      </c>
      <c r="B2034" s="2" t="s">
        <v>45</v>
      </c>
      <c r="C2034" s="2" t="s">
        <v>20</v>
      </c>
      <c r="D2034" s="2" t="s">
        <v>23</v>
      </c>
      <c r="E2034" s="3" t="n">
        <v>46174</v>
      </c>
      <c r="F2034" s="2" t="n">
        <v>12</v>
      </c>
      <c r="G2034" s="4" t="n">
        <v>39.99</v>
      </c>
      <c r="H2034" s="4" t="n">
        <v>16.72</v>
      </c>
      <c r="I2034" s="4" t="n">
        <f aca="false">F2034*G2034</f>
        <v>479.88</v>
      </c>
      <c r="J2034" s="4" t="n">
        <f aca="false">F2034*H2034</f>
        <v>200.64</v>
      </c>
      <c r="K2034" s="4" t="n">
        <f aca="false">I2034-J2034</f>
        <v>279.24</v>
      </c>
      <c r="L2034" s="5" t="n">
        <f aca="false">IFERROR(K2034/I2034,0)</f>
        <v>0.581895473868467</v>
      </c>
    </row>
    <row r="2035" customFormat="false" ht="15" hidden="false" customHeight="false" outlineLevel="0" collapsed="false">
      <c r="A2035" s="2" t="s">
        <v>44</v>
      </c>
      <c r="B2035" s="2" t="s">
        <v>45</v>
      </c>
      <c r="C2035" s="2" t="s">
        <v>20</v>
      </c>
      <c r="D2035" s="2" t="s">
        <v>24</v>
      </c>
      <c r="E2035" s="3" t="n">
        <v>46174</v>
      </c>
      <c r="F2035" s="2" t="n">
        <v>17</v>
      </c>
      <c r="G2035" s="4" t="n">
        <v>18.99</v>
      </c>
      <c r="H2035" s="4" t="n">
        <v>7.63</v>
      </c>
      <c r="I2035" s="4" t="n">
        <f aca="false">F2035*G2035</f>
        <v>322.83</v>
      </c>
      <c r="J2035" s="4" t="n">
        <f aca="false">F2035*H2035</f>
        <v>129.71</v>
      </c>
      <c r="K2035" s="4" t="n">
        <f aca="false">I2035-J2035</f>
        <v>193.12</v>
      </c>
      <c r="L2035" s="5" t="n">
        <f aca="false">IFERROR(K2035/I2035,0)</f>
        <v>0.598209583991574</v>
      </c>
    </row>
    <row r="2036" customFormat="false" ht="15" hidden="false" customHeight="false" outlineLevel="0" collapsed="false">
      <c r="A2036" s="2" t="s">
        <v>44</v>
      </c>
      <c r="B2036" s="2" t="s">
        <v>45</v>
      </c>
      <c r="C2036" s="2" t="s">
        <v>20</v>
      </c>
      <c r="D2036" s="2" t="s">
        <v>25</v>
      </c>
      <c r="E2036" s="3" t="n">
        <v>46174</v>
      </c>
      <c r="F2036" s="2" t="n">
        <v>16</v>
      </c>
      <c r="G2036" s="4" t="n">
        <v>42.99</v>
      </c>
      <c r="H2036" s="4" t="n">
        <v>15.57</v>
      </c>
      <c r="I2036" s="4" t="n">
        <f aca="false">F2036*G2036</f>
        <v>687.84</v>
      </c>
      <c r="J2036" s="4" t="n">
        <f aca="false">F2036*H2036</f>
        <v>249.12</v>
      </c>
      <c r="K2036" s="4" t="n">
        <f aca="false">I2036-J2036</f>
        <v>438.72</v>
      </c>
      <c r="L2036" s="5" t="n">
        <f aca="false">IFERROR(K2036/I2036,0)</f>
        <v>0.637822749476622</v>
      </c>
    </row>
    <row r="2037" customFormat="false" ht="15" hidden="false" customHeight="false" outlineLevel="0" collapsed="false">
      <c r="A2037" s="2" t="s">
        <v>44</v>
      </c>
      <c r="B2037" s="2" t="s">
        <v>45</v>
      </c>
      <c r="C2037" s="2" t="s">
        <v>26</v>
      </c>
      <c r="D2037" s="2" t="s">
        <v>27</v>
      </c>
      <c r="E2037" s="3" t="n">
        <v>46174</v>
      </c>
      <c r="F2037" s="2" t="n">
        <v>12</v>
      </c>
      <c r="G2037" s="4" t="n">
        <v>44.99</v>
      </c>
      <c r="H2037" s="4" t="n">
        <v>28.4</v>
      </c>
      <c r="I2037" s="4" t="n">
        <f aca="false">F2037*G2037</f>
        <v>539.88</v>
      </c>
      <c r="J2037" s="4" t="n">
        <f aca="false">F2037*H2037</f>
        <v>340.8</v>
      </c>
      <c r="K2037" s="4" t="n">
        <f aca="false">I2037-J2037</f>
        <v>199.08</v>
      </c>
      <c r="L2037" s="5" t="n">
        <f aca="false">IFERROR(K2037/I2037,0)</f>
        <v>0.368748610802401</v>
      </c>
    </row>
    <row r="2038" customFormat="false" ht="15" hidden="false" customHeight="false" outlineLevel="0" collapsed="false">
      <c r="A2038" s="2" t="s">
        <v>44</v>
      </c>
      <c r="B2038" s="2" t="s">
        <v>45</v>
      </c>
      <c r="C2038" s="2" t="s">
        <v>26</v>
      </c>
      <c r="D2038" s="2" t="s">
        <v>28</v>
      </c>
      <c r="E2038" s="3" t="n">
        <v>46174</v>
      </c>
      <c r="F2038" s="2" t="n">
        <v>20</v>
      </c>
      <c r="G2038" s="4" t="n">
        <v>34.99</v>
      </c>
      <c r="H2038" s="4" t="n">
        <v>22.2</v>
      </c>
      <c r="I2038" s="4" t="n">
        <f aca="false">F2038*G2038</f>
        <v>699.8</v>
      </c>
      <c r="J2038" s="4" t="n">
        <f aca="false">F2038*H2038</f>
        <v>444</v>
      </c>
      <c r="K2038" s="4" t="n">
        <f aca="false">I2038-J2038</f>
        <v>255.8</v>
      </c>
      <c r="L2038" s="5" t="n">
        <f aca="false">IFERROR(K2038/I2038,0)</f>
        <v>0.365533009431266</v>
      </c>
    </row>
    <row r="2039" customFormat="false" ht="15" hidden="false" customHeight="false" outlineLevel="0" collapsed="false">
      <c r="A2039" s="2" t="s">
        <v>44</v>
      </c>
      <c r="B2039" s="2" t="s">
        <v>45</v>
      </c>
      <c r="C2039" s="2" t="s">
        <v>26</v>
      </c>
      <c r="D2039" s="2" t="s">
        <v>29</v>
      </c>
      <c r="E2039" s="3" t="n">
        <v>46174</v>
      </c>
      <c r="F2039" s="2" t="n">
        <v>25</v>
      </c>
      <c r="G2039" s="4" t="n">
        <v>119.99</v>
      </c>
      <c r="H2039" s="4" t="n">
        <v>82.97</v>
      </c>
      <c r="I2039" s="4" t="n">
        <f aca="false">F2039*G2039</f>
        <v>2999.75</v>
      </c>
      <c r="J2039" s="4" t="n">
        <f aca="false">F2039*H2039</f>
        <v>2074.25</v>
      </c>
      <c r="K2039" s="4" t="n">
        <f aca="false">I2039-J2039</f>
        <v>925.5</v>
      </c>
      <c r="L2039" s="5" t="n">
        <f aca="false">IFERROR(K2039/I2039,0)</f>
        <v>0.308525710475873</v>
      </c>
    </row>
    <row r="2040" customFormat="false" ht="15" hidden="false" customHeight="false" outlineLevel="0" collapsed="false">
      <c r="A2040" s="2" t="s">
        <v>44</v>
      </c>
      <c r="B2040" s="2" t="s">
        <v>45</v>
      </c>
      <c r="C2040" s="2" t="s">
        <v>26</v>
      </c>
      <c r="D2040" s="2" t="s">
        <v>30</v>
      </c>
      <c r="E2040" s="3" t="n">
        <v>46174</v>
      </c>
      <c r="F2040" s="2" t="n">
        <v>17</v>
      </c>
      <c r="G2040" s="4" t="n">
        <v>24.99</v>
      </c>
      <c r="H2040" s="4" t="n">
        <v>14.59</v>
      </c>
      <c r="I2040" s="4" t="n">
        <f aca="false">F2040*G2040</f>
        <v>424.83</v>
      </c>
      <c r="J2040" s="4" t="n">
        <f aca="false">F2040*H2040</f>
        <v>248.03</v>
      </c>
      <c r="K2040" s="4" t="n">
        <f aca="false">I2040-J2040</f>
        <v>176.8</v>
      </c>
      <c r="L2040" s="5" t="n">
        <f aca="false">IFERROR(K2040/I2040,0)</f>
        <v>0.416166466586635</v>
      </c>
    </row>
    <row r="2041" customFormat="false" ht="15" hidden="false" customHeight="false" outlineLevel="0" collapsed="false">
      <c r="A2041" s="2" t="s">
        <v>44</v>
      </c>
      <c r="B2041" s="2" t="s">
        <v>45</v>
      </c>
      <c r="C2041" s="2" t="s">
        <v>26</v>
      </c>
      <c r="D2041" s="2" t="s">
        <v>31</v>
      </c>
      <c r="E2041" s="3" t="n">
        <v>46174</v>
      </c>
      <c r="F2041" s="2" t="n">
        <v>20</v>
      </c>
      <c r="G2041" s="4" t="n">
        <v>59.99</v>
      </c>
      <c r="H2041" s="4" t="n">
        <v>39.4</v>
      </c>
      <c r="I2041" s="4" t="n">
        <f aca="false">F2041*G2041</f>
        <v>1199.8</v>
      </c>
      <c r="J2041" s="4" t="n">
        <f aca="false">F2041*H2041</f>
        <v>788</v>
      </c>
      <c r="K2041" s="4" t="n">
        <f aca="false">I2041-J2041</f>
        <v>411.8</v>
      </c>
      <c r="L2041" s="5" t="n">
        <f aca="false">IFERROR(K2041/I2041,0)</f>
        <v>0.343223870645108</v>
      </c>
    </row>
    <row r="2042" customFormat="false" ht="15" hidden="false" customHeight="false" outlineLevel="0" collapsed="false">
      <c r="A2042" s="2" t="s">
        <v>44</v>
      </c>
      <c r="B2042" s="2" t="s">
        <v>45</v>
      </c>
      <c r="C2042" s="2" t="s">
        <v>32</v>
      </c>
      <c r="D2042" s="2" t="s">
        <v>33</v>
      </c>
      <c r="E2042" s="3" t="n">
        <v>46174</v>
      </c>
      <c r="F2042" s="2" t="n">
        <v>19</v>
      </c>
      <c r="G2042" s="4" t="n">
        <v>49.99</v>
      </c>
      <c r="H2042" s="4" t="n">
        <v>34.96</v>
      </c>
      <c r="I2042" s="4" t="n">
        <f aca="false">F2042*G2042</f>
        <v>949.81</v>
      </c>
      <c r="J2042" s="4" t="n">
        <f aca="false">F2042*H2042</f>
        <v>664.24</v>
      </c>
      <c r="K2042" s="4" t="n">
        <f aca="false">I2042-J2042</f>
        <v>285.57</v>
      </c>
      <c r="L2042" s="5" t="n">
        <f aca="false">IFERROR(K2042/I2042,0)</f>
        <v>0.300660132026405</v>
      </c>
    </row>
    <row r="2043" customFormat="false" ht="15" hidden="false" customHeight="false" outlineLevel="0" collapsed="false">
      <c r="A2043" s="2" t="s">
        <v>44</v>
      </c>
      <c r="B2043" s="2" t="s">
        <v>45</v>
      </c>
      <c r="C2043" s="2" t="s">
        <v>32</v>
      </c>
      <c r="D2043" s="2" t="s">
        <v>34</v>
      </c>
      <c r="E2043" s="3" t="n">
        <v>46174</v>
      </c>
      <c r="F2043" s="2" t="n">
        <v>11</v>
      </c>
      <c r="G2043" s="4" t="n">
        <v>27.99</v>
      </c>
      <c r="H2043" s="4" t="n">
        <v>19.36</v>
      </c>
      <c r="I2043" s="4" t="n">
        <f aca="false">F2043*G2043</f>
        <v>307.89</v>
      </c>
      <c r="J2043" s="4" t="n">
        <f aca="false">F2043*H2043</f>
        <v>212.96</v>
      </c>
      <c r="K2043" s="4" t="n">
        <f aca="false">I2043-J2043</f>
        <v>94.93</v>
      </c>
      <c r="L2043" s="5" t="n">
        <f aca="false">IFERROR(K2043/I2043,0)</f>
        <v>0.30832440157199</v>
      </c>
    </row>
    <row r="2044" customFormat="false" ht="15" hidden="false" customHeight="false" outlineLevel="0" collapsed="false">
      <c r="A2044" s="2" t="s">
        <v>44</v>
      </c>
      <c r="B2044" s="2" t="s">
        <v>45</v>
      </c>
      <c r="C2044" s="2" t="s">
        <v>32</v>
      </c>
      <c r="D2044" s="2" t="s">
        <v>35</v>
      </c>
      <c r="E2044" s="3" t="n">
        <v>46174</v>
      </c>
      <c r="F2044" s="2" t="n">
        <v>25</v>
      </c>
      <c r="G2044" s="4" t="n">
        <v>64.99</v>
      </c>
      <c r="H2044" s="4" t="n">
        <v>46.14</v>
      </c>
      <c r="I2044" s="4" t="n">
        <f aca="false">F2044*G2044</f>
        <v>1624.75</v>
      </c>
      <c r="J2044" s="4" t="n">
        <f aca="false">F2044*H2044</f>
        <v>1153.5</v>
      </c>
      <c r="K2044" s="4" t="n">
        <f aca="false">I2044-J2044</f>
        <v>471.25</v>
      </c>
      <c r="L2044" s="5" t="n">
        <f aca="false">IFERROR(K2044/I2044,0)</f>
        <v>0.290044622249577</v>
      </c>
    </row>
    <row r="2045" customFormat="false" ht="15" hidden="false" customHeight="false" outlineLevel="0" collapsed="false">
      <c r="A2045" s="2" t="s">
        <v>44</v>
      </c>
      <c r="B2045" s="2" t="s">
        <v>45</v>
      </c>
      <c r="C2045" s="2" t="s">
        <v>32</v>
      </c>
      <c r="D2045" s="2" t="s">
        <v>36</v>
      </c>
      <c r="E2045" s="3" t="n">
        <v>46174</v>
      </c>
      <c r="F2045" s="2" t="n">
        <v>17</v>
      </c>
      <c r="G2045" s="4" t="n">
        <v>22.99</v>
      </c>
      <c r="H2045" s="4" t="n">
        <v>17.2</v>
      </c>
      <c r="I2045" s="4" t="n">
        <f aca="false">F2045*G2045</f>
        <v>390.83</v>
      </c>
      <c r="J2045" s="4" t="n">
        <f aca="false">F2045*H2045</f>
        <v>292.4</v>
      </c>
      <c r="K2045" s="4" t="n">
        <f aca="false">I2045-J2045</f>
        <v>98.43</v>
      </c>
      <c r="L2045" s="5" t="n">
        <f aca="false">IFERROR(K2045/I2045,0)</f>
        <v>0.251848629839061</v>
      </c>
    </row>
    <row r="2046" customFormat="false" ht="15" hidden="false" customHeight="false" outlineLevel="0" collapsed="false">
      <c r="A2046" s="2" t="s">
        <v>44</v>
      </c>
      <c r="B2046" s="2" t="s">
        <v>45</v>
      </c>
      <c r="C2046" s="2" t="s">
        <v>32</v>
      </c>
      <c r="D2046" s="2" t="s">
        <v>37</v>
      </c>
      <c r="E2046" s="3" t="n">
        <v>46174</v>
      </c>
      <c r="F2046" s="2" t="n">
        <v>25</v>
      </c>
      <c r="G2046" s="4" t="n">
        <v>29.99</v>
      </c>
      <c r="H2046" s="4" t="n">
        <v>19.89</v>
      </c>
      <c r="I2046" s="4" t="n">
        <f aca="false">F2046*G2046</f>
        <v>749.75</v>
      </c>
      <c r="J2046" s="4" t="n">
        <f aca="false">F2046*H2046</f>
        <v>497.25</v>
      </c>
      <c r="K2046" s="4" t="n">
        <f aca="false">I2046-J2046</f>
        <v>252.5</v>
      </c>
      <c r="L2046" s="5" t="n">
        <f aca="false">IFERROR(K2046/I2046,0)</f>
        <v>0.33677892630877</v>
      </c>
    </row>
    <row r="2047" customFormat="false" ht="15" hidden="false" customHeight="false" outlineLevel="0" collapsed="false">
      <c r="A2047" s="2" t="s">
        <v>44</v>
      </c>
      <c r="B2047" s="2" t="s">
        <v>45</v>
      </c>
      <c r="C2047" s="2" t="s">
        <v>38</v>
      </c>
      <c r="D2047" s="2" t="s">
        <v>39</v>
      </c>
      <c r="E2047" s="3" t="n">
        <v>46174</v>
      </c>
      <c r="F2047" s="2" t="n">
        <v>15</v>
      </c>
      <c r="G2047" s="4" t="n">
        <v>129.99</v>
      </c>
      <c r="H2047" s="4" t="n">
        <v>74.2</v>
      </c>
      <c r="I2047" s="4" t="n">
        <f aca="false">F2047*G2047</f>
        <v>1949.85</v>
      </c>
      <c r="J2047" s="4" t="n">
        <f aca="false">F2047*H2047</f>
        <v>1113</v>
      </c>
      <c r="K2047" s="4" t="n">
        <f aca="false">I2047-J2047</f>
        <v>836.85</v>
      </c>
      <c r="L2047" s="5" t="n">
        <f aca="false">IFERROR(K2047/I2047,0)</f>
        <v>0.429186860527733</v>
      </c>
    </row>
    <row r="2048" customFormat="false" ht="15" hidden="false" customHeight="false" outlineLevel="0" collapsed="false">
      <c r="A2048" s="2" t="s">
        <v>44</v>
      </c>
      <c r="B2048" s="2" t="s">
        <v>45</v>
      </c>
      <c r="C2048" s="2" t="s">
        <v>38</v>
      </c>
      <c r="D2048" s="2" t="s">
        <v>40</v>
      </c>
      <c r="E2048" s="3" t="n">
        <v>46174</v>
      </c>
      <c r="F2048" s="2" t="n">
        <v>17</v>
      </c>
      <c r="G2048" s="4" t="n">
        <v>74.99</v>
      </c>
      <c r="H2048" s="4" t="n">
        <v>41.87</v>
      </c>
      <c r="I2048" s="4" t="n">
        <f aca="false">F2048*G2048</f>
        <v>1274.83</v>
      </c>
      <c r="J2048" s="4" t="n">
        <f aca="false">F2048*H2048</f>
        <v>711.79</v>
      </c>
      <c r="K2048" s="4" t="n">
        <f aca="false">I2048-J2048</f>
        <v>563.04</v>
      </c>
      <c r="L2048" s="5" t="n">
        <f aca="false">IFERROR(K2048/I2048,0)</f>
        <v>0.441658887851714</v>
      </c>
    </row>
    <row r="2049" customFormat="false" ht="15" hidden="false" customHeight="false" outlineLevel="0" collapsed="false">
      <c r="A2049" s="2" t="s">
        <v>44</v>
      </c>
      <c r="B2049" s="2" t="s">
        <v>45</v>
      </c>
      <c r="C2049" s="2" t="s">
        <v>38</v>
      </c>
      <c r="D2049" s="2" t="s">
        <v>41</v>
      </c>
      <c r="E2049" s="3" t="n">
        <v>46174</v>
      </c>
      <c r="F2049" s="2" t="n">
        <v>20</v>
      </c>
      <c r="G2049" s="4" t="n">
        <v>19.99</v>
      </c>
      <c r="H2049" s="4" t="n">
        <v>9.43</v>
      </c>
      <c r="I2049" s="4" t="n">
        <f aca="false">F2049*G2049</f>
        <v>399.8</v>
      </c>
      <c r="J2049" s="4" t="n">
        <f aca="false">F2049*H2049</f>
        <v>188.6</v>
      </c>
      <c r="K2049" s="4" t="n">
        <f aca="false">I2049-J2049</f>
        <v>211.2</v>
      </c>
      <c r="L2049" s="5" t="n">
        <f aca="false">IFERROR(K2049/I2049,0)</f>
        <v>0.528264132066033</v>
      </c>
    </row>
    <row r="2050" customFormat="false" ht="15" hidden="false" customHeight="false" outlineLevel="0" collapsed="false">
      <c r="A2050" s="2" t="s">
        <v>44</v>
      </c>
      <c r="B2050" s="2" t="s">
        <v>45</v>
      </c>
      <c r="C2050" s="2" t="s">
        <v>38</v>
      </c>
      <c r="D2050" s="2" t="s">
        <v>42</v>
      </c>
      <c r="E2050" s="3" t="n">
        <v>46174</v>
      </c>
      <c r="F2050" s="2" t="n">
        <v>23</v>
      </c>
      <c r="G2050" s="4" t="n">
        <v>16.99</v>
      </c>
      <c r="H2050" s="4" t="n">
        <v>8.5</v>
      </c>
      <c r="I2050" s="4" t="n">
        <f aca="false">F2050*G2050</f>
        <v>390.77</v>
      </c>
      <c r="J2050" s="4" t="n">
        <f aca="false">F2050*H2050</f>
        <v>195.5</v>
      </c>
      <c r="K2050" s="4" t="n">
        <f aca="false">I2050-J2050</f>
        <v>195.27</v>
      </c>
      <c r="L2050" s="5" t="n">
        <f aca="false">IFERROR(K2050/I2050,0)</f>
        <v>0.49970570924073</v>
      </c>
    </row>
    <row r="2051" customFormat="false" ht="15" hidden="false" customHeight="false" outlineLevel="0" collapsed="false">
      <c r="A2051" s="2" t="s">
        <v>44</v>
      </c>
      <c r="B2051" s="2" t="s">
        <v>45</v>
      </c>
      <c r="C2051" s="2" t="s">
        <v>38</v>
      </c>
      <c r="D2051" s="2" t="s">
        <v>43</v>
      </c>
      <c r="E2051" s="3" t="n">
        <v>46174</v>
      </c>
      <c r="F2051" s="2" t="n">
        <v>13</v>
      </c>
      <c r="G2051" s="4" t="n">
        <v>24.99</v>
      </c>
      <c r="H2051" s="4" t="n">
        <v>12.84</v>
      </c>
      <c r="I2051" s="4" t="n">
        <f aca="false">F2051*G2051</f>
        <v>324.87</v>
      </c>
      <c r="J2051" s="4" t="n">
        <f aca="false">F2051*H2051</f>
        <v>166.92</v>
      </c>
      <c r="K2051" s="4" t="n">
        <f aca="false">I2051-J2051</f>
        <v>157.95</v>
      </c>
      <c r="L2051" s="5" t="n">
        <f aca="false">IFERROR(K2051/I2051,0)</f>
        <v>0.486194477791117</v>
      </c>
    </row>
    <row r="2052" customFormat="false" ht="15" hidden="false" customHeight="false" outlineLevel="0" collapsed="false">
      <c r="A2052" s="2" t="s">
        <v>44</v>
      </c>
      <c r="B2052" s="2" t="s">
        <v>46</v>
      </c>
      <c r="C2052" s="2" t="s">
        <v>14</v>
      </c>
      <c r="D2052" s="2" t="s">
        <v>15</v>
      </c>
      <c r="E2052" s="3" t="n">
        <v>46174</v>
      </c>
      <c r="F2052" s="2" t="n">
        <v>14</v>
      </c>
      <c r="G2052" s="4" t="n">
        <v>69.99</v>
      </c>
      <c r="H2052" s="4" t="n">
        <v>32.67</v>
      </c>
      <c r="I2052" s="4" t="n">
        <f aca="false">F2052*G2052</f>
        <v>979.86</v>
      </c>
      <c r="J2052" s="4" t="n">
        <f aca="false">F2052*H2052</f>
        <v>457.38</v>
      </c>
      <c r="K2052" s="4" t="n">
        <f aca="false">I2052-J2052</f>
        <v>522.48</v>
      </c>
      <c r="L2052" s="5" t="n">
        <f aca="false">IFERROR(K2052/I2052,0)</f>
        <v>0.533219031290184</v>
      </c>
    </row>
    <row r="2053" customFormat="false" ht="15" hidden="false" customHeight="false" outlineLevel="0" collapsed="false">
      <c r="A2053" s="2" t="s">
        <v>44</v>
      </c>
      <c r="B2053" s="2" t="s">
        <v>46</v>
      </c>
      <c r="C2053" s="2" t="s">
        <v>14</v>
      </c>
      <c r="D2053" s="2" t="s">
        <v>16</v>
      </c>
      <c r="E2053" s="3" t="n">
        <v>46174</v>
      </c>
      <c r="F2053" s="2" t="n">
        <v>11</v>
      </c>
      <c r="G2053" s="4" t="n">
        <v>19.99</v>
      </c>
      <c r="H2053" s="4" t="n">
        <v>8.98</v>
      </c>
      <c r="I2053" s="4" t="n">
        <f aca="false">F2053*G2053</f>
        <v>219.89</v>
      </c>
      <c r="J2053" s="4" t="n">
        <f aca="false">F2053*H2053</f>
        <v>98.78</v>
      </c>
      <c r="K2053" s="4" t="n">
        <f aca="false">I2053-J2053</f>
        <v>121.11</v>
      </c>
      <c r="L2053" s="5" t="n">
        <f aca="false">IFERROR(K2053/I2053,0)</f>
        <v>0.550775387693847</v>
      </c>
    </row>
    <row r="2054" customFormat="false" ht="15" hidden="false" customHeight="false" outlineLevel="0" collapsed="false">
      <c r="A2054" s="2" t="s">
        <v>44</v>
      </c>
      <c r="B2054" s="2" t="s">
        <v>46</v>
      </c>
      <c r="C2054" s="2" t="s">
        <v>14</v>
      </c>
      <c r="D2054" s="2" t="s">
        <v>17</v>
      </c>
      <c r="E2054" s="3" t="n">
        <v>46174</v>
      </c>
      <c r="F2054" s="2" t="n">
        <v>9</v>
      </c>
      <c r="G2054" s="4" t="n">
        <v>79.99</v>
      </c>
      <c r="H2054" s="4" t="n">
        <v>39.37</v>
      </c>
      <c r="I2054" s="4" t="n">
        <f aca="false">F2054*G2054</f>
        <v>719.91</v>
      </c>
      <c r="J2054" s="4" t="n">
        <f aca="false">F2054*H2054</f>
        <v>354.33</v>
      </c>
      <c r="K2054" s="4" t="n">
        <f aca="false">I2054-J2054</f>
        <v>365.58</v>
      </c>
      <c r="L2054" s="5" t="n">
        <f aca="false">IFERROR(K2054/I2054,0)</f>
        <v>0.507813476684586</v>
      </c>
    </row>
    <row r="2055" customFormat="false" ht="15" hidden="false" customHeight="false" outlineLevel="0" collapsed="false">
      <c r="A2055" s="2" t="s">
        <v>44</v>
      </c>
      <c r="B2055" s="2" t="s">
        <v>46</v>
      </c>
      <c r="C2055" s="2" t="s">
        <v>14</v>
      </c>
      <c r="D2055" s="2" t="s">
        <v>18</v>
      </c>
      <c r="E2055" s="3" t="n">
        <v>46174</v>
      </c>
      <c r="F2055" s="2" t="n">
        <v>15</v>
      </c>
      <c r="G2055" s="4" t="n">
        <v>34.99</v>
      </c>
      <c r="H2055" s="4" t="n">
        <v>14.47</v>
      </c>
      <c r="I2055" s="4" t="n">
        <f aca="false">F2055*G2055</f>
        <v>524.85</v>
      </c>
      <c r="J2055" s="4" t="n">
        <f aca="false">F2055*H2055</f>
        <v>217.05</v>
      </c>
      <c r="K2055" s="4" t="n">
        <f aca="false">I2055-J2055</f>
        <v>307.8</v>
      </c>
      <c r="L2055" s="5" t="n">
        <f aca="false">IFERROR(K2055/I2055,0)</f>
        <v>0.586453272363532</v>
      </c>
    </row>
    <row r="2056" customFormat="false" ht="15" hidden="false" customHeight="false" outlineLevel="0" collapsed="false">
      <c r="A2056" s="2" t="s">
        <v>44</v>
      </c>
      <c r="B2056" s="2" t="s">
        <v>46</v>
      </c>
      <c r="C2056" s="2" t="s">
        <v>14</v>
      </c>
      <c r="D2056" s="2" t="s">
        <v>19</v>
      </c>
      <c r="E2056" s="3" t="n">
        <v>46174</v>
      </c>
      <c r="F2056" s="2" t="n">
        <v>10</v>
      </c>
      <c r="G2056" s="4" t="n">
        <v>54.99</v>
      </c>
      <c r="H2056" s="4" t="n">
        <v>24.8</v>
      </c>
      <c r="I2056" s="4" t="n">
        <f aca="false">F2056*G2056</f>
        <v>549.9</v>
      </c>
      <c r="J2056" s="4" t="n">
        <f aca="false">F2056*H2056</f>
        <v>248</v>
      </c>
      <c r="K2056" s="4" t="n">
        <f aca="false">I2056-J2056</f>
        <v>301.9</v>
      </c>
      <c r="L2056" s="5" t="n">
        <f aca="false">IFERROR(K2056/I2056,0)</f>
        <v>0.549008910711038</v>
      </c>
    </row>
    <row r="2057" customFormat="false" ht="15" hidden="false" customHeight="false" outlineLevel="0" collapsed="false">
      <c r="A2057" s="2" t="s">
        <v>44</v>
      </c>
      <c r="B2057" s="2" t="s">
        <v>46</v>
      </c>
      <c r="C2057" s="2" t="s">
        <v>20</v>
      </c>
      <c r="D2057" s="2" t="s">
        <v>21</v>
      </c>
      <c r="E2057" s="3" t="n">
        <v>46174</v>
      </c>
      <c r="F2057" s="2" t="n">
        <v>6</v>
      </c>
      <c r="G2057" s="4" t="n">
        <v>44.99</v>
      </c>
      <c r="H2057" s="4" t="n">
        <v>19.91</v>
      </c>
      <c r="I2057" s="4" t="n">
        <f aca="false">F2057*G2057</f>
        <v>269.94</v>
      </c>
      <c r="J2057" s="4" t="n">
        <f aca="false">F2057*H2057</f>
        <v>119.46</v>
      </c>
      <c r="K2057" s="4" t="n">
        <f aca="false">I2057-J2057</f>
        <v>150.48</v>
      </c>
      <c r="L2057" s="5" t="n">
        <f aca="false">IFERROR(K2057/I2057,0)</f>
        <v>0.557457212713936</v>
      </c>
    </row>
    <row r="2058" customFormat="false" ht="15" hidden="false" customHeight="false" outlineLevel="0" collapsed="false">
      <c r="A2058" s="2" t="s">
        <v>44</v>
      </c>
      <c r="B2058" s="2" t="s">
        <v>46</v>
      </c>
      <c r="C2058" s="2" t="s">
        <v>20</v>
      </c>
      <c r="D2058" s="2" t="s">
        <v>22</v>
      </c>
      <c r="E2058" s="3" t="n">
        <v>46174</v>
      </c>
      <c r="F2058" s="2" t="n">
        <v>7</v>
      </c>
      <c r="G2058" s="4" t="n">
        <v>14.99</v>
      </c>
      <c r="H2058" s="4" t="n">
        <v>5.65</v>
      </c>
      <c r="I2058" s="4" t="n">
        <f aca="false">F2058*G2058</f>
        <v>104.93</v>
      </c>
      <c r="J2058" s="4" t="n">
        <f aca="false">F2058*H2058</f>
        <v>39.55</v>
      </c>
      <c r="K2058" s="4" t="n">
        <f aca="false">I2058-J2058</f>
        <v>65.38</v>
      </c>
      <c r="L2058" s="5" t="n">
        <f aca="false">IFERROR(K2058/I2058,0)</f>
        <v>0.623082054703135</v>
      </c>
    </row>
    <row r="2059" customFormat="false" ht="15" hidden="false" customHeight="false" outlineLevel="0" collapsed="false">
      <c r="A2059" s="2" t="s">
        <v>44</v>
      </c>
      <c r="B2059" s="2" t="s">
        <v>46</v>
      </c>
      <c r="C2059" s="2" t="s">
        <v>20</v>
      </c>
      <c r="D2059" s="2" t="s">
        <v>23</v>
      </c>
      <c r="E2059" s="3" t="n">
        <v>46174</v>
      </c>
      <c r="F2059" s="2" t="n">
        <v>15</v>
      </c>
      <c r="G2059" s="4" t="n">
        <v>39.99</v>
      </c>
      <c r="H2059" s="4" t="n">
        <v>16.51</v>
      </c>
      <c r="I2059" s="4" t="n">
        <f aca="false">F2059*G2059</f>
        <v>599.85</v>
      </c>
      <c r="J2059" s="4" t="n">
        <f aca="false">F2059*H2059</f>
        <v>247.65</v>
      </c>
      <c r="K2059" s="4" t="n">
        <f aca="false">I2059-J2059</f>
        <v>352.2</v>
      </c>
      <c r="L2059" s="5" t="n">
        <f aca="false">IFERROR(K2059/I2059,0)</f>
        <v>0.587146786696674</v>
      </c>
    </row>
    <row r="2060" customFormat="false" ht="15" hidden="false" customHeight="false" outlineLevel="0" collapsed="false">
      <c r="A2060" s="2" t="s">
        <v>44</v>
      </c>
      <c r="B2060" s="2" t="s">
        <v>46</v>
      </c>
      <c r="C2060" s="2" t="s">
        <v>20</v>
      </c>
      <c r="D2060" s="2" t="s">
        <v>24</v>
      </c>
      <c r="E2060" s="3" t="n">
        <v>46174</v>
      </c>
      <c r="F2060" s="2" t="n">
        <v>11</v>
      </c>
      <c r="G2060" s="4" t="n">
        <v>18.99</v>
      </c>
      <c r="H2060" s="4" t="n">
        <v>7.71</v>
      </c>
      <c r="I2060" s="4" t="n">
        <f aca="false">F2060*G2060</f>
        <v>208.89</v>
      </c>
      <c r="J2060" s="4" t="n">
        <f aca="false">F2060*H2060</f>
        <v>84.81</v>
      </c>
      <c r="K2060" s="4" t="n">
        <f aca="false">I2060-J2060</f>
        <v>124.08</v>
      </c>
      <c r="L2060" s="5" t="n">
        <f aca="false">IFERROR(K2060/I2060,0)</f>
        <v>0.593996840442338</v>
      </c>
    </row>
    <row r="2061" customFormat="false" ht="15" hidden="false" customHeight="false" outlineLevel="0" collapsed="false">
      <c r="A2061" s="2" t="s">
        <v>44</v>
      </c>
      <c r="B2061" s="2" t="s">
        <v>46</v>
      </c>
      <c r="C2061" s="2" t="s">
        <v>20</v>
      </c>
      <c r="D2061" s="2" t="s">
        <v>25</v>
      </c>
      <c r="E2061" s="3" t="n">
        <v>46174</v>
      </c>
      <c r="F2061" s="2" t="n">
        <v>12</v>
      </c>
      <c r="G2061" s="4" t="n">
        <v>42.99</v>
      </c>
      <c r="H2061" s="4" t="n">
        <v>16.13</v>
      </c>
      <c r="I2061" s="4" t="n">
        <f aca="false">F2061*G2061</f>
        <v>515.88</v>
      </c>
      <c r="J2061" s="4" t="n">
        <f aca="false">F2061*H2061</f>
        <v>193.56</v>
      </c>
      <c r="K2061" s="4" t="n">
        <f aca="false">I2061-J2061</f>
        <v>322.32</v>
      </c>
      <c r="L2061" s="5" t="n">
        <f aca="false">IFERROR(K2061/I2061,0)</f>
        <v>0.624796464294022</v>
      </c>
    </row>
    <row r="2062" customFormat="false" ht="15" hidden="false" customHeight="false" outlineLevel="0" collapsed="false">
      <c r="A2062" s="2" t="s">
        <v>44</v>
      </c>
      <c r="B2062" s="2" t="s">
        <v>46</v>
      </c>
      <c r="C2062" s="2" t="s">
        <v>26</v>
      </c>
      <c r="D2062" s="2" t="s">
        <v>27</v>
      </c>
      <c r="E2062" s="3" t="n">
        <v>46174</v>
      </c>
      <c r="F2062" s="2" t="n">
        <v>10</v>
      </c>
      <c r="G2062" s="4" t="n">
        <v>44.99</v>
      </c>
      <c r="H2062" s="4" t="n">
        <v>27.82</v>
      </c>
      <c r="I2062" s="4" t="n">
        <f aca="false">F2062*G2062</f>
        <v>449.9</v>
      </c>
      <c r="J2062" s="4" t="n">
        <f aca="false">F2062*H2062</f>
        <v>278.2</v>
      </c>
      <c r="K2062" s="4" t="n">
        <f aca="false">I2062-J2062</f>
        <v>171.7</v>
      </c>
      <c r="L2062" s="5" t="n">
        <f aca="false">IFERROR(K2062/I2062,0)</f>
        <v>0.38164036452545</v>
      </c>
    </row>
    <row r="2063" customFormat="false" ht="15" hidden="false" customHeight="false" outlineLevel="0" collapsed="false">
      <c r="A2063" s="2" t="s">
        <v>44</v>
      </c>
      <c r="B2063" s="2" t="s">
        <v>46</v>
      </c>
      <c r="C2063" s="2" t="s">
        <v>26</v>
      </c>
      <c r="D2063" s="2" t="s">
        <v>28</v>
      </c>
      <c r="E2063" s="3" t="n">
        <v>46174</v>
      </c>
      <c r="F2063" s="2" t="n">
        <v>11</v>
      </c>
      <c r="G2063" s="4" t="n">
        <v>34.99</v>
      </c>
      <c r="H2063" s="4" t="n">
        <v>22.79</v>
      </c>
      <c r="I2063" s="4" t="n">
        <f aca="false">F2063*G2063</f>
        <v>384.89</v>
      </c>
      <c r="J2063" s="4" t="n">
        <f aca="false">F2063*H2063</f>
        <v>250.69</v>
      </c>
      <c r="K2063" s="4" t="n">
        <f aca="false">I2063-J2063</f>
        <v>134.2</v>
      </c>
      <c r="L2063" s="5" t="n">
        <f aca="false">IFERROR(K2063/I2063,0)</f>
        <v>0.348671048871106</v>
      </c>
    </row>
    <row r="2064" customFormat="false" ht="15" hidden="false" customHeight="false" outlineLevel="0" collapsed="false">
      <c r="A2064" s="2" t="s">
        <v>44</v>
      </c>
      <c r="B2064" s="2" t="s">
        <v>46</v>
      </c>
      <c r="C2064" s="2" t="s">
        <v>26</v>
      </c>
      <c r="D2064" s="2" t="s">
        <v>29</v>
      </c>
      <c r="E2064" s="3" t="n">
        <v>46174</v>
      </c>
      <c r="F2064" s="2" t="n">
        <v>10</v>
      </c>
      <c r="G2064" s="4" t="n">
        <v>119.99</v>
      </c>
      <c r="H2064" s="4" t="n">
        <v>81.34</v>
      </c>
      <c r="I2064" s="4" t="n">
        <f aca="false">F2064*G2064</f>
        <v>1199.9</v>
      </c>
      <c r="J2064" s="4" t="n">
        <f aca="false">F2064*H2064</f>
        <v>813.4</v>
      </c>
      <c r="K2064" s="4" t="n">
        <f aca="false">I2064-J2064</f>
        <v>386.5</v>
      </c>
      <c r="L2064" s="5" t="n">
        <f aca="false">IFERROR(K2064/I2064,0)</f>
        <v>0.322110175847987</v>
      </c>
    </row>
    <row r="2065" customFormat="false" ht="15" hidden="false" customHeight="false" outlineLevel="0" collapsed="false">
      <c r="A2065" s="2" t="s">
        <v>44</v>
      </c>
      <c r="B2065" s="2" t="s">
        <v>46</v>
      </c>
      <c r="C2065" s="2" t="s">
        <v>26</v>
      </c>
      <c r="D2065" s="2" t="s">
        <v>30</v>
      </c>
      <c r="E2065" s="3" t="n">
        <v>46174</v>
      </c>
      <c r="F2065" s="2" t="n">
        <v>10</v>
      </c>
      <c r="G2065" s="4" t="n">
        <v>24.99</v>
      </c>
      <c r="H2065" s="4" t="n">
        <v>14.81</v>
      </c>
      <c r="I2065" s="4" t="n">
        <f aca="false">F2065*G2065</f>
        <v>249.9</v>
      </c>
      <c r="J2065" s="4" t="n">
        <f aca="false">F2065*H2065</f>
        <v>148.1</v>
      </c>
      <c r="K2065" s="4" t="n">
        <f aca="false">I2065-J2065</f>
        <v>101.8</v>
      </c>
      <c r="L2065" s="5" t="n">
        <f aca="false">IFERROR(K2065/I2065,0)</f>
        <v>0.407362945178071</v>
      </c>
    </row>
    <row r="2066" customFormat="false" ht="15" hidden="false" customHeight="false" outlineLevel="0" collapsed="false">
      <c r="A2066" s="2" t="s">
        <v>44</v>
      </c>
      <c r="B2066" s="2" t="s">
        <v>46</v>
      </c>
      <c r="C2066" s="2" t="s">
        <v>26</v>
      </c>
      <c r="D2066" s="2" t="s">
        <v>31</v>
      </c>
      <c r="E2066" s="3" t="n">
        <v>46174</v>
      </c>
      <c r="F2066" s="2" t="n">
        <v>11</v>
      </c>
      <c r="G2066" s="4" t="n">
        <v>59.99</v>
      </c>
      <c r="H2066" s="4" t="n">
        <v>38.32</v>
      </c>
      <c r="I2066" s="4" t="n">
        <f aca="false">F2066*G2066</f>
        <v>659.89</v>
      </c>
      <c r="J2066" s="4" t="n">
        <f aca="false">F2066*H2066</f>
        <v>421.52</v>
      </c>
      <c r="K2066" s="4" t="n">
        <f aca="false">I2066-J2066</f>
        <v>238.37</v>
      </c>
      <c r="L2066" s="5" t="n">
        <f aca="false">IFERROR(K2066/I2066,0)</f>
        <v>0.361226871145191</v>
      </c>
    </row>
    <row r="2067" customFormat="false" ht="15" hidden="false" customHeight="false" outlineLevel="0" collapsed="false">
      <c r="A2067" s="2" t="s">
        <v>44</v>
      </c>
      <c r="B2067" s="2" t="s">
        <v>46</v>
      </c>
      <c r="C2067" s="2" t="s">
        <v>32</v>
      </c>
      <c r="D2067" s="2" t="s">
        <v>33</v>
      </c>
      <c r="E2067" s="3" t="n">
        <v>46174</v>
      </c>
      <c r="F2067" s="2" t="n">
        <v>15</v>
      </c>
      <c r="G2067" s="4" t="n">
        <v>49.99</v>
      </c>
      <c r="H2067" s="4" t="n">
        <v>35.48</v>
      </c>
      <c r="I2067" s="4" t="n">
        <f aca="false">F2067*G2067</f>
        <v>749.85</v>
      </c>
      <c r="J2067" s="4" t="n">
        <f aca="false">F2067*H2067</f>
        <v>532.2</v>
      </c>
      <c r="K2067" s="4" t="n">
        <f aca="false">I2067-J2067</f>
        <v>217.65</v>
      </c>
      <c r="L2067" s="5" t="n">
        <f aca="false">IFERROR(K2067/I2067,0)</f>
        <v>0.290258051610322</v>
      </c>
    </row>
    <row r="2068" customFormat="false" ht="15" hidden="false" customHeight="false" outlineLevel="0" collapsed="false">
      <c r="A2068" s="2" t="s">
        <v>44</v>
      </c>
      <c r="B2068" s="2" t="s">
        <v>46</v>
      </c>
      <c r="C2068" s="2" t="s">
        <v>32</v>
      </c>
      <c r="D2068" s="2" t="s">
        <v>34</v>
      </c>
      <c r="E2068" s="3" t="n">
        <v>46174</v>
      </c>
      <c r="F2068" s="2" t="n">
        <v>8</v>
      </c>
      <c r="G2068" s="4" t="n">
        <v>27.99</v>
      </c>
      <c r="H2068" s="4" t="n">
        <v>20.06</v>
      </c>
      <c r="I2068" s="4" t="n">
        <f aca="false">F2068*G2068</f>
        <v>223.92</v>
      </c>
      <c r="J2068" s="4" t="n">
        <f aca="false">F2068*H2068</f>
        <v>160.48</v>
      </c>
      <c r="K2068" s="4" t="n">
        <f aca="false">I2068-J2068</f>
        <v>63.44</v>
      </c>
      <c r="L2068" s="5" t="n">
        <f aca="false">IFERROR(K2068/I2068,0)</f>
        <v>0.283315469810647</v>
      </c>
    </row>
    <row r="2069" customFormat="false" ht="15" hidden="false" customHeight="false" outlineLevel="0" collapsed="false">
      <c r="A2069" s="2" t="s">
        <v>44</v>
      </c>
      <c r="B2069" s="2" t="s">
        <v>46</v>
      </c>
      <c r="C2069" s="2" t="s">
        <v>32</v>
      </c>
      <c r="D2069" s="2" t="s">
        <v>35</v>
      </c>
      <c r="E2069" s="3" t="n">
        <v>46174</v>
      </c>
      <c r="F2069" s="2" t="n">
        <v>14</v>
      </c>
      <c r="G2069" s="4" t="n">
        <v>64.99</v>
      </c>
      <c r="H2069" s="4" t="n">
        <v>45.16</v>
      </c>
      <c r="I2069" s="4" t="n">
        <f aca="false">F2069*G2069</f>
        <v>909.86</v>
      </c>
      <c r="J2069" s="4" t="n">
        <f aca="false">F2069*H2069</f>
        <v>632.24</v>
      </c>
      <c r="K2069" s="4" t="n">
        <f aca="false">I2069-J2069</f>
        <v>277.62</v>
      </c>
      <c r="L2069" s="5" t="n">
        <f aca="false">IFERROR(K2069/I2069,0)</f>
        <v>0.305123865210032</v>
      </c>
    </row>
    <row r="2070" customFormat="false" ht="15" hidden="false" customHeight="false" outlineLevel="0" collapsed="false">
      <c r="A2070" s="2" t="s">
        <v>44</v>
      </c>
      <c r="B2070" s="2" t="s">
        <v>46</v>
      </c>
      <c r="C2070" s="2" t="s">
        <v>32</v>
      </c>
      <c r="D2070" s="2" t="s">
        <v>36</v>
      </c>
      <c r="E2070" s="3" t="n">
        <v>46174</v>
      </c>
      <c r="F2070" s="2" t="n">
        <v>16</v>
      </c>
      <c r="G2070" s="4" t="n">
        <v>22.99</v>
      </c>
      <c r="H2070" s="4" t="n">
        <v>17.18</v>
      </c>
      <c r="I2070" s="4" t="n">
        <f aca="false">F2070*G2070</f>
        <v>367.84</v>
      </c>
      <c r="J2070" s="4" t="n">
        <f aca="false">F2070*H2070</f>
        <v>274.88</v>
      </c>
      <c r="K2070" s="4" t="n">
        <f aca="false">I2070-J2070</f>
        <v>92.96</v>
      </c>
      <c r="L2070" s="5" t="n">
        <f aca="false">IFERROR(K2070/I2070,0)</f>
        <v>0.252718573292736</v>
      </c>
    </row>
    <row r="2071" customFormat="false" ht="15" hidden="false" customHeight="false" outlineLevel="0" collapsed="false">
      <c r="A2071" s="2" t="s">
        <v>44</v>
      </c>
      <c r="B2071" s="2" t="s">
        <v>46</v>
      </c>
      <c r="C2071" s="2" t="s">
        <v>32</v>
      </c>
      <c r="D2071" s="2" t="s">
        <v>37</v>
      </c>
      <c r="E2071" s="3" t="n">
        <v>46174</v>
      </c>
      <c r="F2071" s="2" t="n">
        <v>16</v>
      </c>
      <c r="G2071" s="4" t="n">
        <v>29.99</v>
      </c>
      <c r="H2071" s="4" t="n">
        <v>20.03</v>
      </c>
      <c r="I2071" s="4" t="n">
        <f aca="false">F2071*G2071</f>
        <v>479.84</v>
      </c>
      <c r="J2071" s="4" t="n">
        <f aca="false">F2071*H2071</f>
        <v>320.48</v>
      </c>
      <c r="K2071" s="4" t="n">
        <f aca="false">I2071-J2071</f>
        <v>159.36</v>
      </c>
      <c r="L2071" s="5" t="n">
        <f aca="false">IFERROR(K2071/I2071,0)</f>
        <v>0.332110703567856</v>
      </c>
    </row>
    <row r="2072" customFormat="false" ht="15" hidden="false" customHeight="false" outlineLevel="0" collapsed="false">
      <c r="A2072" s="2" t="s">
        <v>44</v>
      </c>
      <c r="B2072" s="2" t="s">
        <v>46</v>
      </c>
      <c r="C2072" s="2" t="s">
        <v>38</v>
      </c>
      <c r="D2072" s="2" t="s">
        <v>39</v>
      </c>
      <c r="E2072" s="3" t="n">
        <v>46174</v>
      </c>
      <c r="F2072" s="2" t="n">
        <v>13</v>
      </c>
      <c r="G2072" s="4" t="n">
        <v>129.99</v>
      </c>
      <c r="H2072" s="4" t="n">
        <v>77.64</v>
      </c>
      <c r="I2072" s="4" t="n">
        <f aca="false">F2072*G2072</f>
        <v>1689.87</v>
      </c>
      <c r="J2072" s="4" t="n">
        <f aca="false">F2072*H2072</f>
        <v>1009.32</v>
      </c>
      <c r="K2072" s="4" t="n">
        <f aca="false">I2072-J2072</f>
        <v>680.55</v>
      </c>
      <c r="L2072" s="5" t="n">
        <f aca="false">IFERROR(K2072/I2072,0)</f>
        <v>0.402723286406647</v>
      </c>
    </row>
    <row r="2073" customFormat="false" ht="15" hidden="false" customHeight="false" outlineLevel="0" collapsed="false">
      <c r="A2073" s="2" t="s">
        <v>44</v>
      </c>
      <c r="B2073" s="2" t="s">
        <v>46</v>
      </c>
      <c r="C2073" s="2" t="s">
        <v>38</v>
      </c>
      <c r="D2073" s="2" t="s">
        <v>40</v>
      </c>
      <c r="E2073" s="3" t="n">
        <v>46174</v>
      </c>
      <c r="F2073" s="2" t="n">
        <v>13</v>
      </c>
      <c r="G2073" s="4" t="n">
        <v>74.99</v>
      </c>
      <c r="H2073" s="4" t="n">
        <v>41.69</v>
      </c>
      <c r="I2073" s="4" t="n">
        <f aca="false">F2073*G2073</f>
        <v>974.87</v>
      </c>
      <c r="J2073" s="4" t="n">
        <f aca="false">F2073*H2073</f>
        <v>541.97</v>
      </c>
      <c r="K2073" s="4" t="n">
        <f aca="false">I2073-J2073</f>
        <v>432.9</v>
      </c>
      <c r="L2073" s="5" t="n">
        <f aca="false">IFERROR(K2073/I2073,0)</f>
        <v>0.444059207894386</v>
      </c>
    </row>
    <row r="2074" customFormat="false" ht="15" hidden="false" customHeight="false" outlineLevel="0" collapsed="false">
      <c r="A2074" s="2" t="s">
        <v>44</v>
      </c>
      <c r="B2074" s="2" t="s">
        <v>46</v>
      </c>
      <c r="C2074" s="2" t="s">
        <v>38</v>
      </c>
      <c r="D2074" s="2" t="s">
        <v>41</v>
      </c>
      <c r="E2074" s="3" t="n">
        <v>46174</v>
      </c>
      <c r="F2074" s="2" t="n">
        <v>15</v>
      </c>
      <c r="G2074" s="4" t="n">
        <v>19.99</v>
      </c>
      <c r="H2074" s="4" t="n">
        <v>9.87</v>
      </c>
      <c r="I2074" s="4" t="n">
        <f aca="false">F2074*G2074</f>
        <v>299.85</v>
      </c>
      <c r="J2074" s="4" t="n">
        <f aca="false">F2074*H2074</f>
        <v>148.05</v>
      </c>
      <c r="K2074" s="4" t="n">
        <f aca="false">I2074-J2074</f>
        <v>151.8</v>
      </c>
      <c r="L2074" s="5" t="n">
        <f aca="false">IFERROR(K2074/I2074,0)</f>
        <v>0.506253126563282</v>
      </c>
    </row>
    <row r="2075" customFormat="false" ht="15" hidden="false" customHeight="false" outlineLevel="0" collapsed="false">
      <c r="A2075" s="2" t="s">
        <v>44</v>
      </c>
      <c r="B2075" s="2" t="s">
        <v>46</v>
      </c>
      <c r="C2075" s="2" t="s">
        <v>38</v>
      </c>
      <c r="D2075" s="2" t="s">
        <v>42</v>
      </c>
      <c r="E2075" s="3" t="n">
        <v>46174</v>
      </c>
      <c r="F2075" s="2" t="n">
        <v>10</v>
      </c>
      <c r="G2075" s="4" t="n">
        <v>16.99</v>
      </c>
      <c r="H2075" s="4" t="n">
        <v>8.55</v>
      </c>
      <c r="I2075" s="4" t="n">
        <f aca="false">F2075*G2075</f>
        <v>169.9</v>
      </c>
      <c r="J2075" s="4" t="n">
        <f aca="false">F2075*H2075</f>
        <v>85.5</v>
      </c>
      <c r="K2075" s="4" t="n">
        <f aca="false">I2075-J2075</f>
        <v>84.4</v>
      </c>
      <c r="L2075" s="5" t="n">
        <f aca="false">IFERROR(K2075/I2075,0)</f>
        <v>0.496762801648028</v>
      </c>
    </row>
    <row r="2076" customFormat="false" ht="15" hidden="false" customHeight="false" outlineLevel="0" collapsed="false">
      <c r="A2076" s="2" t="s">
        <v>44</v>
      </c>
      <c r="B2076" s="2" t="s">
        <v>46</v>
      </c>
      <c r="C2076" s="2" t="s">
        <v>38</v>
      </c>
      <c r="D2076" s="2" t="s">
        <v>43</v>
      </c>
      <c r="E2076" s="3" t="n">
        <v>46174</v>
      </c>
      <c r="F2076" s="2" t="n">
        <v>10</v>
      </c>
      <c r="G2076" s="4" t="n">
        <v>24.99</v>
      </c>
      <c r="H2076" s="4" t="n">
        <v>12.83</v>
      </c>
      <c r="I2076" s="4" t="n">
        <f aca="false">F2076*G2076</f>
        <v>249.9</v>
      </c>
      <c r="J2076" s="4" t="n">
        <f aca="false">F2076*H2076</f>
        <v>128.3</v>
      </c>
      <c r="K2076" s="4" t="n">
        <f aca="false">I2076-J2076</f>
        <v>121.6</v>
      </c>
      <c r="L2076" s="5" t="n">
        <f aca="false">IFERROR(K2076/I2076,0)</f>
        <v>0.486594637855142</v>
      </c>
    </row>
    <row r="2077" customFormat="false" ht="15" hidden="false" customHeight="false" outlineLevel="0" collapsed="false">
      <c r="A2077" s="2" t="s">
        <v>47</v>
      </c>
      <c r="B2077" s="2" t="s">
        <v>48</v>
      </c>
      <c r="C2077" s="2" t="s">
        <v>14</v>
      </c>
      <c r="D2077" s="2" t="s">
        <v>15</v>
      </c>
      <c r="E2077" s="3" t="n">
        <v>46174</v>
      </c>
      <c r="F2077" s="2" t="n">
        <v>15</v>
      </c>
      <c r="G2077" s="4" t="n">
        <v>69.99</v>
      </c>
      <c r="H2077" s="4" t="n">
        <v>34.12</v>
      </c>
      <c r="I2077" s="4" t="n">
        <f aca="false">F2077*G2077</f>
        <v>1049.85</v>
      </c>
      <c r="J2077" s="4" t="n">
        <f aca="false">F2077*H2077</f>
        <v>511.8</v>
      </c>
      <c r="K2077" s="4" t="n">
        <f aca="false">I2077-J2077</f>
        <v>538.05</v>
      </c>
      <c r="L2077" s="5" t="n">
        <f aca="false">IFERROR(K2077/I2077,0)</f>
        <v>0.512501785969424</v>
      </c>
    </row>
    <row r="2078" customFormat="false" ht="15" hidden="false" customHeight="false" outlineLevel="0" collapsed="false">
      <c r="A2078" s="2" t="s">
        <v>47</v>
      </c>
      <c r="B2078" s="2" t="s">
        <v>48</v>
      </c>
      <c r="C2078" s="2" t="s">
        <v>14</v>
      </c>
      <c r="D2078" s="2" t="s">
        <v>16</v>
      </c>
      <c r="E2078" s="3" t="n">
        <v>46174</v>
      </c>
      <c r="F2078" s="2" t="n">
        <v>13</v>
      </c>
      <c r="G2078" s="4" t="n">
        <v>19.99</v>
      </c>
      <c r="H2078" s="4" t="n">
        <v>9.24</v>
      </c>
      <c r="I2078" s="4" t="n">
        <f aca="false">F2078*G2078</f>
        <v>259.87</v>
      </c>
      <c r="J2078" s="4" t="n">
        <f aca="false">F2078*H2078</f>
        <v>120.12</v>
      </c>
      <c r="K2078" s="4" t="n">
        <f aca="false">I2078-J2078</f>
        <v>139.75</v>
      </c>
      <c r="L2078" s="5" t="n">
        <f aca="false">IFERROR(K2078/I2078,0)</f>
        <v>0.537768884442221</v>
      </c>
    </row>
    <row r="2079" customFormat="false" ht="15" hidden="false" customHeight="false" outlineLevel="0" collapsed="false">
      <c r="A2079" s="2" t="s">
        <v>47</v>
      </c>
      <c r="B2079" s="2" t="s">
        <v>48</v>
      </c>
      <c r="C2079" s="2" t="s">
        <v>14</v>
      </c>
      <c r="D2079" s="2" t="s">
        <v>17</v>
      </c>
      <c r="E2079" s="3" t="n">
        <v>46174</v>
      </c>
      <c r="F2079" s="2" t="n">
        <v>9</v>
      </c>
      <c r="G2079" s="4" t="n">
        <v>79.99</v>
      </c>
      <c r="H2079" s="4" t="n">
        <v>39.71</v>
      </c>
      <c r="I2079" s="4" t="n">
        <f aca="false">F2079*G2079</f>
        <v>719.91</v>
      </c>
      <c r="J2079" s="4" t="n">
        <f aca="false">F2079*H2079</f>
        <v>357.39</v>
      </c>
      <c r="K2079" s="4" t="n">
        <f aca="false">I2079-J2079</f>
        <v>362.52</v>
      </c>
      <c r="L2079" s="5" t="n">
        <f aca="false">IFERROR(K2079/I2079,0)</f>
        <v>0.503562945368171</v>
      </c>
    </row>
    <row r="2080" customFormat="false" ht="15" hidden="false" customHeight="false" outlineLevel="0" collapsed="false">
      <c r="A2080" s="2" t="s">
        <v>47</v>
      </c>
      <c r="B2080" s="2" t="s">
        <v>48</v>
      </c>
      <c r="C2080" s="2" t="s">
        <v>14</v>
      </c>
      <c r="D2080" s="2" t="s">
        <v>18</v>
      </c>
      <c r="E2080" s="3" t="n">
        <v>46174</v>
      </c>
      <c r="F2080" s="2" t="n">
        <v>17</v>
      </c>
      <c r="G2080" s="4" t="n">
        <v>34.99</v>
      </c>
      <c r="H2080" s="4" t="n">
        <v>14.78</v>
      </c>
      <c r="I2080" s="4" t="n">
        <f aca="false">F2080*G2080</f>
        <v>594.83</v>
      </c>
      <c r="J2080" s="4" t="n">
        <f aca="false">F2080*H2080</f>
        <v>251.26</v>
      </c>
      <c r="K2080" s="4" t="n">
        <f aca="false">I2080-J2080</f>
        <v>343.57</v>
      </c>
      <c r="L2080" s="5" t="n">
        <f aca="false">IFERROR(K2080/I2080,0)</f>
        <v>0.577593598170906</v>
      </c>
    </row>
    <row r="2081" customFormat="false" ht="15" hidden="false" customHeight="false" outlineLevel="0" collapsed="false">
      <c r="A2081" s="2" t="s">
        <v>47</v>
      </c>
      <c r="B2081" s="2" t="s">
        <v>48</v>
      </c>
      <c r="C2081" s="2" t="s">
        <v>14</v>
      </c>
      <c r="D2081" s="2" t="s">
        <v>19</v>
      </c>
      <c r="E2081" s="3" t="n">
        <v>46174</v>
      </c>
      <c r="F2081" s="2" t="n">
        <v>11</v>
      </c>
      <c r="G2081" s="4" t="n">
        <v>54.99</v>
      </c>
      <c r="H2081" s="4" t="n">
        <v>23.94</v>
      </c>
      <c r="I2081" s="4" t="n">
        <f aca="false">F2081*G2081</f>
        <v>604.89</v>
      </c>
      <c r="J2081" s="4" t="n">
        <f aca="false">F2081*H2081</f>
        <v>263.34</v>
      </c>
      <c r="K2081" s="4" t="n">
        <f aca="false">I2081-J2081</f>
        <v>341.55</v>
      </c>
      <c r="L2081" s="5" t="n">
        <f aca="false">IFERROR(K2081/I2081,0)</f>
        <v>0.564648117839607</v>
      </c>
    </row>
    <row r="2082" customFormat="false" ht="15" hidden="false" customHeight="false" outlineLevel="0" collapsed="false">
      <c r="A2082" s="2" t="s">
        <v>47</v>
      </c>
      <c r="B2082" s="2" t="s">
        <v>48</v>
      </c>
      <c r="C2082" s="2" t="s">
        <v>20</v>
      </c>
      <c r="D2082" s="2" t="s">
        <v>21</v>
      </c>
      <c r="E2082" s="3" t="n">
        <v>46174</v>
      </c>
      <c r="F2082" s="2" t="n">
        <v>14</v>
      </c>
      <c r="G2082" s="4" t="n">
        <v>44.99</v>
      </c>
      <c r="H2082" s="4" t="n">
        <v>20.79</v>
      </c>
      <c r="I2082" s="4" t="n">
        <f aca="false">F2082*G2082</f>
        <v>629.86</v>
      </c>
      <c r="J2082" s="4" t="n">
        <f aca="false">F2082*H2082</f>
        <v>291.06</v>
      </c>
      <c r="K2082" s="4" t="n">
        <f aca="false">I2082-J2082</f>
        <v>338.8</v>
      </c>
      <c r="L2082" s="5" t="n">
        <f aca="false">IFERROR(K2082/I2082,0)</f>
        <v>0.537897310513448</v>
      </c>
    </row>
    <row r="2083" customFormat="false" ht="15" hidden="false" customHeight="false" outlineLevel="0" collapsed="false">
      <c r="A2083" s="2" t="s">
        <v>47</v>
      </c>
      <c r="B2083" s="2" t="s">
        <v>48</v>
      </c>
      <c r="C2083" s="2" t="s">
        <v>20</v>
      </c>
      <c r="D2083" s="2" t="s">
        <v>22</v>
      </c>
      <c r="E2083" s="3" t="n">
        <v>46174</v>
      </c>
      <c r="F2083" s="2" t="n">
        <v>11</v>
      </c>
      <c r="G2083" s="4" t="n">
        <v>14.99</v>
      </c>
      <c r="H2083" s="4" t="n">
        <v>5.65</v>
      </c>
      <c r="I2083" s="4" t="n">
        <f aca="false">F2083*G2083</f>
        <v>164.89</v>
      </c>
      <c r="J2083" s="4" t="n">
        <f aca="false">F2083*H2083</f>
        <v>62.15</v>
      </c>
      <c r="K2083" s="4" t="n">
        <f aca="false">I2083-J2083</f>
        <v>102.74</v>
      </c>
      <c r="L2083" s="5" t="n">
        <f aca="false">IFERROR(K2083/I2083,0)</f>
        <v>0.623082054703135</v>
      </c>
    </row>
    <row r="2084" customFormat="false" ht="15" hidden="false" customHeight="false" outlineLevel="0" collapsed="false">
      <c r="A2084" s="2" t="s">
        <v>47</v>
      </c>
      <c r="B2084" s="2" t="s">
        <v>48</v>
      </c>
      <c r="C2084" s="2" t="s">
        <v>20</v>
      </c>
      <c r="D2084" s="2" t="s">
        <v>23</v>
      </c>
      <c r="E2084" s="3" t="n">
        <v>46174</v>
      </c>
      <c r="F2084" s="2" t="n">
        <v>16</v>
      </c>
      <c r="G2084" s="4" t="n">
        <v>39.99</v>
      </c>
      <c r="H2084" s="4" t="n">
        <v>17.24</v>
      </c>
      <c r="I2084" s="4" t="n">
        <f aca="false">F2084*G2084</f>
        <v>639.84</v>
      </c>
      <c r="J2084" s="4" t="n">
        <f aca="false">F2084*H2084</f>
        <v>275.84</v>
      </c>
      <c r="K2084" s="4" t="n">
        <f aca="false">I2084-J2084</f>
        <v>364</v>
      </c>
      <c r="L2084" s="5" t="n">
        <f aca="false">IFERROR(K2084/I2084,0)</f>
        <v>0.568892223055764</v>
      </c>
    </row>
    <row r="2085" customFormat="false" ht="15" hidden="false" customHeight="false" outlineLevel="0" collapsed="false">
      <c r="A2085" s="2" t="s">
        <v>47</v>
      </c>
      <c r="B2085" s="2" t="s">
        <v>48</v>
      </c>
      <c r="C2085" s="2" t="s">
        <v>20</v>
      </c>
      <c r="D2085" s="2" t="s">
        <v>24</v>
      </c>
      <c r="E2085" s="3" t="n">
        <v>46174</v>
      </c>
      <c r="F2085" s="2" t="n">
        <v>9</v>
      </c>
      <c r="G2085" s="4" t="n">
        <v>18.99</v>
      </c>
      <c r="H2085" s="4" t="n">
        <v>7.71</v>
      </c>
      <c r="I2085" s="4" t="n">
        <f aca="false">F2085*G2085</f>
        <v>170.91</v>
      </c>
      <c r="J2085" s="4" t="n">
        <f aca="false">F2085*H2085</f>
        <v>69.39</v>
      </c>
      <c r="K2085" s="4" t="n">
        <f aca="false">I2085-J2085</f>
        <v>101.52</v>
      </c>
      <c r="L2085" s="5" t="n">
        <f aca="false">IFERROR(K2085/I2085,0)</f>
        <v>0.593996840442338</v>
      </c>
    </row>
    <row r="2086" customFormat="false" ht="15" hidden="false" customHeight="false" outlineLevel="0" collapsed="false">
      <c r="A2086" s="2" t="s">
        <v>47</v>
      </c>
      <c r="B2086" s="2" t="s">
        <v>48</v>
      </c>
      <c r="C2086" s="2" t="s">
        <v>20</v>
      </c>
      <c r="D2086" s="2" t="s">
        <v>25</v>
      </c>
      <c r="E2086" s="3" t="n">
        <v>46174</v>
      </c>
      <c r="F2086" s="2" t="n">
        <v>13</v>
      </c>
      <c r="G2086" s="4" t="n">
        <v>42.99</v>
      </c>
      <c r="H2086" s="4" t="n">
        <v>16.35</v>
      </c>
      <c r="I2086" s="4" t="n">
        <f aca="false">F2086*G2086</f>
        <v>558.87</v>
      </c>
      <c r="J2086" s="4" t="n">
        <f aca="false">F2086*H2086</f>
        <v>212.55</v>
      </c>
      <c r="K2086" s="4" t="n">
        <f aca="false">I2086-J2086</f>
        <v>346.32</v>
      </c>
      <c r="L2086" s="5" t="n">
        <f aca="false">IFERROR(K2086/I2086,0)</f>
        <v>0.619678995115143</v>
      </c>
    </row>
    <row r="2087" customFormat="false" ht="15" hidden="false" customHeight="false" outlineLevel="0" collapsed="false">
      <c r="A2087" s="2" t="s">
        <v>47</v>
      </c>
      <c r="B2087" s="2" t="s">
        <v>48</v>
      </c>
      <c r="C2087" s="2" t="s">
        <v>26</v>
      </c>
      <c r="D2087" s="2" t="s">
        <v>27</v>
      </c>
      <c r="E2087" s="3" t="n">
        <v>46174</v>
      </c>
      <c r="F2087" s="2" t="n">
        <v>7</v>
      </c>
      <c r="G2087" s="4" t="n">
        <v>44.99</v>
      </c>
      <c r="H2087" s="4" t="n">
        <v>28.45</v>
      </c>
      <c r="I2087" s="4" t="n">
        <f aca="false">F2087*G2087</f>
        <v>314.93</v>
      </c>
      <c r="J2087" s="4" t="n">
        <f aca="false">F2087*H2087</f>
        <v>199.15</v>
      </c>
      <c r="K2087" s="4" t="n">
        <f aca="false">I2087-J2087</f>
        <v>115.78</v>
      </c>
      <c r="L2087" s="5" t="n">
        <f aca="false">IFERROR(K2087/I2087,0)</f>
        <v>0.367637252722827</v>
      </c>
    </row>
    <row r="2088" customFormat="false" ht="15" hidden="false" customHeight="false" outlineLevel="0" collapsed="false">
      <c r="A2088" s="2" t="s">
        <v>47</v>
      </c>
      <c r="B2088" s="2" t="s">
        <v>48</v>
      </c>
      <c r="C2088" s="2" t="s">
        <v>26</v>
      </c>
      <c r="D2088" s="2" t="s">
        <v>28</v>
      </c>
      <c r="E2088" s="3" t="n">
        <v>46174</v>
      </c>
      <c r="F2088" s="2" t="n">
        <v>12</v>
      </c>
      <c r="G2088" s="4" t="n">
        <v>34.99</v>
      </c>
      <c r="H2088" s="4" t="n">
        <v>21.99</v>
      </c>
      <c r="I2088" s="4" t="n">
        <f aca="false">F2088*G2088</f>
        <v>419.88</v>
      </c>
      <c r="J2088" s="4" t="n">
        <f aca="false">F2088*H2088</f>
        <v>263.88</v>
      </c>
      <c r="K2088" s="4" t="n">
        <f aca="false">I2088-J2088</f>
        <v>156</v>
      </c>
      <c r="L2088" s="5" t="n">
        <f aca="false">IFERROR(K2088/I2088,0)</f>
        <v>0.371534724206916</v>
      </c>
    </row>
    <row r="2089" customFormat="false" ht="15" hidden="false" customHeight="false" outlineLevel="0" collapsed="false">
      <c r="A2089" s="2" t="s">
        <v>47</v>
      </c>
      <c r="B2089" s="2" t="s">
        <v>48</v>
      </c>
      <c r="C2089" s="2" t="s">
        <v>26</v>
      </c>
      <c r="D2089" s="2" t="s">
        <v>29</v>
      </c>
      <c r="E2089" s="3" t="n">
        <v>46174</v>
      </c>
      <c r="F2089" s="2" t="n">
        <v>11</v>
      </c>
      <c r="G2089" s="4" t="n">
        <v>119.99</v>
      </c>
      <c r="H2089" s="4" t="n">
        <v>79.44</v>
      </c>
      <c r="I2089" s="4" t="n">
        <f aca="false">F2089*G2089</f>
        <v>1319.89</v>
      </c>
      <c r="J2089" s="4" t="n">
        <f aca="false">F2089*H2089</f>
        <v>873.84</v>
      </c>
      <c r="K2089" s="4" t="n">
        <f aca="false">I2089-J2089</f>
        <v>446.05</v>
      </c>
      <c r="L2089" s="5" t="n">
        <f aca="false">IFERROR(K2089/I2089,0)</f>
        <v>0.337944828735728</v>
      </c>
    </row>
    <row r="2090" customFormat="false" ht="15" hidden="false" customHeight="false" outlineLevel="0" collapsed="false">
      <c r="A2090" s="2" t="s">
        <v>47</v>
      </c>
      <c r="B2090" s="2" t="s">
        <v>48</v>
      </c>
      <c r="C2090" s="2" t="s">
        <v>26</v>
      </c>
      <c r="D2090" s="2" t="s">
        <v>30</v>
      </c>
      <c r="E2090" s="3" t="n">
        <v>46174</v>
      </c>
      <c r="F2090" s="2" t="n">
        <v>20</v>
      </c>
      <c r="G2090" s="4" t="n">
        <v>24.99</v>
      </c>
      <c r="H2090" s="4" t="n">
        <v>15.38</v>
      </c>
      <c r="I2090" s="4" t="n">
        <f aca="false">F2090*G2090</f>
        <v>499.8</v>
      </c>
      <c r="J2090" s="4" t="n">
        <f aca="false">F2090*H2090</f>
        <v>307.6</v>
      </c>
      <c r="K2090" s="4" t="n">
        <f aca="false">I2090-J2090</f>
        <v>192.2</v>
      </c>
      <c r="L2090" s="5" t="n">
        <f aca="false">IFERROR(K2090/I2090,0)</f>
        <v>0.384553821528611</v>
      </c>
    </row>
    <row r="2091" customFormat="false" ht="15" hidden="false" customHeight="false" outlineLevel="0" collapsed="false">
      <c r="A2091" s="2" t="s">
        <v>47</v>
      </c>
      <c r="B2091" s="2" t="s">
        <v>48</v>
      </c>
      <c r="C2091" s="2" t="s">
        <v>26</v>
      </c>
      <c r="D2091" s="2" t="s">
        <v>31</v>
      </c>
      <c r="E2091" s="3" t="n">
        <v>46174</v>
      </c>
      <c r="F2091" s="2" t="n">
        <v>11</v>
      </c>
      <c r="G2091" s="4" t="n">
        <v>59.99</v>
      </c>
      <c r="H2091" s="4" t="n">
        <v>37.87</v>
      </c>
      <c r="I2091" s="4" t="n">
        <f aca="false">F2091*G2091</f>
        <v>659.89</v>
      </c>
      <c r="J2091" s="4" t="n">
        <f aca="false">F2091*H2091</f>
        <v>416.57</v>
      </c>
      <c r="K2091" s="4" t="n">
        <f aca="false">I2091-J2091</f>
        <v>243.32</v>
      </c>
      <c r="L2091" s="5" t="n">
        <f aca="false">IFERROR(K2091/I2091,0)</f>
        <v>0.368728121353559</v>
      </c>
    </row>
    <row r="2092" customFormat="false" ht="15" hidden="false" customHeight="false" outlineLevel="0" collapsed="false">
      <c r="A2092" s="2" t="s">
        <v>47</v>
      </c>
      <c r="B2092" s="2" t="s">
        <v>48</v>
      </c>
      <c r="C2092" s="2" t="s">
        <v>32</v>
      </c>
      <c r="D2092" s="2" t="s">
        <v>33</v>
      </c>
      <c r="E2092" s="3" t="n">
        <v>46174</v>
      </c>
      <c r="F2092" s="2" t="n">
        <v>14</v>
      </c>
      <c r="G2092" s="4" t="n">
        <v>49.99</v>
      </c>
      <c r="H2092" s="4" t="n">
        <v>36.36</v>
      </c>
      <c r="I2092" s="4" t="n">
        <f aca="false">F2092*G2092</f>
        <v>699.86</v>
      </c>
      <c r="J2092" s="4" t="n">
        <f aca="false">F2092*H2092</f>
        <v>509.04</v>
      </c>
      <c r="K2092" s="4" t="n">
        <f aca="false">I2092-J2092</f>
        <v>190.82</v>
      </c>
      <c r="L2092" s="5" t="n">
        <f aca="false">IFERROR(K2092/I2092,0)</f>
        <v>0.272654530906181</v>
      </c>
    </row>
    <row r="2093" customFormat="false" ht="15" hidden="false" customHeight="false" outlineLevel="0" collapsed="false">
      <c r="A2093" s="2" t="s">
        <v>47</v>
      </c>
      <c r="B2093" s="2" t="s">
        <v>48</v>
      </c>
      <c r="C2093" s="2" t="s">
        <v>32</v>
      </c>
      <c r="D2093" s="2" t="s">
        <v>34</v>
      </c>
      <c r="E2093" s="3" t="n">
        <v>46174</v>
      </c>
      <c r="F2093" s="2" t="n">
        <v>9</v>
      </c>
      <c r="G2093" s="4" t="n">
        <v>27.99</v>
      </c>
      <c r="H2093" s="4" t="n">
        <v>20.3</v>
      </c>
      <c r="I2093" s="4" t="n">
        <f aca="false">F2093*G2093</f>
        <v>251.91</v>
      </c>
      <c r="J2093" s="4" t="n">
        <f aca="false">F2093*H2093</f>
        <v>182.7</v>
      </c>
      <c r="K2093" s="4" t="n">
        <f aca="false">I2093-J2093</f>
        <v>69.21</v>
      </c>
      <c r="L2093" s="5" t="n">
        <f aca="false">IFERROR(K2093/I2093,0)</f>
        <v>0.274740978921043</v>
      </c>
    </row>
    <row r="2094" customFormat="false" ht="15" hidden="false" customHeight="false" outlineLevel="0" collapsed="false">
      <c r="A2094" s="2" t="s">
        <v>47</v>
      </c>
      <c r="B2094" s="2" t="s">
        <v>48</v>
      </c>
      <c r="C2094" s="2" t="s">
        <v>32</v>
      </c>
      <c r="D2094" s="2" t="s">
        <v>35</v>
      </c>
      <c r="E2094" s="3" t="n">
        <v>46174</v>
      </c>
      <c r="F2094" s="2" t="n">
        <v>12</v>
      </c>
      <c r="G2094" s="4" t="n">
        <v>64.99</v>
      </c>
      <c r="H2094" s="4" t="n">
        <v>45.69</v>
      </c>
      <c r="I2094" s="4" t="n">
        <f aca="false">F2094*G2094</f>
        <v>779.88</v>
      </c>
      <c r="J2094" s="4" t="n">
        <f aca="false">F2094*H2094</f>
        <v>548.28</v>
      </c>
      <c r="K2094" s="4" t="n">
        <f aca="false">I2094-J2094</f>
        <v>231.6</v>
      </c>
      <c r="L2094" s="5" t="n">
        <f aca="false">IFERROR(K2094/I2094,0)</f>
        <v>0.296968764425296</v>
      </c>
    </row>
    <row r="2095" customFormat="false" ht="15" hidden="false" customHeight="false" outlineLevel="0" collapsed="false">
      <c r="A2095" s="2" t="s">
        <v>47</v>
      </c>
      <c r="B2095" s="2" t="s">
        <v>48</v>
      </c>
      <c r="C2095" s="2" t="s">
        <v>32</v>
      </c>
      <c r="D2095" s="2" t="s">
        <v>36</v>
      </c>
      <c r="E2095" s="3" t="n">
        <v>46174</v>
      </c>
      <c r="F2095" s="2" t="n">
        <v>10</v>
      </c>
      <c r="G2095" s="4" t="n">
        <v>22.99</v>
      </c>
      <c r="H2095" s="4" t="n">
        <v>17.08</v>
      </c>
      <c r="I2095" s="4" t="n">
        <f aca="false">F2095*G2095</f>
        <v>229.9</v>
      </c>
      <c r="J2095" s="4" t="n">
        <f aca="false">F2095*H2095</f>
        <v>170.8</v>
      </c>
      <c r="K2095" s="4" t="n">
        <f aca="false">I2095-J2095</f>
        <v>59.1</v>
      </c>
      <c r="L2095" s="5" t="n">
        <f aca="false">IFERROR(K2095/I2095,0)</f>
        <v>0.257068290561114</v>
      </c>
    </row>
    <row r="2096" customFormat="false" ht="15" hidden="false" customHeight="false" outlineLevel="0" collapsed="false">
      <c r="A2096" s="2" t="s">
        <v>47</v>
      </c>
      <c r="B2096" s="2" t="s">
        <v>48</v>
      </c>
      <c r="C2096" s="2" t="s">
        <v>32</v>
      </c>
      <c r="D2096" s="2" t="s">
        <v>37</v>
      </c>
      <c r="E2096" s="3" t="n">
        <v>46174</v>
      </c>
      <c r="F2096" s="2" t="n">
        <v>16</v>
      </c>
      <c r="G2096" s="4" t="n">
        <v>29.99</v>
      </c>
      <c r="H2096" s="4" t="n">
        <v>20.64</v>
      </c>
      <c r="I2096" s="4" t="n">
        <f aca="false">F2096*G2096</f>
        <v>479.84</v>
      </c>
      <c r="J2096" s="4" t="n">
        <f aca="false">F2096*H2096</f>
        <v>330.24</v>
      </c>
      <c r="K2096" s="4" t="n">
        <f aca="false">I2096-J2096</f>
        <v>149.6</v>
      </c>
      <c r="L2096" s="5" t="n">
        <f aca="false">IFERROR(K2096/I2096,0)</f>
        <v>0.311770590196732</v>
      </c>
    </row>
    <row r="2097" customFormat="false" ht="15" hidden="false" customHeight="false" outlineLevel="0" collapsed="false">
      <c r="A2097" s="2" t="s">
        <v>47</v>
      </c>
      <c r="B2097" s="2" t="s">
        <v>48</v>
      </c>
      <c r="C2097" s="2" t="s">
        <v>38</v>
      </c>
      <c r="D2097" s="2" t="s">
        <v>39</v>
      </c>
      <c r="E2097" s="3" t="n">
        <v>46174</v>
      </c>
      <c r="F2097" s="2" t="n">
        <v>9</v>
      </c>
      <c r="G2097" s="4" t="n">
        <v>129.99</v>
      </c>
      <c r="H2097" s="4" t="n">
        <v>75.7</v>
      </c>
      <c r="I2097" s="4" t="n">
        <f aca="false">F2097*G2097</f>
        <v>1169.91</v>
      </c>
      <c r="J2097" s="4" t="n">
        <f aca="false">F2097*H2097</f>
        <v>681.3</v>
      </c>
      <c r="K2097" s="4" t="n">
        <f aca="false">I2097-J2097</f>
        <v>488.61</v>
      </c>
      <c r="L2097" s="5" t="n">
        <f aca="false">IFERROR(K2097/I2097,0)</f>
        <v>0.417647511347027</v>
      </c>
    </row>
    <row r="2098" customFormat="false" ht="15" hidden="false" customHeight="false" outlineLevel="0" collapsed="false">
      <c r="A2098" s="2" t="s">
        <v>47</v>
      </c>
      <c r="B2098" s="2" t="s">
        <v>48</v>
      </c>
      <c r="C2098" s="2" t="s">
        <v>38</v>
      </c>
      <c r="D2098" s="2" t="s">
        <v>40</v>
      </c>
      <c r="E2098" s="3" t="n">
        <v>46174</v>
      </c>
      <c r="F2098" s="2" t="n">
        <v>10</v>
      </c>
      <c r="G2098" s="4" t="n">
        <v>74.99</v>
      </c>
      <c r="H2098" s="4" t="n">
        <v>40.93</v>
      </c>
      <c r="I2098" s="4" t="n">
        <f aca="false">F2098*G2098</f>
        <v>749.9</v>
      </c>
      <c r="J2098" s="4" t="n">
        <f aca="false">F2098*H2098</f>
        <v>409.3</v>
      </c>
      <c r="K2098" s="4" t="n">
        <f aca="false">I2098-J2098</f>
        <v>340.6</v>
      </c>
      <c r="L2098" s="5" t="n">
        <f aca="false">IFERROR(K2098/I2098,0)</f>
        <v>0.454193892519003</v>
      </c>
    </row>
    <row r="2099" customFormat="false" ht="15" hidden="false" customHeight="false" outlineLevel="0" collapsed="false">
      <c r="A2099" s="2" t="s">
        <v>47</v>
      </c>
      <c r="B2099" s="2" t="s">
        <v>48</v>
      </c>
      <c r="C2099" s="2" t="s">
        <v>38</v>
      </c>
      <c r="D2099" s="2" t="s">
        <v>41</v>
      </c>
      <c r="E2099" s="3" t="n">
        <v>46174</v>
      </c>
      <c r="F2099" s="2" t="n">
        <v>14</v>
      </c>
      <c r="G2099" s="4" t="n">
        <v>19.99</v>
      </c>
      <c r="H2099" s="4" t="n">
        <v>9.66</v>
      </c>
      <c r="I2099" s="4" t="n">
        <f aca="false">F2099*G2099</f>
        <v>279.86</v>
      </c>
      <c r="J2099" s="4" t="n">
        <f aca="false">F2099*H2099</f>
        <v>135.24</v>
      </c>
      <c r="K2099" s="4" t="n">
        <f aca="false">I2099-J2099</f>
        <v>144.62</v>
      </c>
      <c r="L2099" s="5" t="n">
        <f aca="false">IFERROR(K2099/I2099,0)</f>
        <v>0.516758379189595</v>
      </c>
    </row>
    <row r="2100" customFormat="false" ht="15" hidden="false" customHeight="false" outlineLevel="0" collapsed="false">
      <c r="A2100" s="2" t="s">
        <v>47</v>
      </c>
      <c r="B2100" s="2" t="s">
        <v>48</v>
      </c>
      <c r="C2100" s="2" t="s">
        <v>38</v>
      </c>
      <c r="D2100" s="2" t="s">
        <v>42</v>
      </c>
      <c r="E2100" s="3" t="n">
        <v>46174</v>
      </c>
      <c r="F2100" s="2" t="n">
        <v>18</v>
      </c>
      <c r="G2100" s="4" t="n">
        <v>16.99</v>
      </c>
      <c r="H2100" s="4" t="n">
        <v>8.38</v>
      </c>
      <c r="I2100" s="4" t="n">
        <f aca="false">F2100*G2100</f>
        <v>305.82</v>
      </c>
      <c r="J2100" s="4" t="n">
        <f aca="false">F2100*H2100</f>
        <v>150.84</v>
      </c>
      <c r="K2100" s="4" t="n">
        <f aca="false">I2100-J2100</f>
        <v>154.98</v>
      </c>
      <c r="L2100" s="5" t="n">
        <f aca="false">IFERROR(K2100/I2100,0)</f>
        <v>0.506768687463214</v>
      </c>
    </row>
    <row r="2101" customFormat="false" ht="15" hidden="false" customHeight="false" outlineLevel="0" collapsed="false">
      <c r="A2101" s="2" t="s">
        <v>47</v>
      </c>
      <c r="B2101" s="2" t="s">
        <v>48</v>
      </c>
      <c r="C2101" s="2" t="s">
        <v>38</v>
      </c>
      <c r="D2101" s="2" t="s">
        <v>43</v>
      </c>
      <c r="E2101" s="3" t="n">
        <v>46174</v>
      </c>
      <c r="F2101" s="2" t="n">
        <v>9</v>
      </c>
      <c r="G2101" s="4" t="n">
        <v>24.99</v>
      </c>
      <c r="H2101" s="4" t="n">
        <v>12.94</v>
      </c>
      <c r="I2101" s="4" t="n">
        <f aca="false">F2101*G2101</f>
        <v>224.91</v>
      </c>
      <c r="J2101" s="4" t="n">
        <f aca="false">F2101*H2101</f>
        <v>116.46</v>
      </c>
      <c r="K2101" s="4" t="n">
        <f aca="false">I2101-J2101</f>
        <v>108.45</v>
      </c>
      <c r="L2101" s="5" t="n">
        <f aca="false">IFERROR(K2101/I2101,0)</f>
        <v>0.48219287715086</v>
      </c>
    </row>
    <row r="2102" customFormat="false" ht="15" hidden="false" customHeight="false" outlineLevel="0" collapsed="false">
      <c r="A2102" s="2" t="s">
        <v>47</v>
      </c>
      <c r="B2102" s="2" t="s">
        <v>49</v>
      </c>
      <c r="C2102" s="2" t="s">
        <v>14</v>
      </c>
      <c r="D2102" s="2" t="s">
        <v>15</v>
      </c>
      <c r="E2102" s="3" t="n">
        <v>46174</v>
      </c>
      <c r="F2102" s="2" t="n">
        <v>9</v>
      </c>
      <c r="G2102" s="4" t="n">
        <v>69.99</v>
      </c>
      <c r="H2102" s="4" t="n">
        <v>34.14</v>
      </c>
      <c r="I2102" s="4" t="n">
        <f aca="false">F2102*G2102</f>
        <v>629.91</v>
      </c>
      <c r="J2102" s="4" t="n">
        <f aca="false">F2102*H2102</f>
        <v>307.26</v>
      </c>
      <c r="K2102" s="4" t="n">
        <f aca="false">I2102-J2102</f>
        <v>322.65</v>
      </c>
      <c r="L2102" s="5" t="n">
        <f aca="false">IFERROR(K2102/I2102,0)</f>
        <v>0.512216030861552</v>
      </c>
    </row>
    <row r="2103" customFormat="false" ht="15" hidden="false" customHeight="false" outlineLevel="0" collapsed="false">
      <c r="A2103" s="2" t="s">
        <v>47</v>
      </c>
      <c r="B2103" s="2" t="s">
        <v>49</v>
      </c>
      <c r="C2103" s="2" t="s">
        <v>14</v>
      </c>
      <c r="D2103" s="2" t="s">
        <v>16</v>
      </c>
      <c r="E2103" s="3" t="n">
        <v>46174</v>
      </c>
      <c r="F2103" s="2" t="n">
        <v>14</v>
      </c>
      <c r="G2103" s="4" t="n">
        <v>19.99</v>
      </c>
      <c r="H2103" s="4" t="n">
        <v>9.23</v>
      </c>
      <c r="I2103" s="4" t="n">
        <f aca="false">F2103*G2103</f>
        <v>279.86</v>
      </c>
      <c r="J2103" s="4" t="n">
        <f aca="false">F2103*H2103</f>
        <v>129.22</v>
      </c>
      <c r="K2103" s="4" t="n">
        <f aca="false">I2103-J2103</f>
        <v>150.64</v>
      </c>
      <c r="L2103" s="5" t="n">
        <f aca="false">IFERROR(K2103/I2103,0)</f>
        <v>0.538269134567284</v>
      </c>
    </row>
    <row r="2104" customFormat="false" ht="15" hidden="false" customHeight="false" outlineLevel="0" collapsed="false">
      <c r="A2104" s="2" t="s">
        <v>47</v>
      </c>
      <c r="B2104" s="2" t="s">
        <v>49</v>
      </c>
      <c r="C2104" s="2" t="s">
        <v>14</v>
      </c>
      <c r="D2104" s="2" t="s">
        <v>17</v>
      </c>
      <c r="E2104" s="3" t="n">
        <v>46174</v>
      </c>
      <c r="F2104" s="2" t="n">
        <v>10</v>
      </c>
      <c r="G2104" s="4" t="n">
        <v>79.99</v>
      </c>
      <c r="H2104" s="4" t="n">
        <v>39.09</v>
      </c>
      <c r="I2104" s="4" t="n">
        <f aca="false">F2104*G2104</f>
        <v>799.9</v>
      </c>
      <c r="J2104" s="4" t="n">
        <f aca="false">F2104*H2104</f>
        <v>390.9</v>
      </c>
      <c r="K2104" s="4" t="n">
        <f aca="false">I2104-J2104</f>
        <v>409</v>
      </c>
      <c r="L2104" s="5" t="n">
        <f aca="false">IFERROR(K2104/I2104,0)</f>
        <v>0.51131391423928</v>
      </c>
    </row>
    <row r="2105" customFormat="false" ht="15" hidden="false" customHeight="false" outlineLevel="0" collapsed="false">
      <c r="A2105" s="2" t="s">
        <v>47</v>
      </c>
      <c r="B2105" s="2" t="s">
        <v>49</v>
      </c>
      <c r="C2105" s="2" t="s">
        <v>14</v>
      </c>
      <c r="D2105" s="2" t="s">
        <v>18</v>
      </c>
      <c r="E2105" s="3" t="n">
        <v>46174</v>
      </c>
      <c r="F2105" s="2" t="n">
        <v>14</v>
      </c>
      <c r="G2105" s="4" t="n">
        <v>34.99</v>
      </c>
      <c r="H2105" s="4" t="n">
        <v>14.34</v>
      </c>
      <c r="I2105" s="4" t="n">
        <f aca="false">F2105*G2105</f>
        <v>489.86</v>
      </c>
      <c r="J2105" s="4" t="n">
        <f aca="false">F2105*H2105</f>
        <v>200.76</v>
      </c>
      <c r="K2105" s="4" t="n">
        <f aca="false">I2105-J2105</f>
        <v>289.1</v>
      </c>
      <c r="L2105" s="5" t="n">
        <f aca="false">IFERROR(K2105/I2105,0)</f>
        <v>0.590168619605602</v>
      </c>
    </row>
    <row r="2106" customFormat="false" ht="15" hidden="false" customHeight="false" outlineLevel="0" collapsed="false">
      <c r="A2106" s="2" t="s">
        <v>47</v>
      </c>
      <c r="B2106" s="2" t="s">
        <v>49</v>
      </c>
      <c r="C2106" s="2" t="s">
        <v>14</v>
      </c>
      <c r="D2106" s="2" t="s">
        <v>19</v>
      </c>
      <c r="E2106" s="3" t="n">
        <v>46174</v>
      </c>
      <c r="F2106" s="2" t="n">
        <v>9</v>
      </c>
      <c r="G2106" s="4" t="n">
        <v>54.99</v>
      </c>
      <c r="H2106" s="4" t="n">
        <v>24.79</v>
      </c>
      <c r="I2106" s="4" t="n">
        <f aca="false">F2106*G2106</f>
        <v>494.91</v>
      </c>
      <c r="J2106" s="4" t="n">
        <f aca="false">F2106*H2106</f>
        <v>223.11</v>
      </c>
      <c r="K2106" s="4" t="n">
        <f aca="false">I2106-J2106</f>
        <v>271.8</v>
      </c>
      <c r="L2106" s="5" t="n">
        <f aca="false">IFERROR(K2106/I2106,0)</f>
        <v>0.54919076195672</v>
      </c>
    </row>
    <row r="2107" customFormat="false" ht="15" hidden="false" customHeight="false" outlineLevel="0" collapsed="false">
      <c r="A2107" s="2" t="s">
        <v>47</v>
      </c>
      <c r="B2107" s="2" t="s">
        <v>49</v>
      </c>
      <c r="C2107" s="2" t="s">
        <v>20</v>
      </c>
      <c r="D2107" s="2" t="s">
        <v>21</v>
      </c>
      <c r="E2107" s="3" t="n">
        <v>46174</v>
      </c>
      <c r="F2107" s="2" t="n">
        <v>9</v>
      </c>
      <c r="G2107" s="4" t="n">
        <v>44.99</v>
      </c>
      <c r="H2107" s="4" t="n">
        <v>20.75</v>
      </c>
      <c r="I2107" s="4" t="n">
        <f aca="false">F2107*G2107</f>
        <v>404.91</v>
      </c>
      <c r="J2107" s="4" t="n">
        <f aca="false">F2107*H2107</f>
        <v>186.75</v>
      </c>
      <c r="K2107" s="4" t="n">
        <f aca="false">I2107-J2107</f>
        <v>218.16</v>
      </c>
      <c r="L2107" s="5" t="n">
        <f aca="false">IFERROR(K2107/I2107,0)</f>
        <v>0.538786396977106</v>
      </c>
    </row>
    <row r="2108" customFormat="false" ht="15" hidden="false" customHeight="false" outlineLevel="0" collapsed="false">
      <c r="A2108" s="2" t="s">
        <v>47</v>
      </c>
      <c r="B2108" s="2" t="s">
        <v>49</v>
      </c>
      <c r="C2108" s="2" t="s">
        <v>20</v>
      </c>
      <c r="D2108" s="2" t="s">
        <v>22</v>
      </c>
      <c r="E2108" s="3" t="n">
        <v>46174</v>
      </c>
      <c r="F2108" s="2" t="n">
        <v>10</v>
      </c>
      <c r="G2108" s="4" t="n">
        <v>14.99</v>
      </c>
      <c r="H2108" s="4" t="n">
        <v>5.72</v>
      </c>
      <c r="I2108" s="4" t="n">
        <f aca="false">F2108*G2108</f>
        <v>149.9</v>
      </c>
      <c r="J2108" s="4" t="n">
        <f aca="false">F2108*H2108</f>
        <v>57.2</v>
      </c>
      <c r="K2108" s="4" t="n">
        <f aca="false">I2108-J2108</f>
        <v>92.7</v>
      </c>
      <c r="L2108" s="5" t="n">
        <f aca="false">IFERROR(K2108/I2108,0)</f>
        <v>0.6184122748499</v>
      </c>
    </row>
    <row r="2109" customFormat="false" ht="15" hidden="false" customHeight="false" outlineLevel="0" collapsed="false">
      <c r="A2109" s="2" t="s">
        <v>47</v>
      </c>
      <c r="B2109" s="2" t="s">
        <v>49</v>
      </c>
      <c r="C2109" s="2" t="s">
        <v>20</v>
      </c>
      <c r="D2109" s="2" t="s">
        <v>23</v>
      </c>
      <c r="E2109" s="3" t="n">
        <v>46174</v>
      </c>
      <c r="F2109" s="2" t="n">
        <v>11</v>
      </c>
      <c r="G2109" s="4" t="n">
        <v>39.99</v>
      </c>
      <c r="H2109" s="4" t="n">
        <v>17.11</v>
      </c>
      <c r="I2109" s="4" t="n">
        <f aca="false">F2109*G2109</f>
        <v>439.89</v>
      </c>
      <c r="J2109" s="4" t="n">
        <f aca="false">F2109*H2109</f>
        <v>188.21</v>
      </c>
      <c r="K2109" s="4" t="n">
        <f aca="false">I2109-J2109</f>
        <v>251.68</v>
      </c>
      <c r="L2109" s="5" t="n">
        <f aca="false">IFERROR(K2109/I2109,0)</f>
        <v>0.57214303575894</v>
      </c>
    </row>
    <row r="2110" customFormat="false" ht="15" hidden="false" customHeight="false" outlineLevel="0" collapsed="false">
      <c r="A2110" s="2" t="s">
        <v>47</v>
      </c>
      <c r="B2110" s="2" t="s">
        <v>49</v>
      </c>
      <c r="C2110" s="2" t="s">
        <v>20</v>
      </c>
      <c r="D2110" s="2" t="s">
        <v>24</v>
      </c>
      <c r="E2110" s="3" t="n">
        <v>46174</v>
      </c>
      <c r="F2110" s="2" t="n">
        <v>8</v>
      </c>
      <c r="G2110" s="4" t="n">
        <v>18.99</v>
      </c>
      <c r="H2110" s="4" t="n">
        <v>7.82</v>
      </c>
      <c r="I2110" s="4" t="n">
        <f aca="false">F2110*G2110</f>
        <v>151.92</v>
      </c>
      <c r="J2110" s="4" t="n">
        <f aca="false">F2110*H2110</f>
        <v>62.56</v>
      </c>
      <c r="K2110" s="4" t="n">
        <f aca="false">I2110-J2110</f>
        <v>89.36</v>
      </c>
      <c r="L2110" s="5" t="n">
        <f aca="false">IFERROR(K2110/I2110,0)</f>
        <v>0.588204318062138</v>
      </c>
    </row>
    <row r="2111" customFormat="false" ht="15" hidden="false" customHeight="false" outlineLevel="0" collapsed="false">
      <c r="A2111" s="2" t="s">
        <v>47</v>
      </c>
      <c r="B2111" s="2" t="s">
        <v>49</v>
      </c>
      <c r="C2111" s="2" t="s">
        <v>20</v>
      </c>
      <c r="D2111" s="2" t="s">
        <v>25</v>
      </c>
      <c r="E2111" s="3" t="n">
        <v>46174</v>
      </c>
      <c r="F2111" s="2" t="n">
        <v>9</v>
      </c>
      <c r="G2111" s="4" t="n">
        <v>42.99</v>
      </c>
      <c r="H2111" s="4" t="n">
        <v>15.8</v>
      </c>
      <c r="I2111" s="4" t="n">
        <f aca="false">F2111*G2111</f>
        <v>386.91</v>
      </c>
      <c r="J2111" s="4" t="n">
        <f aca="false">F2111*H2111</f>
        <v>142.2</v>
      </c>
      <c r="K2111" s="4" t="n">
        <f aca="false">I2111-J2111</f>
        <v>244.71</v>
      </c>
      <c r="L2111" s="5" t="n">
        <f aca="false">IFERROR(K2111/I2111,0)</f>
        <v>0.63247266806234</v>
      </c>
    </row>
    <row r="2112" customFormat="false" ht="15" hidden="false" customHeight="false" outlineLevel="0" collapsed="false">
      <c r="A2112" s="2" t="s">
        <v>47</v>
      </c>
      <c r="B2112" s="2" t="s">
        <v>49</v>
      </c>
      <c r="C2112" s="2" t="s">
        <v>26</v>
      </c>
      <c r="D2112" s="2" t="s">
        <v>27</v>
      </c>
      <c r="E2112" s="3" t="n">
        <v>46174</v>
      </c>
      <c r="F2112" s="2" t="n">
        <v>13</v>
      </c>
      <c r="G2112" s="4" t="n">
        <v>44.99</v>
      </c>
      <c r="H2112" s="4" t="n">
        <v>27.32</v>
      </c>
      <c r="I2112" s="4" t="n">
        <f aca="false">F2112*G2112</f>
        <v>584.87</v>
      </c>
      <c r="J2112" s="4" t="n">
        <f aca="false">F2112*H2112</f>
        <v>355.16</v>
      </c>
      <c r="K2112" s="4" t="n">
        <f aca="false">I2112-J2112</f>
        <v>229.71</v>
      </c>
      <c r="L2112" s="5" t="n">
        <f aca="false">IFERROR(K2112/I2112,0)</f>
        <v>0.392753945321182</v>
      </c>
    </row>
    <row r="2113" customFormat="false" ht="15" hidden="false" customHeight="false" outlineLevel="0" collapsed="false">
      <c r="A2113" s="2" t="s">
        <v>47</v>
      </c>
      <c r="B2113" s="2" t="s">
        <v>49</v>
      </c>
      <c r="C2113" s="2" t="s">
        <v>26</v>
      </c>
      <c r="D2113" s="2" t="s">
        <v>28</v>
      </c>
      <c r="E2113" s="3" t="n">
        <v>46174</v>
      </c>
      <c r="F2113" s="2" t="n">
        <v>8</v>
      </c>
      <c r="G2113" s="4" t="n">
        <v>34.99</v>
      </c>
      <c r="H2113" s="4" t="n">
        <v>22.71</v>
      </c>
      <c r="I2113" s="4" t="n">
        <f aca="false">F2113*G2113</f>
        <v>279.92</v>
      </c>
      <c r="J2113" s="4" t="n">
        <f aca="false">F2113*H2113</f>
        <v>181.68</v>
      </c>
      <c r="K2113" s="4" t="n">
        <f aca="false">I2113-J2113</f>
        <v>98.24</v>
      </c>
      <c r="L2113" s="5" t="n">
        <f aca="false">IFERROR(K2113/I2113,0)</f>
        <v>0.350957416404687</v>
      </c>
    </row>
    <row r="2114" customFormat="false" ht="15" hidden="false" customHeight="false" outlineLevel="0" collapsed="false">
      <c r="A2114" s="2" t="s">
        <v>47</v>
      </c>
      <c r="B2114" s="2" t="s">
        <v>49</v>
      </c>
      <c r="C2114" s="2" t="s">
        <v>26</v>
      </c>
      <c r="D2114" s="2" t="s">
        <v>29</v>
      </c>
      <c r="E2114" s="3" t="n">
        <v>46174</v>
      </c>
      <c r="F2114" s="2" t="n">
        <v>13</v>
      </c>
      <c r="G2114" s="4" t="n">
        <v>119.99</v>
      </c>
      <c r="H2114" s="4" t="n">
        <v>81.25</v>
      </c>
      <c r="I2114" s="4" t="n">
        <f aca="false">F2114*G2114</f>
        <v>1559.87</v>
      </c>
      <c r="J2114" s="4" t="n">
        <f aca="false">F2114*H2114</f>
        <v>1056.25</v>
      </c>
      <c r="K2114" s="4" t="n">
        <f aca="false">I2114-J2114</f>
        <v>503.62</v>
      </c>
      <c r="L2114" s="5" t="n">
        <f aca="false">IFERROR(K2114/I2114,0)</f>
        <v>0.322860238353196</v>
      </c>
    </row>
    <row r="2115" customFormat="false" ht="15" hidden="false" customHeight="false" outlineLevel="0" collapsed="false">
      <c r="A2115" s="2" t="s">
        <v>47</v>
      </c>
      <c r="B2115" s="2" t="s">
        <v>49</v>
      </c>
      <c r="C2115" s="2" t="s">
        <v>26</v>
      </c>
      <c r="D2115" s="2" t="s">
        <v>30</v>
      </c>
      <c r="E2115" s="3" t="n">
        <v>46174</v>
      </c>
      <c r="F2115" s="2" t="n">
        <v>10</v>
      </c>
      <c r="G2115" s="4" t="n">
        <v>24.99</v>
      </c>
      <c r="H2115" s="4" t="n">
        <v>15.01</v>
      </c>
      <c r="I2115" s="4" t="n">
        <f aca="false">F2115*G2115</f>
        <v>249.9</v>
      </c>
      <c r="J2115" s="4" t="n">
        <f aca="false">F2115*H2115</f>
        <v>150.1</v>
      </c>
      <c r="K2115" s="4" t="n">
        <f aca="false">I2115-J2115</f>
        <v>99.8</v>
      </c>
      <c r="L2115" s="5" t="n">
        <f aca="false">IFERROR(K2115/I2115,0)</f>
        <v>0.399359743897559</v>
      </c>
    </row>
    <row r="2116" customFormat="false" ht="15" hidden="false" customHeight="false" outlineLevel="0" collapsed="false">
      <c r="A2116" s="2" t="s">
        <v>47</v>
      </c>
      <c r="B2116" s="2" t="s">
        <v>49</v>
      </c>
      <c r="C2116" s="2" t="s">
        <v>26</v>
      </c>
      <c r="D2116" s="2" t="s">
        <v>31</v>
      </c>
      <c r="E2116" s="3" t="n">
        <v>46174</v>
      </c>
      <c r="F2116" s="2" t="n">
        <v>10</v>
      </c>
      <c r="G2116" s="4" t="n">
        <v>59.99</v>
      </c>
      <c r="H2116" s="4" t="n">
        <v>38.63</v>
      </c>
      <c r="I2116" s="4" t="n">
        <f aca="false">F2116*G2116</f>
        <v>599.9</v>
      </c>
      <c r="J2116" s="4" t="n">
        <f aca="false">F2116*H2116</f>
        <v>386.3</v>
      </c>
      <c r="K2116" s="4" t="n">
        <f aca="false">I2116-J2116</f>
        <v>213.6</v>
      </c>
      <c r="L2116" s="5" t="n">
        <f aca="false">IFERROR(K2116/I2116,0)</f>
        <v>0.356059343223871</v>
      </c>
    </row>
    <row r="2117" customFormat="false" ht="15" hidden="false" customHeight="false" outlineLevel="0" collapsed="false">
      <c r="A2117" s="2" t="s">
        <v>47</v>
      </c>
      <c r="B2117" s="2" t="s">
        <v>49</v>
      </c>
      <c r="C2117" s="2" t="s">
        <v>32</v>
      </c>
      <c r="D2117" s="2" t="s">
        <v>33</v>
      </c>
      <c r="E2117" s="3" t="n">
        <v>46174</v>
      </c>
      <c r="F2117" s="2" t="n">
        <v>11</v>
      </c>
      <c r="G2117" s="4" t="n">
        <v>49.99</v>
      </c>
      <c r="H2117" s="4" t="n">
        <v>36.45</v>
      </c>
      <c r="I2117" s="4" t="n">
        <f aca="false">F2117*G2117</f>
        <v>549.89</v>
      </c>
      <c r="J2117" s="4" t="n">
        <f aca="false">F2117*H2117</f>
        <v>400.95</v>
      </c>
      <c r="K2117" s="4" t="n">
        <f aca="false">I2117-J2117</f>
        <v>148.94</v>
      </c>
      <c r="L2117" s="5" t="n">
        <f aca="false">IFERROR(K2117/I2117,0)</f>
        <v>0.270854170834167</v>
      </c>
    </row>
    <row r="2118" customFormat="false" ht="15" hidden="false" customHeight="false" outlineLevel="0" collapsed="false">
      <c r="A2118" s="2" t="s">
        <v>47</v>
      </c>
      <c r="B2118" s="2" t="s">
        <v>49</v>
      </c>
      <c r="C2118" s="2" t="s">
        <v>32</v>
      </c>
      <c r="D2118" s="2" t="s">
        <v>34</v>
      </c>
      <c r="E2118" s="3" t="n">
        <v>46174</v>
      </c>
      <c r="F2118" s="2" t="n">
        <v>13</v>
      </c>
      <c r="G2118" s="4" t="n">
        <v>27.99</v>
      </c>
      <c r="H2118" s="4" t="n">
        <v>19.41</v>
      </c>
      <c r="I2118" s="4" t="n">
        <f aca="false">F2118*G2118</f>
        <v>363.87</v>
      </c>
      <c r="J2118" s="4" t="n">
        <f aca="false">F2118*H2118</f>
        <v>252.33</v>
      </c>
      <c r="K2118" s="4" t="n">
        <f aca="false">I2118-J2118</f>
        <v>111.54</v>
      </c>
      <c r="L2118" s="5" t="n">
        <f aca="false">IFERROR(K2118/I2118,0)</f>
        <v>0.306538049303323</v>
      </c>
    </row>
    <row r="2119" customFormat="false" ht="15" hidden="false" customHeight="false" outlineLevel="0" collapsed="false">
      <c r="A2119" s="2" t="s">
        <v>47</v>
      </c>
      <c r="B2119" s="2" t="s">
        <v>49</v>
      </c>
      <c r="C2119" s="2" t="s">
        <v>32</v>
      </c>
      <c r="D2119" s="2" t="s">
        <v>35</v>
      </c>
      <c r="E2119" s="3" t="n">
        <v>46174</v>
      </c>
      <c r="F2119" s="2" t="n">
        <v>10</v>
      </c>
      <c r="G2119" s="4" t="n">
        <v>64.99</v>
      </c>
      <c r="H2119" s="4" t="n">
        <v>46.17</v>
      </c>
      <c r="I2119" s="4" t="n">
        <f aca="false">F2119*G2119</f>
        <v>649.9</v>
      </c>
      <c r="J2119" s="4" t="n">
        <f aca="false">F2119*H2119</f>
        <v>461.7</v>
      </c>
      <c r="K2119" s="4" t="n">
        <f aca="false">I2119-J2119</f>
        <v>188.2</v>
      </c>
      <c r="L2119" s="5" t="n">
        <f aca="false">IFERROR(K2119/I2119,0)</f>
        <v>0.289583012771195</v>
      </c>
    </row>
    <row r="2120" customFormat="false" ht="15" hidden="false" customHeight="false" outlineLevel="0" collapsed="false">
      <c r="A2120" s="2" t="s">
        <v>47</v>
      </c>
      <c r="B2120" s="2" t="s">
        <v>49</v>
      </c>
      <c r="C2120" s="2" t="s">
        <v>32</v>
      </c>
      <c r="D2120" s="2" t="s">
        <v>36</v>
      </c>
      <c r="E2120" s="3" t="n">
        <v>46174</v>
      </c>
      <c r="F2120" s="2" t="n">
        <v>12</v>
      </c>
      <c r="G2120" s="4" t="n">
        <v>22.99</v>
      </c>
      <c r="H2120" s="4" t="n">
        <v>16.83</v>
      </c>
      <c r="I2120" s="4" t="n">
        <f aca="false">F2120*G2120</f>
        <v>275.88</v>
      </c>
      <c r="J2120" s="4" t="n">
        <f aca="false">F2120*H2120</f>
        <v>201.96</v>
      </c>
      <c r="K2120" s="4" t="n">
        <f aca="false">I2120-J2120</f>
        <v>73.92</v>
      </c>
      <c r="L2120" s="5" t="n">
        <f aca="false">IFERROR(K2120/I2120,0)</f>
        <v>0.267942583732058</v>
      </c>
    </row>
    <row r="2121" customFormat="false" ht="15" hidden="false" customHeight="false" outlineLevel="0" collapsed="false">
      <c r="A2121" s="2" t="s">
        <v>47</v>
      </c>
      <c r="B2121" s="2" t="s">
        <v>49</v>
      </c>
      <c r="C2121" s="2" t="s">
        <v>32</v>
      </c>
      <c r="D2121" s="2" t="s">
        <v>37</v>
      </c>
      <c r="E2121" s="3" t="n">
        <v>46174</v>
      </c>
      <c r="F2121" s="2" t="n">
        <v>12</v>
      </c>
      <c r="G2121" s="4" t="n">
        <v>29.99</v>
      </c>
      <c r="H2121" s="4" t="n">
        <v>20.33</v>
      </c>
      <c r="I2121" s="4" t="n">
        <f aca="false">F2121*G2121</f>
        <v>359.88</v>
      </c>
      <c r="J2121" s="4" t="n">
        <f aca="false">F2121*H2121</f>
        <v>243.96</v>
      </c>
      <c r="K2121" s="4" t="n">
        <f aca="false">I2121-J2121</f>
        <v>115.92</v>
      </c>
      <c r="L2121" s="5" t="n">
        <f aca="false">IFERROR(K2121/I2121,0)</f>
        <v>0.322107369123041</v>
      </c>
    </row>
    <row r="2122" customFormat="false" ht="15" hidden="false" customHeight="false" outlineLevel="0" collapsed="false">
      <c r="A2122" s="2" t="s">
        <v>47</v>
      </c>
      <c r="B2122" s="2" t="s">
        <v>49</v>
      </c>
      <c r="C2122" s="2" t="s">
        <v>38</v>
      </c>
      <c r="D2122" s="2" t="s">
        <v>39</v>
      </c>
      <c r="E2122" s="3" t="n">
        <v>46174</v>
      </c>
      <c r="F2122" s="2" t="n">
        <v>10</v>
      </c>
      <c r="G2122" s="4" t="n">
        <v>129.99</v>
      </c>
      <c r="H2122" s="4" t="n">
        <v>76.85</v>
      </c>
      <c r="I2122" s="4" t="n">
        <f aca="false">F2122*G2122</f>
        <v>1299.9</v>
      </c>
      <c r="J2122" s="4" t="n">
        <f aca="false">F2122*H2122</f>
        <v>768.5</v>
      </c>
      <c r="K2122" s="4" t="n">
        <f aca="false">I2122-J2122</f>
        <v>531.4</v>
      </c>
      <c r="L2122" s="5" t="n">
        <f aca="false">IFERROR(K2122/I2122,0)</f>
        <v>0.408800676975152</v>
      </c>
    </row>
    <row r="2123" customFormat="false" ht="15" hidden="false" customHeight="false" outlineLevel="0" collapsed="false">
      <c r="A2123" s="2" t="s">
        <v>47</v>
      </c>
      <c r="B2123" s="2" t="s">
        <v>49</v>
      </c>
      <c r="C2123" s="2" t="s">
        <v>38</v>
      </c>
      <c r="D2123" s="2" t="s">
        <v>40</v>
      </c>
      <c r="E2123" s="3" t="n">
        <v>46174</v>
      </c>
      <c r="F2123" s="2" t="n">
        <v>9</v>
      </c>
      <c r="G2123" s="4" t="n">
        <v>74.99</v>
      </c>
      <c r="H2123" s="4" t="n">
        <v>41.87</v>
      </c>
      <c r="I2123" s="4" t="n">
        <f aca="false">F2123*G2123</f>
        <v>674.91</v>
      </c>
      <c r="J2123" s="4" t="n">
        <f aca="false">F2123*H2123</f>
        <v>376.83</v>
      </c>
      <c r="K2123" s="4" t="n">
        <f aca="false">I2123-J2123</f>
        <v>298.08</v>
      </c>
      <c r="L2123" s="5" t="n">
        <f aca="false">IFERROR(K2123/I2123,0)</f>
        <v>0.441658887851714</v>
      </c>
    </row>
    <row r="2124" customFormat="false" ht="15" hidden="false" customHeight="false" outlineLevel="0" collapsed="false">
      <c r="A2124" s="2" t="s">
        <v>47</v>
      </c>
      <c r="B2124" s="2" t="s">
        <v>49</v>
      </c>
      <c r="C2124" s="2" t="s">
        <v>38</v>
      </c>
      <c r="D2124" s="2" t="s">
        <v>41</v>
      </c>
      <c r="E2124" s="3" t="n">
        <v>46174</v>
      </c>
      <c r="F2124" s="2" t="n">
        <v>12</v>
      </c>
      <c r="G2124" s="4" t="n">
        <v>19.99</v>
      </c>
      <c r="H2124" s="4" t="n">
        <v>9.63</v>
      </c>
      <c r="I2124" s="4" t="n">
        <f aca="false">F2124*G2124</f>
        <v>239.88</v>
      </c>
      <c r="J2124" s="4" t="n">
        <f aca="false">F2124*H2124</f>
        <v>115.56</v>
      </c>
      <c r="K2124" s="4" t="n">
        <f aca="false">I2124-J2124</f>
        <v>124.32</v>
      </c>
      <c r="L2124" s="5" t="n">
        <f aca="false">IFERROR(K2124/I2124,0)</f>
        <v>0.518259129564782</v>
      </c>
    </row>
    <row r="2125" customFormat="false" ht="15" hidden="false" customHeight="false" outlineLevel="0" collapsed="false">
      <c r="A2125" s="2" t="s">
        <v>47</v>
      </c>
      <c r="B2125" s="2" t="s">
        <v>49</v>
      </c>
      <c r="C2125" s="2" t="s">
        <v>38</v>
      </c>
      <c r="D2125" s="2" t="s">
        <v>42</v>
      </c>
      <c r="E2125" s="3" t="n">
        <v>46174</v>
      </c>
      <c r="F2125" s="2" t="n">
        <v>8</v>
      </c>
      <c r="G2125" s="4" t="n">
        <v>16.99</v>
      </c>
      <c r="H2125" s="4" t="n">
        <v>8.25</v>
      </c>
      <c r="I2125" s="4" t="n">
        <f aca="false">F2125*G2125</f>
        <v>135.92</v>
      </c>
      <c r="J2125" s="4" t="n">
        <f aca="false">F2125*H2125</f>
        <v>66</v>
      </c>
      <c r="K2125" s="4" t="n">
        <f aca="false">I2125-J2125</f>
        <v>69.92</v>
      </c>
      <c r="L2125" s="5" t="n">
        <f aca="false">IFERROR(K2125/I2125,0)</f>
        <v>0.514420247204238</v>
      </c>
    </row>
    <row r="2126" customFormat="false" ht="15" hidden="false" customHeight="false" outlineLevel="0" collapsed="false">
      <c r="A2126" s="2" t="s">
        <v>47</v>
      </c>
      <c r="B2126" s="2" t="s">
        <v>49</v>
      </c>
      <c r="C2126" s="2" t="s">
        <v>38</v>
      </c>
      <c r="D2126" s="2" t="s">
        <v>43</v>
      </c>
      <c r="E2126" s="3" t="n">
        <v>46174</v>
      </c>
      <c r="F2126" s="2" t="n">
        <v>9</v>
      </c>
      <c r="G2126" s="4" t="n">
        <v>24.99</v>
      </c>
      <c r="H2126" s="4" t="n">
        <v>13.26</v>
      </c>
      <c r="I2126" s="4" t="n">
        <f aca="false">F2126*G2126</f>
        <v>224.91</v>
      </c>
      <c r="J2126" s="4" t="n">
        <f aca="false">F2126*H2126</f>
        <v>119.34</v>
      </c>
      <c r="K2126" s="4" t="n">
        <f aca="false">I2126-J2126</f>
        <v>105.57</v>
      </c>
      <c r="L2126" s="5" t="n">
        <f aca="false">IFERROR(K2126/I2126,0)</f>
        <v>0.469387755102041</v>
      </c>
    </row>
    <row r="2127" customFormat="false" ht="15" hidden="false" customHeight="false" outlineLevel="0" collapsed="false">
      <c r="A2127" s="2" t="s">
        <v>50</v>
      </c>
      <c r="B2127" s="2" t="s">
        <v>51</v>
      </c>
      <c r="C2127" s="2" t="s">
        <v>14</v>
      </c>
      <c r="D2127" s="2" t="s">
        <v>15</v>
      </c>
      <c r="E2127" s="3" t="n">
        <v>46174</v>
      </c>
      <c r="F2127" s="2" t="n">
        <v>15</v>
      </c>
      <c r="G2127" s="4" t="n">
        <v>69.99</v>
      </c>
      <c r="H2127" s="4" t="n">
        <v>33.69</v>
      </c>
      <c r="I2127" s="4" t="n">
        <f aca="false">F2127*G2127</f>
        <v>1049.85</v>
      </c>
      <c r="J2127" s="4" t="n">
        <f aca="false">F2127*H2127</f>
        <v>505.35</v>
      </c>
      <c r="K2127" s="4" t="n">
        <f aca="false">I2127-J2127</f>
        <v>544.5</v>
      </c>
      <c r="L2127" s="5" t="n">
        <f aca="false">IFERROR(K2127/I2127,0)</f>
        <v>0.518645520788684</v>
      </c>
    </row>
    <row r="2128" customFormat="false" ht="15" hidden="false" customHeight="false" outlineLevel="0" collapsed="false">
      <c r="A2128" s="2" t="s">
        <v>50</v>
      </c>
      <c r="B2128" s="2" t="s">
        <v>51</v>
      </c>
      <c r="C2128" s="2" t="s">
        <v>14</v>
      </c>
      <c r="D2128" s="2" t="s">
        <v>16</v>
      </c>
      <c r="E2128" s="3" t="n">
        <v>46174</v>
      </c>
      <c r="F2128" s="2" t="n">
        <v>13</v>
      </c>
      <c r="G2128" s="4" t="n">
        <v>19.99</v>
      </c>
      <c r="H2128" s="4" t="n">
        <v>9.26</v>
      </c>
      <c r="I2128" s="4" t="n">
        <f aca="false">F2128*G2128</f>
        <v>259.87</v>
      </c>
      <c r="J2128" s="4" t="n">
        <f aca="false">F2128*H2128</f>
        <v>120.38</v>
      </c>
      <c r="K2128" s="4" t="n">
        <f aca="false">I2128-J2128</f>
        <v>139.49</v>
      </c>
      <c r="L2128" s="5" t="n">
        <f aca="false">IFERROR(K2128/I2128,0)</f>
        <v>0.536768384192096</v>
      </c>
    </row>
    <row r="2129" customFormat="false" ht="15" hidden="false" customHeight="false" outlineLevel="0" collapsed="false">
      <c r="A2129" s="2" t="s">
        <v>50</v>
      </c>
      <c r="B2129" s="2" t="s">
        <v>51</v>
      </c>
      <c r="C2129" s="2" t="s">
        <v>14</v>
      </c>
      <c r="D2129" s="2" t="s">
        <v>17</v>
      </c>
      <c r="E2129" s="3" t="n">
        <v>46174</v>
      </c>
      <c r="F2129" s="2" t="n">
        <v>10</v>
      </c>
      <c r="G2129" s="4" t="n">
        <v>79.99</v>
      </c>
      <c r="H2129" s="4" t="n">
        <v>40.36</v>
      </c>
      <c r="I2129" s="4" t="n">
        <f aca="false">F2129*G2129</f>
        <v>799.9</v>
      </c>
      <c r="J2129" s="4" t="n">
        <f aca="false">F2129*H2129</f>
        <v>403.6</v>
      </c>
      <c r="K2129" s="4" t="n">
        <f aca="false">I2129-J2129</f>
        <v>396.3</v>
      </c>
      <c r="L2129" s="5" t="n">
        <f aca="false">IFERROR(K2129/I2129,0)</f>
        <v>0.495436929616202</v>
      </c>
    </row>
    <row r="2130" customFormat="false" ht="15" hidden="false" customHeight="false" outlineLevel="0" collapsed="false">
      <c r="A2130" s="2" t="s">
        <v>50</v>
      </c>
      <c r="B2130" s="2" t="s">
        <v>51</v>
      </c>
      <c r="C2130" s="2" t="s">
        <v>14</v>
      </c>
      <c r="D2130" s="2" t="s">
        <v>18</v>
      </c>
      <c r="E2130" s="3" t="n">
        <v>46174</v>
      </c>
      <c r="F2130" s="2" t="n">
        <v>14</v>
      </c>
      <c r="G2130" s="4" t="n">
        <v>34.99</v>
      </c>
      <c r="H2130" s="4" t="n">
        <v>15.05</v>
      </c>
      <c r="I2130" s="4" t="n">
        <f aca="false">F2130*G2130</f>
        <v>489.86</v>
      </c>
      <c r="J2130" s="4" t="n">
        <f aca="false">F2130*H2130</f>
        <v>210.7</v>
      </c>
      <c r="K2130" s="4" t="n">
        <f aca="false">I2130-J2130</f>
        <v>279.16</v>
      </c>
      <c r="L2130" s="5" t="n">
        <f aca="false">IFERROR(K2130/I2130,0)</f>
        <v>0.56987710774507</v>
      </c>
    </row>
    <row r="2131" customFormat="false" ht="15" hidden="false" customHeight="false" outlineLevel="0" collapsed="false">
      <c r="A2131" s="2" t="s">
        <v>50</v>
      </c>
      <c r="B2131" s="2" t="s">
        <v>51</v>
      </c>
      <c r="C2131" s="2" t="s">
        <v>14</v>
      </c>
      <c r="D2131" s="2" t="s">
        <v>19</v>
      </c>
      <c r="E2131" s="3" t="n">
        <v>46174</v>
      </c>
      <c r="F2131" s="2" t="n">
        <v>15</v>
      </c>
      <c r="G2131" s="4" t="n">
        <v>54.99</v>
      </c>
      <c r="H2131" s="4" t="n">
        <v>23.49</v>
      </c>
      <c r="I2131" s="4" t="n">
        <f aca="false">F2131*G2131</f>
        <v>824.85</v>
      </c>
      <c r="J2131" s="4" t="n">
        <f aca="false">F2131*H2131</f>
        <v>352.35</v>
      </c>
      <c r="K2131" s="4" t="n">
        <f aca="false">I2131-J2131</f>
        <v>472.5</v>
      </c>
      <c r="L2131" s="5" t="n">
        <f aca="false">IFERROR(K2131/I2131,0)</f>
        <v>0.572831423895254</v>
      </c>
    </row>
    <row r="2132" customFormat="false" ht="15" hidden="false" customHeight="false" outlineLevel="0" collapsed="false">
      <c r="A2132" s="2" t="s">
        <v>50</v>
      </c>
      <c r="B2132" s="2" t="s">
        <v>51</v>
      </c>
      <c r="C2132" s="2" t="s">
        <v>20</v>
      </c>
      <c r="D2132" s="2" t="s">
        <v>21</v>
      </c>
      <c r="E2132" s="3" t="n">
        <v>46174</v>
      </c>
      <c r="F2132" s="2" t="n">
        <v>8</v>
      </c>
      <c r="G2132" s="4" t="n">
        <v>44.99</v>
      </c>
      <c r="H2132" s="4" t="n">
        <v>20.65</v>
      </c>
      <c r="I2132" s="4" t="n">
        <f aca="false">F2132*G2132</f>
        <v>359.92</v>
      </c>
      <c r="J2132" s="4" t="n">
        <f aca="false">F2132*H2132</f>
        <v>165.2</v>
      </c>
      <c r="K2132" s="4" t="n">
        <f aca="false">I2132-J2132</f>
        <v>194.72</v>
      </c>
      <c r="L2132" s="5" t="n">
        <f aca="false">IFERROR(K2132/I2132,0)</f>
        <v>0.541009113136253</v>
      </c>
    </row>
    <row r="2133" customFormat="false" ht="15" hidden="false" customHeight="false" outlineLevel="0" collapsed="false">
      <c r="A2133" s="2" t="s">
        <v>50</v>
      </c>
      <c r="B2133" s="2" t="s">
        <v>51</v>
      </c>
      <c r="C2133" s="2" t="s">
        <v>20</v>
      </c>
      <c r="D2133" s="2" t="s">
        <v>22</v>
      </c>
      <c r="E2133" s="3" t="n">
        <v>46174</v>
      </c>
      <c r="F2133" s="2" t="n">
        <v>16</v>
      </c>
      <c r="G2133" s="4" t="n">
        <v>14.99</v>
      </c>
      <c r="H2133" s="4" t="n">
        <v>5.69</v>
      </c>
      <c r="I2133" s="4" t="n">
        <f aca="false">F2133*G2133</f>
        <v>239.84</v>
      </c>
      <c r="J2133" s="4" t="n">
        <f aca="false">F2133*H2133</f>
        <v>91.04</v>
      </c>
      <c r="K2133" s="4" t="n">
        <f aca="false">I2133-J2133</f>
        <v>148.8</v>
      </c>
      <c r="L2133" s="5" t="n">
        <f aca="false">IFERROR(K2133/I2133,0)</f>
        <v>0.620413609072715</v>
      </c>
    </row>
    <row r="2134" customFormat="false" ht="15" hidden="false" customHeight="false" outlineLevel="0" collapsed="false">
      <c r="A2134" s="2" t="s">
        <v>50</v>
      </c>
      <c r="B2134" s="2" t="s">
        <v>51</v>
      </c>
      <c r="C2134" s="2" t="s">
        <v>20</v>
      </c>
      <c r="D2134" s="2" t="s">
        <v>23</v>
      </c>
      <c r="E2134" s="3" t="n">
        <v>46174</v>
      </c>
      <c r="F2134" s="2" t="n">
        <v>19</v>
      </c>
      <c r="G2134" s="4" t="n">
        <v>39.99</v>
      </c>
      <c r="H2134" s="4" t="n">
        <v>16.74</v>
      </c>
      <c r="I2134" s="4" t="n">
        <f aca="false">F2134*G2134</f>
        <v>759.81</v>
      </c>
      <c r="J2134" s="4" t="n">
        <f aca="false">F2134*H2134</f>
        <v>318.06</v>
      </c>
      <c r="K2134" s="4" t="n">
        <f aca="false">I2134-J2134</f>
        <v>441.75</v>
      </c>
      <c r="L2134" s="5" t="n">
        <f aca="false">IFERROR(K2134/I2134,0)</f>
        <v>0.581395348837209</v>
      </c>
    </row>
    <row r="2135" customFormat="false" ht="15" hidden="false" customHeight="false" outlineLevel="0" collapsed="false">
      <c r="A2135" s="2" t="s">
        <v>50</v>
      </c>
      <c r="B2135" s="2" t="s">
        <v>51</v>
      </c>
      <c r="C2135" s="2" t="s">
        <v>20</v>
      </c>
      <c r="D2135" s="2" t="s">
        <v>24</v>
      </c>
      <c r="E2135" s="3" t="n">
        <v>46174</v>
      </c>
      <c r="F2135" s="2" t="n">
        <v>17</v>
      </c>
      <c r="G2135" s="4" t="n">
        <v>18.99</v>
      </c>
      <c r="H2135" s="4" t="n">
        <v>7.67</v>
      </c>
      <c r="I2135" s="4" t="n">
        <f aca="false">F2135*G2135</f>
        <v>322.83</v>
      </c>
      <c r="J2135" s="4" t="n">
        <f aca="false">F2135*H2135</f>
        <v>130.39</v>
      </c>
      <c r="K2135" s="4" t="n">
        <f aca="false">I2135-J2135</f>
        <v>192.44</v>
      </c>
      <c r="L2135" s="5" t="n">
        <f aca="false">IFERROR(K2135/I2135,0)</f>
        <v>0.596103212216956</v>
      </c>
    </row>
    <row r="2136" customFormat="false" ht="15" hidden="false" customHeight="false" outlineLevel="0" collapsed="false">
      <c r="A2136" s="2" t="s">
        <v>50</v>
      </c>
      <c r="B2136" s="2" t="s">
        <v>51</v>
      </c>
      <c r="C2136" s="2" t="s">
        <v>20</v>
      </c>
      <c r="D2136" s="2" t="s">
        <v>25</v>
      </c>
      <c r="E2136" s="3" t="n">
        <v>46174</v>
      </c>
      <c r="F2136" s="2" t="n">
        <v>17</v>
      </c>
      <c r="G2136" s="4" t="n">
        <v>42.99</v>
      </c>
      <c r="H2136" s="4" t="n">
        <v>15.92</v>
      </c>
      <c r="I2136" s="4" t="n">
        <f aca="false">F2136*G2136</f>
        <v>730.83</v>
      </c>
      <c r="J2136" s="4" t="n">
        <f aca="false">F2136*H2136</f>
        <v>270.64</v>
      </c>
      <c r="K2136" s="4" t="n">
        <f aca="false">I2136-J2136</f>
        <v>460.19</v>
      </c>
      <c r="L2136" s="5" t="n">
        <f aca="false">IFERROR(K2136/I2136,0)</f>
        <v>0.629681321237497</v>
      </c>
    </row>
    <row r="2137" customFormat="false" ht="15" hidden="false" customHeight="false" outlineLevel="0" collapsed="false">
      <c r="A2137" s="2" t="s">
        <v>50</v>
      </c>
      <c r="B2137" s="2" t="s">
        <v>51</v>
      </c>
      <c r="C2137" s="2" t="s">
        <v>26</v>
      </c>
      <c r="D2137" s="2" t="s">
        <v>27</v>
      </c>
      <c r="E2137" s="3" t="n">
        <v>46174</v>
      </c>
      <c r="F2137" s="2" t="n">
        <v>14</v>
      </c>
      <c r="G2137" s="4" t="n">
        <v>44.99</v>
      </c>
      <c r="H2137" s="4" t="n">
        <v>27.83</v>
      </c>
      <c r="I2137" s="4" t="n">
        <f aca="false">F2137*G2137</f>
        <v>629.86</v>
      </c>
      <c r="J2137" s="4" t="n">
        <f aca="false">F2137*H2137</f>
        <v>389.62</v>
      </c>
      <c r="K2137" s="4" t="n">
        <f aca="false">I2137-J2137</f>
        <v>240.24</v>
      </c>
      <c r="L2137" s="5" t="n">
        <f aca="false">IFERROR(K2137/I2137,0)</f>
        <v>0.381418092909535</v>
      </c>
    </row>
    <row r="2138" customFormat="false" ht="15" hidden="false" customHeight="false" outlineLevel="0" collapsed="false">
      <c r="A2138" s="2" t="s">
        <v>50</v>
      </c>
      <c r="B2138" s="2" t="s">
        <v>51</v>
      </c>
      <c r="C2138" s="2" t="s">
        <v>26</v>
      </c>
      <c r="D2138" s="2" t="s">
        <v>28</v>
      </c>
      <c r="E2138" s="3" t="n">
        <v>46174</v>
      </c>
      <c r="F2138" s="2" t="n">
        <v>12</v>
      </c>
      <c r="G2138" s="4" t="n">
        <v>34.99</v>
      </c>
      <c r="H2138" s="4" t="n">
        <v>22.87</v>
      </c>
      <c r="I2138" s="4" t="n">
        <f aca="false">F2138*G2138</f>
        <v>419.88</v>
      </c>
      <c r="J2138" s="4" t="n">
        <f aca="false">F2138*H2138</f>
        <v>274.44</v>
      </c>
      <c r="K2138" s="4" t="n">
        <f aca="false">I2138-J2138</f>
        <v>145.44</v>
      </c>
      <c r="L2138" s="5" t="n">
        <f aca="false">IFERROR(K2138/I2138,0)</f>
        <v>0.346384681337525</v>
      </c>
    </row>
    <row r="2139" customFormat="false" ht="15" hidden="false" customHeight="false" outlineLevel="0" collapsed="false">
      <c r="A2139" s="2" t="s">
        <v>50</v>
      </c>
      <c r="B2139" s="2" t="s">
        <v>51</v>
      </c>
      <c r="C2139" s="2" t="s">
        <v>26</v>
      </c>
      <c r="D2139" s="2" t="s">
        <v>29</v>
      </c>
      <c r="E2139" s="3" t="n">
        <v>46174</v>
      </c>
      <c r="F2139" s="2" t="n">
        <v>9</v>
      </c>
      <c r="G2139" s="4" t="n">
        <v>119.99</v>
      </c>
      <c r="H2139" s="4" t="n">
        <v>79.3</v>
      </c>
      <c r="I2139" s="4" t="n">
        <f aca="false">F2139*G2139</f>
        <v>1079.91</v>
      </c>
      <c r="J2139" s="4" t="n">
        <f aca="false">F2139*H2139</f>
        <v>713.7</v>
      </c>
      <c r="K2139" s="4" t="n">
        <f aca="false">I2139-J2139</f>
        <v>366.21</v>
      </c>
      <c r="L2139" s="5" t="n">
        <f aca="false">IFERROR(K2139/I2139,0)</f>
        <v>0.339111592632719</v>
      </c>
    </row>
    <row r="2140" customFormat="false" ht="15" hidden="false" customHeight="false" outlineLevel="0" collapsed="false">
      <c r="A2140" s="2" t="s">
        <v>50</v>
      </c>
      <c r="B2140" s="2" t="s">
        <v>51</v>
      </c>
      <c r="C2140" s="2" t="s">
        <v>26</v>
      </c>
      <c r="D2140" s="2" t="s">
        <v>30</v>
      </c>
      <c r="E2140" s="3" t="n">
        <v>46174</v>
      </c>
      <c r="F2140" s="2" t="n">
        <v>7</v>
      </c>
      <c r="G2140" s="4" t="n">
        <v>24.99</v>
      </c>
      <c r="H2140" s="4" t="n">
        <v>15.16</v>
      </c>
      <c r="I2140" s="4" t="n">
        <f aca="false">F2140*G2140</f>
        <v>174.93</v>
      </c>
      <c r="J2140" s="4" t="n">
        <f aca="false">F2140*H2140</f>
        <v>106.12</v>
      </c>
      <c r="K2140" s="4" t="n">
        <f aca="false">I2140-J2140</f>
        <v>68.81</v>
      </c>
      <c r="L2140" s="5" t="n">
        <f aca="false">IFERROR(K2140/I2140,0)</f>
        <v>0.393357342937175</v>
      </c>
    </row>
    <row r="2141" customFormat="false" ht="15" hidden="false" customHeight="false" outlineLevel="0" collapsed="false">
      <c r="A2141" s="2" t="s">
        <v>50</v>
      </c>
      <c r="B2141" s="2" t="s">
        <v>51</v>
      </c>
      <c r="C2141" s="2" t="s">
        <v>26</v>
      </c>
      <c r="D2141" s="2" t="s">
        <v>31</v>
      </c>
      <c r="E2141" s="3" t="n">
        <v>46174</v>
      </c>
      <c r="F2141" s="2" t="n">
        <v>20</v>
      </c>
      <c r="G2141" s="4" t="n">
        <v>59.99</v>
      </c>
      <c r="H2141" s="4" t="n">
        <v>38.45</v>
      </c>
      <c r="I2141" s="4" t="n">
        <f aca="false">F2141*G2141</f>
        <v>1199.8</v>
      </c>
      <c r="J2141" s="4" t="n">
        <f aca="false">F2141*H2141</f>
        <v>769</v>
      </c>
      <c r="K2141" s="4" t="n">
        <f aca="false">I2141-J2141</f>
        <v>430.8</v>
      </c>
      <c r="L2141" s="5" t="n">
        <f aca="false">IFERROR(K2141/I2141,0)</f>
        <v>0.359059843307218</v>
      </c>
    </row>
    <row r="2142" customFormat="false" ht="15" hidden="false" customHeight="false" outlineLevel="0" collapsed="false">
      <c r="A2142" s="2" t="s">
        <v>50</v>
      </c>
      <c r="B2142" s="2" t="s">
        <v>51</v>
      </c>
      <c r="C2142" s="2" t="s">
        <v>32</v>
      </c>
      <c r="D2142" s="2" t="s">
        <v>33</v>
      </c>
      <c r="E2142" s="3" t="n">
        <v>46174</v>
      </c>
      <c r="F2142" s="2" t="n">
        <v>7</v>
      </c>
      <c r="G2142" s="4" t="n">
        <v>49.99</v>
      </c>
      <c r="H2142" s="4" t="n">
        <v>36.68</v>
      </c>
      <c r="I2142" s="4" t="n">
        <f aca="false">F2142*G2142</f>
        <v>349.93</v>
      </c>
      <c r="J2142" s="4" t="n">
        <f aca="false">F2142*H2142</f>
        <v>256.76</v>
      </c>
      <c r="K2142" s="4" t="n">
        <f aca="false">I2142-J2142</f>
        <v>93.17</v>
      </c>
      <c r="L2142" s="5" t="n">
        <f aca="false">IFERROR(K2142/I2142,0)</f>
        <v>0.26625325065013</v>
      </c>
    </row>
    <row r="2143" customFormat="false" ht="15" hidden="false" customHeight="false" outlineLevel="0" collapsed="false">
      <c r="A2143" s="2" t="s">
        <v>50</v>
      </c>
      <c r="B2143" s="2" t="s">
        <v>51</v>
      </c>
      <c r="C2143" s="2" t="s">
        <v>32</v>
      </c>
      <c r="D2143" s="2" t="s">
        <v>34</v>
      </c>
      <c r="E2143" s="3" t="n">
        <v>46174</v>
      </c>
      <c r="F2143" s="2" t="n">
        <v>11</v>
      </c>
      <c r="G2143" s="4" t="n">
        <v>27.99</v>
      </c>
      <c r="H2143" s="4" t="n">
        <v>20.07</v>
      </c>
      <c r="I2143" s="4" t="n">
        <f aca="false">F2143*G2143</f>
        <v>307.89</v>
      </c>
      <c r="J2143" s="4" t="n">
        <f aca="false">F2143*H2143</f>
        <v>220.77</v>
      </c>
      <c r="K2143" s="4" t="n">
        <f aca="false">I2143-J2143</f>
        <v>87.12</v>
      </c>
      <c r="L2143" s="5" t="n">
        <f aca="false">IFERROR(K2143/I2143,0)</f>
        <v>0.282958199356913</v>
      </c>
    </row>
    <row r="2144" customFormat="false" ht="15" hidden="false" customHeight="false" outlineLevel="0" collapsed="false">
      <c r="A2144" s="2" t="s">
        <v>50</v>
      </c>
      <c r="B2144" s="2" t="s">
        <v>51</v>
      </c>
      <c r="C2144" s="2" t="s">
        <v>32</v>
      </c>
      <c r="D2144" s="2" t="s">
        <v>35</v>
      </c>
      <c r="E2144" s="3" t="n">
        <v>46174</v>
      </c>
      <c r="F2144" s="2" t="n">
        <v>8</v>
      </c>
      <c r="G2144" s="4" t="n">
        <v>64.99</v>
      </c>
      <c r="H2144" s="4" t="n">
        <v>44.33</v>
      </c>
      <c r="I2144" s="4" t="n">
        <f aca="false">F2144*G2144</f>
        <v>519.92</v>
      </c>
      <c r="J2144" s="4" t="n">
        <f aca="false">F2144*H2144</f>
        <v>354.64</v>
      </c>
      <c r="K2144" s="4" t="n">
        <f aca="false">I2144-J2144</f>
        <v>165.28</v>
      </c>
      <c r="L2144" s="5" t="n">
        <f aca="false">IFERROR(K2144/I2144,0)</f>
        <v>0.317895060778581</v>
      </c>
    </row>
    <row r="2145" customFormat="false" ht="15" hidden="false" customHeight="false" outlineLevel="0" collapsed="false">
      <c r="A2145" s="2" t="s">
        <v>50</v>
      </c>
      <c r="B2145" s="2" t="s">
        <v>51</v>
      </c>
      <c r="C2145" s="2" t="s">
        <v>32</v>
      </c>
      <c r="D2145" s="2" t="s">
        <v>36</v>
      </c>
      <c r="E2145" s="3" t="n">
        <v>46174</v>
      </c>
      <c r="F2145" s="2" t="n">
        <v>9</v>
      </c>
      <c r="G2145" s="4" t="n">
        <v>22.99</v>
      </c>
      <c r="H2145" s="4" t="n">
        <v>17.12</v>
      </c>
      <c r="I2145" s="4" t="n">
        <f aca="false">F2145*G2145</f>
        <v>206.91</v>
      </c>
      <c r="J2145" s="4" t="n">
        <f aca="false">F2145*H2145</f>
        <v>154.08</v>
      </c>
      <c r="K2145" s="4" t="n">
        <f aca="false">I2145-J2145</f>
        <v>52.83</v>
      </c>
      <c r="L2145" s="5" t="n">
        <f aca="false">IFERROR(K2145/I2145,0)</f>
        <v>0.255328403653762</v>
      </c>
    </row>
    <row r="2146" customFormat="false" ht="15" hidden="false" customHeight="false" outlineLevel="0" collapsed="false">
      <c r="A2146" s="2" t="s">
        <v>50</v>
      </c>
      <c r="B2146" s="2" t="s">
        <v>51</v>
      </c>
      <c r="C2146" s="2" t="s">
        <v>32</v>
      </c>
      <c r="D2146" s="2" t="s">
        <v>37</v>
      </c>
      <c r="E2146" s="3" t="n">
        <v>46174</v>
      </c>
      <c r="F2146" s="2" t="n">
        <v>11</v>
      </c>
      <c r="G2146" s="4" t="n">
        <v>29.99</v>
      </c>
      <c r="H2146" s="4" t="n">
        <v>20.66</v>
      </c>
      <c r="I2146" s="4" t="n">
        <f aca="false">F2146*G2146</f>
        <v>329.89</v>
      </c>
      <c r="J2146" s="4" t="n">
        <f aca="false">F2146*H2146</f>
        <v>227.26</v>
      </c>
      <c r="K2146" s="4" t="n">
        <f aca="false">I2146-J2146</f>
        <v>102.63</v>
      </c>
      <c r="L2146" s="5" t="n">
        <f aca="false">IFERROR(K2146/I2146,0)</f>
        <v>0.311103701233745</v>
      </c>
    </row>
    <row r="2147" customFormat="false" ht="15" hidden="false" customHeight="false" outlineLevel="0" collapsed="false">
      <c r="A2147" s="2" t="s">
        <v>50</v>
      </c>
      <c r="B2147" s="2" t="s">
        <v>51</v>
      </c>
      <c r="C2147" s="2" t="s">
        <v>38</v>
      </c>
      <c r="D2147" s="2" t="s">
        <v>39</v>
      </c>
      <c r="E2147" s="3" t="n">
        <v>46174</v>
      </c>
      <c r="F2147" s="2" t="n">
        <v>2</v>
      </c>
      <c r="G2147" s="4" t="n">
        <v>129.99</v>
      </c>
      <c r="H2147" s="4" t="n">
        <v>75.55</v>
      </c>
      <c r="I2147" s="4" t="n">
        <f aca="false">F2147*G2147</f>
        <v>259.98</v>
      </c>
      <c r="J2147" s="4" t="n">
        <f aca="false">F2147*H2147</f>
        <v>151.1</v>
      </c>
      <c r="K2147" s="4" t="n">
        <f aca="false">I2147-J2147</f>
        <v>108.88</v>
      </c>
      <c r="L2147" s="5" t="n">
        <f aca="false">IFERROR(K2147/I2147,0)</f>
        <v>0.418801446265097</v>
      </c>
    </row>
    <row r="2148" customFormat="false" ht="15" hidden="false" customHeight="false" outlineLevel="0" collapsed="false">
      <c r="A2148" s="2" t="s">
        <v>50</v>
      </c>
      <c r="B2148" s="2" t="s">
        <v>51</v>
      </c>
      <c r="C2148" s="2" t="s">
        <v>38</v>
      </c>
      <c r="D2148" s="2" t="s">
        <v>40</v>
      </c>
      <c r="E2148" s="3" t="n">
        <v>46174</v>
      </c>
      <c r="F2148" s="2" t="n">
        <v>2</v>
      </c>
      <c r="G2148" s="4" t="n">
        <v>74.99</v>
      </c>
      <c r="H2148" s="4" t="n">
        <v>42</v>
      </c>
      <c r="I2148" s="4" t="n">
        <f aca="false">F2148*G2148</f>
        <v>149.98</v>
      </c>
      <c r="J2148" s="4" t="n">
        <f aca="false">F2148*H2148</f>
        <v>84</v>
      </c>
      <c r="K2148" s="4" t="n">
        <f aca="false">I2148-J2148</f>
        <v>65.98</v>
      </c>
      <c r="L2148" s="5" t="n">
        <f aca="false">IFERROR(K2148/I2148,0)</f>
        <v>0.43992532337645</v>
      </c>
    </row>
    <row r="2149" customFormat="false" ht="15" hidden="false" customHeight="false" outlineLevel="0" collapsed="false">
      <c r="A2149" s="2" t="s">
        <v>50</v>
      </c>
      <c r="B2149" s="2" t="s">
        <v>51</v>
      </c>
      <c r="C2149" s="2" t="s">
        <v>38</v>
      </c>
      <c r="D2149" s="2" t="s">
        <v>41</v>
      </c>
      <c r="E2149" s="3" t="n">
        <v>46174</v>
      </c>
      <c r="F2149" s="2" t="n">
        <v>6</v>
      </c>
      <c r="G2149" s="4" t="n">
        <v>19.99</v>
      </c>
      <c r="H2149" s="4" t="n">
        <v>9.39</v>
      </c>
      <c r="I2149" s="4" t="n">
        <f aca="false">F2149*G2149</f>
        <v>119.94</v>
      </c>
      <c r="J2149" s="4" t="n">
        <f aca="false">F2149*H2149</f>
        <v>56.34</v>
      </c>
      <c r="K2149" s="4" t="n">
        <f aca="false">I2149-J2149</f>
        <v>63.6</v>
      </c>
      <c r="L2149" s="5" t="n">
        <f aca="false">IFERROR(K2149/I2149,0)</f>
        <v>0.530265132566283</v>
      </c>
    </row>
    <row r="2150" customFormat="false" ht="15" hidden="false" customHeight="false" outlineLevel="0" collapsed="false">
      <c r="A2150" s="2" t="s">
        <v>50</v>
      </c>
      <c r="B2150" s="2" t="s">
        <v>51</v>
      </c>
      <c r="C2150" s="2" t="s">
        <v>38</v>
      </c>
      <c r="D2150" s="2" t="s">
        <v>42</v>
      </c>
      <c r="E2150" s="3" t="n">
        <v>46174</v>
      </c>
      <c r="F2150" s="2" t="n">
        <v>1</v>
      </c>
      <c r="G2150" s="4" t="n">
        <v>16.99</v>
      </c>
      <c r="H2150" s="4" t="n">
        <v>8.73</v>
      </c>
      <c r="I2150" s="4" t="n">
        <f aca="false">F2150*G2150</f>
        <v>16.99</v>
      </c>
      <c r="J2150" s="4" t="n">
        <f aca="false">F2150*H2150</f>
        <v>8.73</v>
      </c>
      <c r="K2150" s="4" t="n">
        <f aca="false">I2150-J2150</f>
        <v>8.26</v>
      </c>
      <c r="L2150" s="5" t="n">
        <f aca="false">IFERROR(K2150/I2150,0)</f>
        <v>0.486168334314302</v>
      </c>
    </row>
    <row r="2151" customFormat="false" ht="15" hidden="false" customHeight="false" outlineLevel="0" collapsed="false">
      <c r="A2151" s="2" t="s">
        <v>50</v>
      </c>
      <c r="B2151" s="2" t="s">
        <v>51</v>
      </c>
      <c r="C2151" s="2" t="s">
        <v>38</v>
      </c>
      <c r="D2151" s="2" t="s">
        <v>43</v>
      </c>
      <c r="E2151" s="3" t="n">
        <v>46174</v>
      </c>
      <c r="F2151" s="2" t="n">
        <v>3</v>
      </c>
      <c r="G2151" s="4" t="n">
        <v>24.99</v>
      </c>
      <c r="H2151" s="4" t="n">
        <v>13.36</v>
      </c>
      <c r="I2151" s="4" t="n">
        <f aca="false">F2151*G2151</f>
        <v>74.97</v>
      </c>
      <c r="J2151" s="4" t="n">
        <f aca="false">F2151*H2151</f>
        <v>40.08</v>
      </c>
      <c r="K2151" s="4" t="n">
        <f aca="false">I2151-J2151</f>
        <v>34.89</v>
      </c>
      <c r="L2151" s="5" t="n">
        <f aca="false">IFERROR(K2151/I2151,0)</f>
        <v>0.465386154461785</v>
      </c>
    </row>
    <row r="2152" customFormat="false" ht="15" hidden="false" customHeight="false" outlineLevel="0" collapsed="false">
      <c r="A2152" s="2" t="s">
        <v>52</v>
      </c>
      <c r="B2152" s="2" t="s">
        <v>53</v>
      </c>
      <c r="C2152" s="2" t="s">
        <v>14</v>
      </c>
      <c r="D2152" s="2" t="s">
        <v>15</v>
      </c>
      <c r="E2152" s="3" t="n">
        <v>46174</v>
      </c>
      <c r="F2152" s="2" t="n">
        <v>14</v>
      </c>
      <c r="G2152" s="4" t="n">
        <v>69.99</v>
      </c>
      <c r="H2152" s="4" t="n">
        <v>33.47</v>
      </c>
      <c r="I2152" s="4" t="n">
        <f aca="false">F2152*G2152</f>
        <v>979.86</v>
      </c>
      <c r="J2152" s="4" t="n">
        <f aca="false">F2152*H2152</f>
        <v>468.58</v>
      </c>
      <c r="K2152" s="4" t="n">
        <f aca="false">I2152-J2152</f>
        <v>511.28</v>
      </c>
      <c r="L2152" s="5" t="n">
        <f aca="false">IFERROR(K2152/I2152,0)</f>
        <v>0.521788826975282</v>
      </c>
    </row>
    <row r="2153" customFormat="false" ht="15" hidden="false" customHeight="false" outlineLevel="0" collapsed="false">
      <c r="A2153" s="2" t="s">
        <v>52</v>
      </c>
      <c r="B2153" s="2" t="s">
        <v>53</v>
      </c>
      <c r="C2153" s="2" t="s">
        <v>14</v>
      </c>
      <c r="D2153" s="2" t="s">
        <v>16</v>
      </c>
      <c r="E2153" s="3" t="n">
        <v>46174</v>
      </c>
      <c r="F2153" s="2" t="n">
        <v>19</v>
      </c>
      <c r="G2153" s="4" t="n">
        <v>19.99</v>
      </c>
      <c r="H2153" s="4" t="n">
        <v>8.87</v>
      </c>
      <c r="I2153" s="4" t="n">
        <f aca="false">F2153*G2153</f>
        <v>379.81</v>
      </c>
      <c r="J2153" s="4" t="n">
        <f aca="false">F2153*H2153</f>
        <v>168.53</v>
      </c>
      <c r="K2153" s="4" t="n">
        <f aca="false">I2153-J2153</f>
        <v>211.28</v>
      </c>
      <c r="L2153" s="5" t="n">
        <f aca="false">IFERROR(K2153/I2153,0)</f>
        <v>0.556278139069535</v>
      </c>
    </row>
    <row r="2154" customFormat="false" ht="15" hidden="false" customHeight="false" outlineLevel="0" collapsed="false">
      <c r="A2154" s="2" t="s">
        <v>52</v>
      </c>
      <c r="B2154" s="2" t="s">
        <v>53</v>
      </c>
      <c r="C2154" s="2" t="s">
        <v>14</v>
      </c>
      <c r="D2154" s="2" t="s">
        <v>17</v>
      </c>
      <c r="E2154" s="3" t="n">
        <v>46174</v>
      </c>
      <c r="F2154" s="2" t="n">
        <v>11</v>
      </c>
      <c r="G2154" s="4" t="n">
        <v>79.99</v>
      </c>
      <c r="H2154" s="4" t="n">
        <v>41.11</v>
      </c>
      <c r="I2154" s="4" t="n">
        <f aca="false">F2154*G2154</f>
        <v>879.89</v>
      </c>
      <c r="J2154" s="4" t="n">
        <f aca="false">F2154*H2154</f>
        <v>452.21</v>
      </c>
      <c r="K2154" s="4" t="n">
        <f aca="false">I2154-J2154</f>
        <v>427.68</v>
      </c>
      <c r="L2154" s="5" t="n">
        <f aca="false">IFERROR(K2154/I2154,0)</f>
        <v>0.486060757594699</v>
      </c>
    </row>
    <row r="2155" customFormat="false" ht="15" hidden="false" customHeight="false" outlineLevel="0" collapsed="false">
      <c r="A2155" s="2" t="s">
        <v>52</v>
      </c>
      <c r="B2155" s="2" t="s">
        <v>53</v>
      </c>
      <c r="C2155" s="2" t="s">
        <v>14</v>
      </c>
      <c r="D2155" s="2" t="s">
        <v>18</v>
      </c>
      <c r="E2155" s="3" t="n">
        <v>46174</v>
      </c>
      <c r="F2155" s="2" t="n">
        <v>23</v>
      </c>
      <c r="G2155" s="4" t="n">
        <v>34.99</v>
      </c>
      <c r="H2155" s="4" t="n">
        <v>15.07</v>
      </c>
      <c r="I2155" s="4" t="n">
        <f aca="false">F2155*G2155</f>
        <v>804.77</v>
      </c>
      <c r="J2155" s="4" t="n">
        <f aca="false">F2155*H2155</f>
        <v>346.61</v>
      </c>
      <c r="K2155" s="4" t="n">
        <f aca="false">I2155-J2155</f>
        <v>458.16</v>
      </c>
      <c r="L2155" s="5" t="n">
        <f aca="false">IFERROR(K2155/I2155,0)</f>
        <v>0.569305515861675</v>
      </c>
    </row>
    <row r="2156" customFormat="false" ht="15" hidden="false" customHeight="false" outlineLevel="0" collapsed="false">
      <c r="A2156" s="2" t="s">
        <v>52</v>
      </c>
      <c r="B2156" s="2" t="s">
        <v>53</v>
      </c>
      <c r="C2156" s="2" t="s">
        <v>14</v>
      </c>
      <c r="D2156" s="2" t="s">
        <v>19</v>
      </c>
      <c r="E2156" s="3" t="n">
        <v>46174</v>
      </c>
      <c r="F2156" s="2" t="n">
        <v>14</v>
      </c>
      <c r="G2156" s="4" t="n">
        <v>54.99</v>
      </c>
      <c r="H2156" s="4" t="n">
        <v>24.68</v>
      </c>
      <c r="I2156" s="4" t="n">
        <f aca="false">F2156*G2156</f>
        <v>769.86</v>
      </c>
      <c r="J2156" s="4" t="n">
        <f aca="false">F2156*H2156</f>
        <v>345.52</v>
      </c>
      <c r="K2156" s="4" t="n">
        <f aca="false">I2156-J2156</f>
        <v>424.34</v>
      </c>
      <c r="L2156" s="5" t="n">
        <f aca="false">IFERROR(K2156/I2156,0)</f>
        <v>0.551191125659211</v>
      </c>
    </row>
    <row r="2157" customFormat="false" ht="15" hidden="false" customHeight="false" outlineLevel="0" collapsed="false">
      <c r="A2157" s="2" t="s">
        <v>52</v>
      </c>
      <c r="B2157" s="2" t="s">
        <v>53</v>
      </c>
      <c r="C2157" s="2" t="s">
        <v>20</v>
      </c>
      <c r="D2157" s="2" t="s">
        <v>21</v>
      </c>
      <c r="E2157" s="3" t="n">
        <v>46174</v>
      </c>
      <c r="F2157" s="2" t="n">
        <v>16</v>
      </c>
      <c r="G2157" s="4" t="n">
        <v>44.99</v>
      </c>
      <c r="H2157" s="4" t="n">
        <v>20.83</v>
      </c>
      <c r="I2157" s="4" t="n">
        <f aca="false">F2157*G2157</f>
        <v>719.84</v>
      </c>
      <c r="J2157" s="4" t="n">
        <f aca="false">F2157*H2157</f>
        <v>333.28</v>
      </c>
      <c r="K2157" s="4" t="n">
        <f aca="false">I2157-J2157</f>
        <v>386.56</v>
      </c>
      <c r="L2157" s="5" t="n">
        <f aca="false">IFERROR(K2157/I2157,0)</f>
        <v>0.537008224049789</v>
      </c>
    </row>
    <row r="2158" customFormat="false" ht="15" hidden="false" customHeight="false" outlineLevel="0" collapsed="false">
      <c r="A2158" s="2" t="s">
        <v>52</v>
      </c>
      <c r="B2158" s="2" t="s">
        <v>53</v>
      </c>
      <c r="C2158" s="2" t="s">
        <v>20</v>
      </c>
      <c r="D2158" s="2" t="s">
        <v>22</v>
      </c>
      <c r="E2158" s="3" t="n">
        <v>46174</v>
      </c>
      <c r="F2158" s="2" t="n">
        <v>19</v>
      </c>
      <c r="G2158" s="4" t="n">
        <v>14.99</v>
      </c>
      <c r="H2158" s="4" t="n">
        <v>5.8</v>
      </c>
      <c r="I2158" s="4" t="n">
        <f aca="false">F2158*G2158</f>
        <v>284.81</v>
      </c>
      <c r="J2158" s="4" t="n">
        <f aca="false">F2158*H2158</f>
        <v>110.2</v>
      </c>
      <c r="K2158" s="4" t="n">
        <f aca="false">I2158-J2158</f>
        <v>174.61</v>
      </c>
      <c r="L2158" s="5" t="n">
        <f aca="false">IFERROR(K2158/I2158,0)</f>
        <v>0.613075383589059</v>
      </c>
    </row>
    <row r="2159" customFormat="false" ht="15" hidden="false" customHeight="false" outlineLevel="0" collapsed="false">
      <c r="A2159" s="2" t="s">
        <v>52</v>
      </c>
      <c r="B2159" s="2" t="s">
        <v>53</v>
      </c>
      <c r="C2159" s="2" t="s">
        <v>20</v>
      </c>
      <c r="D2159" s="2" t="s">
        <v>23</v>
      </c>
      <c r="E2159" s="3" t="n">
        <v>46174</v>
      </c>
      <c r="F2159" s="2" t="n">
        <v>16</v>
      </c>
      <c r="G2159" s="4" t="n">
        <v>39.99</v>
      </c>
      <c r="H2159" s="4" t="n">
        <v>16.51</v>
      </c>
      <c r="I2159" s="4" t="n">
        <f aca="false">F2159*G2159</f>
        <v>639.84</v>
      </c>
      <c r="J2159" s="4" t="n">
        <f aca="false">F2159*H2159</f>
        <v>264.16</v>
      </c>
      <c r="K2159" s="4" t="n">
        <f aca="false">I2159-J2159</f>
        <v>375.68</v>
      </c>
      <c r="L2159" s="5" t="n">
        <f aca="false">IFERROR(K2159/I2159,0)</f>
        <v>0.587146786696674</v>
      </c>
    </row>
    <row r="2160" customFormat="false" ht="15" hidden="false" customHeight="false" outlineLevel="0" collapsed="false">
      <c r="A2160" s="2" t="s">
        <v>52</v>
      </c>
      <c r="B2160" s="2" t="s">
        <v>53</v>
      </c>
      <c r="C2160" s="2" t="s">
        <v>20</v>
      </c>
      <c r="D2160" s="2" t="s">
        <v>24</v>
      </c>
      <c r="E2160" s="3" t="n">
        <v>46174</v>
      </c>
      <c r="F2160" s="2" t="n">
        <v>13</v>
      </c>
      <c r="G2160" s="4" t="n">
        <v>18.99</v>
      </c>
      <c r="H2160" s="4" t="n">
        <v>7.81</v>
      </c>
      <c r="I2160" s="4" t="n">
        <f aca="false">F2160*G2160</f>
        <v>246.87</v>
      </c>
      <c r="J2160" s="4" t="n">
        <f aca="false">F2160*H2160</f>
        <v>101.53</v>
      </c>
      <c r="K2160" s="4" t="n">
        <f aca="false">I2160-J2160</f>
        <v>145.34</v>
      </c>
      <c r="L2160" s="5" t="n">
        <f aca="false">IFERROR(K2160/I2160,0)</f>
        <v>0.588730911005792</v>
      </c>
    </row>
    <row r="2161" customFormat="false" ht="15" hidden="false" customHeight="false" outlineLevel="0" collapsed="false">
      <c r="A2161" s="2" t="s">
        <v>52</v>
      </c>
      <c r="B2161" s="2" t="s">
        <v>53</v>
      </c>
      <c r="C2161" s="2" t="s">
        <v>20</v>
      </c>
      <c r="D2161" s="2" t="s">
        <v>25</v>
      </c>
      <c r="E2161" s="3" t="n">
        <v>46174</v>
      </c>
      <c r="F2161" s="2" t="n">
        <v>17</v>
      </c>
      <c r="G2161" s="4" t="n">
        <v>42.99</v>
      </c>
      <c r="H2161" s="4" t="n">
        <v>15.61</v>
      </c>
      <c r="I2161" s="4" t="n">
        <f aca="false">F2161*G2161</f>
        <v>730.83</v>
      </c>
      <c r="J2161" s="4" t="n">
        <f aca="false">F2161*H2161</f>
        <v>265.37</v>
      </c>
      <c r="K2161" s="4" t="n">
        <f aca="false">I2161-J2161</f>
        <v>465.46</v>
      </c>
      <c r="L2161" s="5" t="n">
        <f aca="false">IFERROR(K2161/I2161,0)</f>
        <v>0.636892300535008</v>
      </c>
    </row>
    <row r="2162" customFormat="false" ht="15" hidden="false" customHeight="false" outlineLevel="0" collapsed="false">
      <c r="A2162" s="2" t="s">
        <v>52</v>
      </c>
      <c r="B2162" s="2" t="s">
        <v>53</v>
      </c>
      <c r="C2162" s="2" t="s">
        <v>26</v>
      </c>
      <c r="D2162" s="2" t="s">
        <v>27</v>
      </c>
      <c r="E2162" s="3" t="n">
        <v>46174</v>
      </c>
      <c r="F2162" s="2" t="n">
        <v>20</v>
      </c>
      <c r="G2162" s="4" t="n">
        <v>44.99</v>
      </c>
      <c r="H2162" s="4" t="n">
        <v>27.83</v>
      </c>
      <c r="I2162" s="4" t="n">
        <f aca="false">F2162*G2162</f>
        <v>899.8</v>
      </c>
      <c r="J2162" s="4" t="n">
        <f aca="false">F2162*H2162</f>
        <v>556.6</v>
      </c>
      <c r="K2162" s="4" t="n">
        <f aca="false">I2162-J2162</f>
        <v>343.2</v>
      </c>
      <c r="L2162" s="5" t="n">
        <f aca="false">IFERROR(K2162/I2162,0)</f>
        <v>0.381418092909536</v>
      </c>
    </row>
    <row r="2163" customFormat="false" ht="15" hidden="false" customHeight="false" outlineLevel="0" collapsed="false">
      <c r="A2163" s="2" t="s">
        <v>52</v>
      </c>
      <c r="B2163" s="2" t="s">
        <v>53</v>
      </c>
      <c r="C2163" s="2" t="s">
        <v>26</v>
      </c>
      <c r="D2163" s="2" t="s">
        <v>28</v>
      </c>
      <c r="E2163" s="3" t="n">
        <v>46174</v>
      </c>
      <c r="F2163" s="2" t="n">
        <v>14</v>
      </c>
      <c r="G2163" s="4" t="n">
        <v>34.99</v>
      </c>
      <c r="H2163" s="4" t="n">
        <v>22.74</v>
      </c>
      <c r="I2163" s="4" t="n">
        <f aca="false">F2163*G2163</f>
        <v>489.86</v>
      </c>
      <c r="J2163" s="4" t="n">
        <f aca="false">F2163*H2163</f>
        <v>318.36</v>
      </c>
      <c r="K2163" s="4" t="n">
        <f aca="false">I2163-J2163</f>
        <v>171.5</v>
      </c>
      <c r="L2163" s="5" t="n">
        <f aca="false">IFERROR(K2163/I2163,0)</f>
        <v>0.350100028579594</v>
      </c>
    </row>
    <row r="2164" customFormat="false" ht="15" hidden="false" customHeight="false" outlineLevel="0" collapsed="false">
      <c r="A2164" s="2" t="s">
        <v>52</v>
      </c>
      <c r="B2164" s="2" t="s">
        <v>53</v>
      </c>
      <c r="C2164" s="2" t="s">
        <v>26</v>
      </c>
      <c r="D2164" s="2" t="s">
        <v>29</v>
      </c>
      <c r="E2164" s="3" t="n">
        <v>46174</v>
      </c>
      <c r="F2164" s="2" t="n">
        <v>15</v>
      </c>
      <c r="G2164" s="4" t="n">
        <v>119.99</v>
      </c>
      <c r="H2164" s="4" t="n">
        <v>84.03</v>
      </c>
      <c r="I2164" s="4" t="n">
        <f aca="false">F2164*G2164</f>
        <v>1799.85</v>
      </c>
      <c r="J2164" s="4" t="n">
        <f aca="false">F2164*H2164</f>
        <v>1260.45</v>
      </c>
      <c r="K2164" s="4" t="n">
        <f aca="false">I2164-J2164</f>
        <v>539.4</v>
      </c>
      <c r="L2164" s="5" t="n">
        <f aca="false">IFERROR(K2164/I2164,0)</f>
        <v>0.299691640970081</v>
      </c>
    </row>
    <row r="2165" customFormat="false" ht="15" hidden="false" customHeight="false" outlineLevel="0" collapsed="false">
      <c r="A2165" s="2" t="s">
        <v>52</v>
      </c>
      <c r="B2165" s="2" t="s">
        <v>53</v>
      </c>
      <c r="C2165" s="2" t="s">
        <v>26</v>
      </c>
      <c r="D2165" s="2" t="s">
        <v>30</v>
      </c>
      <c r="E2165" s="3" t="n">
        <v>46174</v>
      </c>
      <c r="F2165" s="2" t="n">
        <v>10</v>
      </c>
      <c r="G2165" s="4" t="n">
        <v>24.99</v>
      </c>
      <c r="H2165" s="4" t="n">
        <v>14.99</v>
      </c>
      <c r="I2165" s="4" t="n">
        <f aca="false">F2165*G2165</f>
        <v>249.9</v>
      </c>
      <c r="J2165" s="4" t="n">
        <f aca="false">F2165*H2165</f>
        <v>149.9</v>
      </c>
      <c r="K2165" s="4" t="n">
        <f aca="false">I2165-J2165</f>
        <v>100</v>
      </c>
      <c r="L2165" s="5" t="n">
        <f aca="false">IFERROR(K2165/I2165,0)</f>
        <v>0.40016006402561</v>
      </c>
    </row>
    <row r="2166" customFormat="false" ht="15" hidden="false" customHeight="false" outlineLevel="0" collapsed="false">
      <c r="A2166" s="2" t="s">
        <v>52</v>
      </c>
      <c r="B2166" s="2" t="s">
        <v>53</v>
      </c>
      <c r="C2166" s="2" t="s">
        <v>26</v>
      </c>
      <c r="D2166" s="2" t="s">
        <v>31</v>
      </c>
      <c r="E2166" s="3" t="n">
        <v>46174</v>
      </c>
      <c r="F2166" s="2" t="n">
        <v>8</v>
      </c>
      <c r="G2166" s="4" t="n">
        <v>59.99</v>
      </c>
      <c r="H2166" s="4" t="n">
        <v>39.72</v>
      </c>
      <c r="I2166" s="4" t="n">
        <f aca="false">F2166*G2166</f>
        <v>479.92</v>
      </c>
      <c r="J2166" s="4" t="n">
        <f aca="false">F2166*H2166</f>
        <v>317.76</v>
      </c>
      <c r="K2166" s="4" t="n">
        <f aca="false">I2166-J2166</f>
        <v>162.16</v>
      </c>
      <c r="L2166" s="5" t="n">
        <f aca="false">IFERROR(K2166/I2166,0)</f>
        <v>0.337889648274713</v>
      </c>
    </row>
    <row r="2167" customFormat="false" ht="15" hidden="false" customHeight="false" outlineLevel="0" collapsed="false">
      <c r="A2167" s="2" t="s">
        <v>52</v>
      </c>
      <c r="B2167" s="2" t="s">
        <v>53</v>
      </c>
      <c r="C2167" s="2" t="s">
        <v>32</v>
      </c>
      <c r="D2167" s="2" t="s">
        <v>33</v>
      </c>
      <c r="E2167" s="3" t="n">
        <v>46174</v>
      </c>
      <c r="F2167" s="2" t="n">
        <v>12</v>
      </c>
      <c r="G2167" s="4" t="n">
        <v>49.99</v>
      </c>
      <c r="H2167" s="4" t="n">
        <v>34.95</v>
      </c>
      <c r="I2167" s="4" t="n">
        <f aca="false">F2167*G2167</f>
        <v>599.88</v>
      </c>
      <c r="J2167" s="4" t="n">
        <f aca="false">F2167*H2167</f>
        <v>419.4</v>
      </c>
      <c r="K2167" s="4" t="n">
        <f aca="false">I2167-J2167</f>
        <v>180.48</v>
      </c>
      <c r="L2167" s="5" t="n">
        <f aca="false">IFERROR(K2167/I2167,0)</f>
        <v>0.300860172034407</v>
      </c>
    </row>
    <row r="2168" customFormat="false" ht="15" hidden="false" customHeight="false" outlineLevel="0" collapsed="false">
      <c r="A2168" s="2" t="s">
        <v>52</v>
      </c>
      <c r="B2168" s="2" t="s">
        <v>53</v>
      </c>
      <c r="C2168" s="2" t="s">
        <v>32</v>
      </c>
      <c r="D2168" s="2" t="s">
        <v>34</v>
      </c>
      <c r="E2168" s="3" t="n">
        <v>46174</v>
      </c>
      <c r="F2168" s="2" t="n">
        <v>11</v>
      </c>
      <c r="G2168" s="4" t="n">
        <v>27.99</v>
      </c>
      <c r="H2168" s="4" t="n">
        <v>19.8</v>
      </c>
      <c r="I2168" s="4" t="n">
        <f aca="false">F2168*G2168</f>
        <v>307.89</v>
      </c>
      <c r="J2168" s="4" t="n">
        <f aca="false">F2168*H2168</f>
        <v>217.8</v>
      </c>
      <c r="K2168" s="4" t="n">
        <f aca="false">I2168-J2168</f>
        <v>90.09</v>
      </c>
      <c r="L2168" s="5" t="n">
        <f aca="false">IFERROR(K2168/I2168,0)</f>
        <v>0.292604501607717</v>
      </c>
    </row>
    <row r="2169" customFormat="false" ht="15" hidden="false" customHeight="false" outlineLevel="0" collapsed="false">
      <c r="A2169" s="2" t="s">
        <v>52</v>
      </c>
      <c r="B2169" s="2" t="s">
        <v>53</v>
      </c>
      <c r="C2169" s="2" t="s">
        <v>32</v>
      </c>
      <c r="D2169" s="2" t="s">
        <v>35</v>
      </c>
      <c r="E2169" s="3" t="n">
        <v>46174</v>
      </c>
      <c r="F2169" s="2" t="n">
        <v>17</v>
      </c>
      <c r="G2169" s="4" t="n">
        <v>64.99</v>
      </c>
      <c r="H2169" s="4" t="n">
        <v>45.63</v>
      </c>
      <c r="I2169" s="4" t="n">
        <f aca="false">F2169*G2169</f>
        <v>1104.83</v>
      </c>
      <c r="J2169" s="4" t="n">
        <f aca="false">F2169*H2169</f>
        <v>775.71</v>
      </c>
      <c r="K2169" s="4" t="n">
        <f aca="false">I2169-J2169</f>
        <v>329.12</v>
      </c>
      <c r="L2169" s="5" t="n">
        <f aca="false">IFERROR(K2169/I2169,0)</f>
        <v>0.297891983382059</v>
      </c>
    </row>
    <row r="2170" customFormat="false" ht="15" hidden="false" customHeight="false" outlineLevel="0" collapsed="false">
      <c r="A2170" s="2" t="s">
        <v>52</v>
      </c>
      <c r="B2170" s="2" t="s">
        <v>53</v>
      </c>
      <c r="C2170" s="2" t="s">
        <v>32</v>
      </c>
      <c r="D2170" s="2" t="s">
        <v>36</v>
      </c>
      <c r="E2170" s="3" t="n">
        <v>46174</v>
      </c>
      <c r="F2170" s="2" t="n">
        <v>17</v>
      </c>
      <c r="G2170" s="4" t="n">
        <v>22.99</v>
      </c>
      <c r="H2170" s="4" t="n">
        <v>16.38</v>
      </c>
      <c r="I2170" s="4" t="n">
        <f aca="false">F2170*G2170</f>
        <v>390.83</v>
      </c>
      <c r="J2170" s="4" t="n">
        <f aca="false">F2170*H2170</f>
        <v>278.46</v>
      </c>
      <c r="K2170" s="4" t="n">
        <f aca="false">I2170-J2170</f>
        <v>112.37</v>
      </c>
      <c r="L2170" s="5" t="n">
        <f aca="false">IFERROR(K2170/I2170,0)</f>
        <v>0.287516311439756</v>
      </c>
    </row>
    <row r="2171" customFormat="false" ht="15" hidden="false" customHeight="false" outlineLevel="0" collapsed="false">
      <c r="A2171" s="2" t="s">
        <v>52</v>
      </c>
      <c r="B2171" s="2" t="s">
        <v>53</v>
      </c>
      <c r="C2171" s="2" t="s">
        <v>32</v>
      </c>
      <c r="D2171" s="2" t="s">
        <v>37</v>
      </c>
      <c r="E2171" s="3" t="n">
        <v>46174</v>
      </c>
      <c r="F2171" s="2" t="n">
        <v>12</v>
      </c>
      <c r="G2171" s="4" t="n">
        <v>29.99</v>
      </c>
      <c r="H2171" s="4" t="n">
        <v>20.22</v>
      </c>
      <c r="I2171" s="4" t="n">
        <f aca="false">F2171*G2171</f>
        <v>359.88</v>
      </c>
      <c r="J2171" s="4" t="n">
        <f aca="false">F2171*H2171</f>
        <v>242.64</v>
      </c>
      <c r="K2171" s="4" t="n">
        <f aca="false">I2171-J2171</f>
        <v>117.24</v>
      </c>
      <c r="L2171" s="5" t="n">
        <f aca="false">IFERROR(K2171/I2171,0)</f>
        <v>0.325775258419473</v>
      </c>
    </row>
    <row r="2172" customFormat="false" ht="15" hidden="false" customHeight="false" outlineLevel="0" collapsed="false">
      <c r="A2172" s="2" t="s">
        <v>52</v>
      </c>
      <c r="B2172" s="2" t="s">
        <v>53</v>
      </c>
      <c r="C2172" s="2" t="s">
        <v>38</v>
      </c>
      <c r="D2172" s="2" t="s">
        <v>39</v>
      </c>
      <c r="E2172" s="3" t="n">
        <v>46174</v>
      </c>
      <c r="F2172" s="2" t="n">
        <v>16</v>
      </c>
      <c r="G2172" s="4" t="n">
        <v>129.99</v>
      </c>
      <c r="H2172" s="4" t="n">
        <v>77.07</v>
      </c>
      <c r="I2172" s="4" t="n">
        <f aca="false">F2172*G2172</f>
        <v>2079.84</v>
      </c>
      <c r="J2172" s="4" t="n">
        <f aca="false">F2172*H2172</f>
        <v>1233.12</v>
      </c>
      <c r="K2172" s="4" t="n">
        <f aca="false">I2172-J2172</f>
        <v>846.72</v>
      </c>
      <c r="L2172" s="5" t="n">
        <f aca="false">IFERROR(K2172/I2172,0)</f>
        <v>0.407108239095315</v>
      </c>
    </row>
    <row r="2173" customFormat="false" ht="15" hidden="false" customHeight="false" outlineLevel="0" collapsed="false">
      <c r="A2173" s="2" t="s">
        <v>52</v>
      </c>
      <c r="B2173" s="2" t="s">
        <v>53</v>
      </c>
      <c r="C2173" s="2" t="s">
        <v>38</v>
      </c>
      <c r="D2173" s="2" t="s">
        <v>40</v>
      </c>
      <c r="E2173" s="3" t="n">
        <v>46174</v>
      </c>
      <c r="F2173" s="2" t="n">
        <v>11</v>
      </c>
      <c r="G2173" s="4" t="n">
        <v>74.99</v>
      </c>
      <c r="H2173" s="4" t="n">
        <v>41.87</v>
      </c>
      <c r="I2173" s="4" t="n">
        <f aca="false">F2173*G2173</f>
        <v>824.89</v>
      </c>
      <c r="J2173" s="4" t="n">
        <f aca="false">F2173*H2173</f>
        <v>460.57</v>
      </c>
      <c r="K2173" s="4" t="n">
        <f aca="false">I2173-J2173</f>
        <v>364.32</v>
      </c>
      <c r="L2173" s="5" t="n">
        <f aca="false">IFERROR(K2173/I2173,0)</f>
        <v>0.441658887851714</v>
      </c>
    </row>
    <row r="2174" customFormat="false" ht="15" hidden="false" customHeight="false" outlineLevel="0" collapsed="false">
      <c r="A2174" s="2" t="s">
        <v>52</v>
      </c>
      <c r="B2174" s="2" t="s">
        <v>53</v>
      </c>
      <c r="C2174" s="2" t="s">
        <v>38</v>
      </c>
      <c r="D2174" s="2" t="s">
        <v>41</v>
      </c>
      <c r="E2174" s="3" t="n">
        <v>46174</v>
      </c>
      <c r="F2174" s="2" t="n">
        <v>12</v>
      </c>
      <c r="G2174" s="4" t="n">
        <v>19.99</v>
      </c>
      <c r="H2174" s="4" t="n">
        <v>9.85</v>
      </c>
      <c r="I2174" s="4" t="n">
        <f aca="false">F2174*G2174</f>
        <v>239.88</v>
      </c>
      <c r="J2174" s="4" t="n">
        <f aca="false">F2174*H2174</f>
        <v>118.2</v>
      </c>
      <c r="K2174" s="4" t="n">
        <f aca="false">I2174-J2174</f>
        <v>121.68</v>
      </c>
      <c r="L2174" s="5" t="n">
        <f aca="false">IFERROR(K2174/I2174,0)</f>
        <v>0.507253626813407</v>
      </c>
    </row>
    <row r="2175" customFormat="false" ht="15" hidden="false" customHeight="false" outlineLevel="0" collapsed="false">
      <c r="A2175" s="2" t="s">
        <v>52</v>
      </c>
      <c r="B2175" s="2" t="s">
        <v>53</v>
      </c>
      <c r="C2175" s="2" t="s">
        <v>38</v>
      </c>
      <c r="D2175" s="2" t="s">
        <v>42</v>
      </c>
      <c r="E2175" s="3" t="n">
        <v>46174</v>
      </c>
      <c r="F2175" s="2" t="n">
        <v>16</v>
      </c>
      <c r="G2175" s="4" t="n">
        <v>16.99</v>
      </c>
      <c r="H2175" s="4" t="n">
        <v>8.29</v>
      </c>
      <c r="I2175" s="4" t="n">
        <f aca="false">F2175*G2175</f>
        <v>271.84</v>
      </c>
      <c r="J2175" s="4" t="n">
        <f aca="false">F2175*H2175</f>
        <v>132.64</v>
      </c>
      <c r="K2175" s="4" t="n">
        <f aca="false">I2175-J2175</f>
        <v>139.2</v>
      </c>
      <c r="L2175" s="5" t="n">
        <f aca="false">IFERROR(K2175/I2175,0)</f>
        <v>0.512065921130077</v>
      </c>
    </row>
    <row r="2176" customFormat="false" ht="15" hidden="false" customHeight="false" outlineLevel="0" collapsed="false">
      <c r="A2176" s="2" t="s">
        <v>52</v>
      </c>
      <c r="B2176" s="2" t="s">
        <v>53</v>
      </c>
      <c r="C2176" s="2" t="s">
        <v>38</v>
      </c>
      <c r="D2176" s="2" t="s">
        <v>43</v>
      </c>
      <c r="E2176" s="3" t="n">
        <v>46174</v>
      </c>
      <c r="F2176" s="2" t="n">
        <v>16</v>
      </c>
      <c r="G2176" s="4" t="n">
        <v>24.99</v>
      </c>
      <c r="H2176" s="4" t="n">
        <v>12.63</v>
      </c>
      <c r="I2176" s="4" t="n">
        <f aca="false">F2176*G2176</f>
        <v>399.84</v>
      </c>
      <c r="J2176" s="4" t="n">
        <f aca="false">F2176*H2176</f>
        <v>202.08</v>
      </c>
      <c r="K2176" s="4" t="n">
        <f aca="false">I2176-J2176</f>
        <v>197.76</v>
      </c>
      <c r="L2176" s="5" t="n">
        <f aca="false">IFERROR(K2176/I2176,0)</f>
        <v>0.494597839135654</v>
      </c>
    </row>
    <row r="2177" customFormat="false" ht="15" hidden="false" customHeight="false" outlineLevel="0" collapsed="false">
      <c r="A2177" s="2" t="s">
        <v>52</v>
      </c>
      <c r="B2177" s="2" t="s">
        <v>54</v>
      </c>
      <c r="C2177" s="2" t="s">
        <v>14</v>
      </c>
      <c r="D2177" s="2" t="s">
        <v>15</v>
      </c>
      <c r="E2177" s="3" t="n">
        <v>46174</v>
      </c>
      <c r="F2177" s="2" t="n">
        <v>15</v>
      </c>
      <c r="G2177" s="4" t="n">
        <v>69.99</v>
      </c>
      <c r="H2177" s="4" t="n">
        <v>34.12</v>
      </c>
      <c r="I2177" s="4" t="n">
        <f aca="false">F2177*G2177</f>
        <v>1049.85</v>
      </c>
      <c r="J2177" s="4" t="n">
        <f aca="false">F2177*H2177</f>
        <v>511.8</v>
      </c>
      <c r="K2177" s="4" t="n">
        <f aca="false">I2177-J2177</f>
        <v>538.05</v>
      </c>
      <c r="L2177" s="5" t="n">
        <f aca="false">IFERROR(K2177/I2177,0)</f>
        <v>0.512501785969424</v>
      </c>
    </row>
    <row r="2178" customFormat="false" ht="15" hidden="false" customHeight="false" outlineLevel="0" collapsed="false">
      <c r="A2178" s="2" t="s">
        <v>52</v>
      </c>
      <c r="B2178" s="2" t="s">
        <v>54</v>
      </c>
      <c r="C2178" s="2" t="s">
        <v>14</v>
      </c>
      <c r="D2178" s="2" t="s">
        <v>16</v>
      </c>
      <c r="E2178" s="3" t="n">
        <v>46174</v>
      </c>
      <c r="F2178" s="2" t="n">
        <v>20</v>
      </c>
      <c r="G2178" s="4" t="n">
        <v>19.99</v>
      </c>
      <c r="H2178" s="4" t="n">
        <v>9.09</v>
      </c>
      <c r="I2178" s="4" t="n">
        <f aca="false">F2178*G2178</f>
        <v>399.8</v>
      </c>
      <c r="J2178" s="4" t="n">
        <f aca="false">F2178*H2178</f>
        <v>181.8</v>
      </c>
      <c r="K2178" s="4" t="n">
        <f aca="false">I2178-J2178</f>
        <v>218</v>
      </c>
      <c r="L2178" s="5" t="n">
        <f aca="false">IFERROR(K2178/I2178,0)</f>
        <v>0.545272636318159</v>
      </c>
    </row>
    <row r="2179" customFormat="false" ht="15" hidden="false" customHeight="false" outlineLevel="0" collapsed="false">
      <c r="A2179" s="2" t="s">
        <v>52</v>
      </c>
      <c r="B2179" s="2" t="s">
        <v>54</v>
      </c>
      <c r="C2179" s="2" t="s">
        <v>14</v>
      </c>
      <c r="D2179" s="2" t="s">
        <v>17</v>
      </c>
      <c r="E2179" s="3" t="n">
        <v>46174</v>
      </c>
      <c r="F2179" s="2" t="n">
        <v>20</v>
      </c>
      <c r="G2179" s="4" t="n">
        <v>79.99</v>
      </c>
      <c r="H2179" s="4" t="n">
        <v>39.85</v>
      </c>
      <c r="I2179" s="4" t="n">
        <f aca="false">F2179*G2179</f>
        <v>1599.8</v>
      </c>
      <c r="J2179" s="4" t="n">
        <f aca="false">F2179*H2179</f>
        <v>797</v>
      </c>
      <c r="K2179" s="4" t="n">
        <f aca="false">I2179-J2179</f>
        <v>802.8</v>
      </c>
      <c r="L2179" s="5" t="n">
        <f aca="false">IFERROR(K2179/I2179,0)</f>
        <v>0.501812726590824</v>
      </c>
    </row>
    <row r="2180" customFormat="false" ht="15" hidden="false" customHeight="false" outlineLevel="0" collapsed="false">
      <c r="A2180" s="2" t="s">
        <v>52</v>
      </c>
      <c r="B2180" s="2" t="s">
        <v>54</v>
      </c>
      <c r="C2180" s="2" t="s">
        <v>14</v>
      </c>
      <c r="D2180" s="2" t="s">
        <v>18</v>
      </c>
      <c r="E2180" s="3" t="n">
        <v>46174</v>
      </c>
      <c r="F2180" s="2" t="n">
        <v>25</v>
      </c>
      <c r="G2180" s="4" t="n">
        <v>34.99</v>
      </c>
      <c r="H2180" s="4" t="n">
        <v>14.54</v>
      </c>
      <c r="I2180" s="4" t="n">
        <f aca="false">F2180*G2180</f>
        <v>874.75</v>
      </c>
      <c r="J2180" s="4" t="n">
        <f aca="false">F2180*H2180</f>
        <v>363.5</v>
      </c>
      <c r="K2180" s="4" t="n">
        <f aca="false">I2180-J2180</f>
        <v>511.25</v>
      </c>
      <c r="L2180" s="5" t="n">
        <f aca="false">IFERROR(K2180/I2180,0)</f>
        <v>0.584452700771649</v>
      </c>
    </row>
    <row r="2181" customFormat="false" ht="15" hidden="false" customHeight="false" outlineLevel="0" collapsed="false">
      <c r="A2181" s="2" t="s">
        <v>52</v>
      </c>
      <c r="B2181" s="2" t="s">
        <v>54</v>
      </c>
      <c r="C2181" s="2" t="s">
        <v>14</v>
      </c>
      <c r="D2181" s="2" t="s">
        <v>19</v>
      </c>
      <c r="E2181" s="3" t="n">
        <v>46174</v>
      </c>
      <c r="F2181" s="2" t="n">
        <v>12</v>
      </c>
      <c r="G2181" s="4" t="n">
        <v>54.99</v>
      </c>
      <c r="H2181" s="4" t="n">
        <v>24.65</v>
      </c>
      <c r="I2181" s="4" t="n">
        <f aca="false">F2181*G2181</f>
        <v>659.88</v>
      </c>
      <c r="J2181" s="4" t="n">
        <f aca="false">F2181*H2181</f>
        <v>295.8</v>
      </c>
      <c r="K2181" s="4" t="n">
        <f aca="false">I2181-J2181</f>
        <v>364.08</v>
      </c>
      <c r="L2181" s="5" t="n">
        <f aca="false">IFERROR(K2181/I2181,0)</f>
        <v>0.551736679396254</v>
      </c>
    </row>
    <row r="2182" customFormat="false" ht="15" hidden="false" customHeight="false" outlineLevel="0" collapsed="false">
      <c r="A2182" s="2" t="s">
        <v>52</v>
      </c>
      <c r="B2182" s="2" t="s">
        <v>54</v>
      </c>
      <c r="C2182" s="2" t="s">
        <v>20</v>
      </c>
      <c r="D2182" s="2" t="s">
        <v>21</v>
      </c>
      <c r="E2182" s="3" t="n">
        <v>46174</v>
      </c>
      <c r="F2182" s="2" t="n">
        <v>16</v>
      </c>
      <c r="G2182" s="4" t="n">
        <v>44.99</v>
      </c>
      <c r="H2182" s="4" t="n">
        <v>20.66</v>
      </c>
      <c r="I2182" s="4" t="n">
        <f aca="false">F2182*G2182</f>
        <v>719.84</v>
      </c>
      <c r="J2182" s="4" t="n">
        <f aca="false">F2182*H2182</f>
        <v>330.56</v>
      </c>
      <c r="K2182" s="4" t="n">
        <f aca="false">I2182-J2182</f>
        <v>389.28</v>
      </c>
      <c r="L2182" s="5" t="n">
        <f aca="false">IFERROR(K2182/I2182,0)</f>
        <v>0.540786841520338</v>
      </c>
    </row>
    <row r="2183" customFormat="false" ht="15" hidden="false" customHeight="false" outlineLevel="0" collapsed="false">
      <c r="A2183" s="2" t="s">
        <v>52</v>
      </c>
      <c r="B2183" s="2" t="s">
        <v>54</v>
      </c>
      <c r="C2183" s="2" t="s">
        <v>20</v>
      </c>
      <c r="D2183" s="2" t="s">
        <v>22</v>
      </c>
      <c r="E2183" s="3" t="n">
        <v>46174</v>
      </c>
      <c r="F2183" s="2" t="n">
        <v>8</v>
      </c>
      <c r="G2183" s="4" t="n">
        <v>14.99</v>
      </c>
      <c r="H2183" s="4" t="n">
        <v>5.78</v>
      </c>
      <c r="I2183" s="4" t="n">
        <f aca="false">F2183*G2183</f>
        <v>119.92</v>
      </c>
      <c r="J2183" s="4" t="n">
        <f aca="false">F2183*H2183</f>
        <v>46.24</v>
      </c>
      <c r="K2183" s="4" t="n">
        <f aca="false">I2183-J2183</f>
        <v>73.68</v>
      </c>
      <c r="L2183" s="5" t="n">
        <f aca="false">IFERROR(K2183/I2183,0)</f>
        <v>0.61440960640427</v>
      </c>
    </row>
    <row r="2184" customFormat="false" ht="15" hidden="false" customHeight="false" outlineLevel="0" collapsed="false">
      <c r="A2184" s="2" t="s">
        <v>52</v>
      </c>
      <c r="B2184" s="2" t="s">
        <v>54</v>
      </c>
      <c r="C2184" s="2" t="s">
        <v>20</v>
      </c>
      <c r="D2184" s="2" t="s">
        <v>23</v>
      </c>
      <c r="E2184" s="3" t="n">
        <v>46174</v>
      </c>
      <c r="F2184" s="2" t="n">
        <v>15</v>
      </c>
      <c r="G2184" s="4" t="n">
        <v>39.99</v>
      </c>
      <c r="H2184" s="4" t="n">
        <v>17.07</v>
      </c>
      <c r="I2184" s="4" t="n">
        <f aca="false">F2184*G2184</f>
        <v>599.85</v>
      </c>
      <c r="J2184" s="4" t="n">
        <f aca="false">F2184*H2184</f>
        <v>256.05</v>
      </c>
      <c r="K2184" s="4" t="n">
        <f aca="false">I2184-J2184</f>
        <v>343.8</v>
      </c>
      <c r="L2184" s="5" t="n">
        <f aca="false">IFERROR(K2184/I2184,0)</f>
        <v>0.573143285821455</v>
      </c>
    </row>
    <row r="2185" customFormat="false" ht="15" hidden="false" customHeight="false" outlineLevel="0" collapsed="false">
      <c r="A2185" s="2" t="s">
        <v>52</v>
      </c>
      <c r="B2185" s="2" t="s">
        <v>54</v>
      </c>
      <c r="C2185" s="2" t="s">
        <v>20</v>
      </c>
      <c r="D2185" s="2" t="s">
        <v>24</v>
      </c>
      <c r="E2185" s="3" t="n">
        <v>46174</v>
      </c>
      <c r="F2185" s="2" t="n">
        <v>17</v>
      </c>
      <c r="G2185" s="4" t="n">
        <v>18.99</v>
      </c>
      <c r="H2185" s="4" t="n">
        <v>7.75</v>
      </c>
      <c r="I2185" s="4" t="n">
        <f aca="false">F2185*G2185</f>
        <v>322.83</v>
      </c>
      <c r="J2185" s="4" t="n">
        <f aca="false">F2185*H2185</f>
        <v>131.75</v>
      </c>
      <c r="K2185" s="4" t="n">
        <f aca="false">I2185-J2185</f>
        <v>191.08</v>
      </c>
      <c r="L2185" s="5" t="n">
        <f aca="false">IFERROR(K2185/I2185,0)</f>
        <v>0.59189046866772</v>
      </c>
    </row>
    <row r="2186" customFormat="false" ht="15" hidden="false" customHeight="false" outlineLevel="0" collapsed="false">
      <c r="A2186" s="2" t="s">
        <v>52</v>
      </c>
      <c r="B2186" s="2" t="s">
        <v>54</v>
      </c>
      <c r="C2186" s="2" t="s">
        <v>20</v>
      </c>
      <c r="D2186" s="2" t="s">
        <v>25</v>
      </c>
      <c r="E2186" s="3" t="n">
        <v>46174</v>
      </c>
      <c r="F2186" s="2" t="n">
        <v>14</v>
      </c>
      <c r="G2186" s="4" t="n">
        <v>42.99</v>
      </c>
      <c r="H2186" s="4" t="n">
        <v>15.58</v>
      </c>
      <c r="I2186" s="4" t="n">
        <f aca="false">F2186*G2186</f>
        <v>601.86</v>
      </c>
      <c r="J2186" s="4" t="n">
        <f aca="false">F2186*H2186</f>
        <v>218.12</v>
      </c>
      <c r="K2186" s="4" t="n">
        <f aca="false">I2186-J2186</f>
        <v>383.74</v>
      </c>
      <c r="L2186" s="5" t="n">
        <f aca="false">IFERROR(K2186/I2186,0)</f>
        <v>0.637590137241219</v>
      </c>
    </row>
    <row r="2187" customFormat="false" ht="15" hidden="false" customHeight="false" outlineLevel="0" collapsed="false">
      <c r="A2187" s="2" t="s">
        <v>52</v>
      </c>
      <c r="B2187" s="2" t="s">
        <v>54</v>
      </c>
      <c r="C2187" s="2" t="s">
        <v>26</v>
      </c>
      <c r="D2187" s="2" t="s">
        <v>27</v>
      </c>
      <c r="E2187" s="3" t="n">
        <v>46174</v>
      </c>
      <c r="F2187" s="2" t="n">
        <v>16</v>
      </c>
      <c r="G2187" s="4" t="n">
        <v>44.99</v>
      </c>
      <c r="H2187" s="4" t="n">
        <v>27.68</v>
      </c>
      <c r="I2187" s="4" t="n">
        <f aca="false">F2187*G2187</f>
        <v>719.84</v>
      </c>
      <c r="J2187" s="4" t="n">
        <f aca="false">F2187*H2187</f>
        <v>442.88</v>
      </c>
      <c r="K2187" s="4" t="n">
        <f aca="false">I2187-J2187</f>
        <v>276.96</v>
      </c>
      <c r="L2187" s="5" t="n">
        <f aca="false">IFERROR(K2187/I2187,0)</f>
        <v>0.384752167148255</v>
      </c>
    </row>
    <row r="2188" customFormat="false" ht="15" hidden="false" customHeight="false" outlineLevel="0" collapsed="false">
      <c r="A2188" s="2" t="s">
        <v>52</v>
      </c>
      <c r="B2188" s="2" t="s">
        <v>54</v>
      </c>
      <c r="C2188" s="2" t="s">
        <v>26</v>
      </c>
      <c r="D2188" s="2" t="s">
        <v>28</v>
      </c>
      <c r="E2188" s="3" t="n">
        <v>46174</v>
      </c>
      <c r="F2188" s="2" t="n">
        <v>16</v>
      </c>
      <c r="G2188" s="4" t="n">
        <v>34.99</v>
      </c>
      <c r="H2188" s="4" t="n">
        <v>22.49</v>
      </c>
      <c r="I2188" s="4" t="n">
        <f aca="false">F2188*G2188</f>
        <v>559.84</v>
      </c>
      <c r="J2188" s="4" t="n">
        <f aca="false">F2188*H2188</f>
        <v>359.84</v>
      </c>
      <c r="K2188" s="4" t="n">
        <f aca="false">I2188-J2188</f>
        <v>200</v>
      </c>
      <c r="L2188" s="5" t="n">
        <f aca="false">IFERROR(K2188/I2188,0)</f>
        <v>0.357244927122035</v>
      </c>
    </row>
    <row r="2189" customFormat="false" ht="15" hidden="false" customHeight="false" outlineLevel="0" collapsed="false">
      <c r="A2189" s="2" t="s">
        <v>52</v>
      </c>
      <c r="B2189" s="2" t="s">
        <v>54</v>
      </c>
      <c r="C2189" s="2" t="s">
        <v>26</v>
      </c>
      <c r="D2189" s="2" t="s">
        <v>29</v>
      </c>
      <c r="E2189" s="3" t="n">
        <v>46174</v>
      </c>
      <c r="F2189" s="2" t="n">
        <v>18</v>
      </c>
      <c r="G2189" s="4" t="n">
        <v>119.99</v>
      </c>
      <c r="H2189" s="4" t="n">
        <v>82.94</v>
      </c>
      <c r="I2189" s="4" t="n">
        <f aca="false">F2189*G2189</f>
        <v>2159.82</v>
      </c>
      <c r="J2189" s="4" t="n">
        <f aca="false">F2189*H2189</f>
        <v>1492.92</v>
      </c>
      <c r="K2189" s="4" t="n">
        <f aca="false">I2189-J2189</f>
        <v>666.9</v>
      </c>
      <c r="L2189" s="5" t="n">
        <f aca="false">IFERROR(K2189/I2189,0)</f>
        <v>0.308775731310942</v>
      </c>
    </row>
    <row r="2190" customFormat="false" ht="15" hidden="false" customHeight="false" outlineLevel="0" collapsed="false">
      <c r="A2190" s="2" t="s">
        <v>52</v>
      </c>
      <c r="B2190" s="2" t="s">
        <v>54</v>
      </c>
      <c r="C2190" s="2" t="s">
        <v>26</v>
      </c>
      <c r="D2190" s="2" t="s">
        <v>30</v>
      </c>
      <c r="E2190" s="3" t="n">
        <v>46174</v>
      </c>
      <c r="F2190" s="2" t="n">
        <v>10</v>
      </c>
      <c r="G2190" s="4" t="n">
        <v>24.99</v>
      </c>
      <c r="H2190" s="4" t="n">
        <v>14.97</v>
      </c>
      <c r="I2190" s="4" t="n">
        <f aca="false">F2190*G2190</f>
        <v>249.9</v>
      </c>
      <c r="J2190" s="4" t="n">
        <f aca="false">F2190*H2190</f>
        <v>149.7</v>
      </c>
      <c r="K2190" s="4" t="n">
        <f aca="false">I2190-J2190</f>
        <v>100.2</v>
      </c>
      <c r="L2190" s="5" t="n">
        <f aca="false">IFERROR(K2190/I2190,0)</f>
        <v>0.400960384153661</v>
      </c>
    </row>
    <row r="2191" customFormat="false" ht="15" hidden="false" customHeight="false" outlineLevel="0" collapsed="false">
      <c r="A2191" s="2" t="s">
        <v>52</v>
      </c>
      <c r="B2191" s="2" t="s">
        <v>54</v>
      </c>
      <c r="C2191" s="2" t="s">
        <v>26</v>
      </c>
      <c r="D2191" s="2" t="s">
        <v>31</v>
      </c>
      <c r="E2191" s="3" t="n">
        <v>46174</v>
      </c>
      <c r="F2191" s="2" t="n">
        <v>14</v>
      </c>
      <c r="G2191" s="4" t="n">
        <v>59.99</v>
      </c>
      <c r="H2191" s="4" t="n">
        <v>39.08</v>
      </c>
      <c r="I2191" s="4" t="n">
        <f aca="false">F2191*G2191</f>
        <v>839.86</v>
      </c>
      <c r="J2191" s="4" t="n">
        <f aca="false">F2191*H2191</f>
        <v>547.12</v>
      </c>
      <c r="K2191" s="4" t="n">
        <f aca="false">I2191-J2191</f>
        <v>292.74</v>
      </c>
      <c r="L2191" s="5" t="n">
        <f aca="false">IFERROR(K2191/I2191,0)</f>
        <v>0.348558093015503</v>
      </c>
    </row>
    <row r="2192" customFormat="false" ht="15" hidden="false" customHeight="false" outlineLevel="0" collapsed="false">
      <c r="A2192" s="2" t="s">
        <v>52</v>
      </c>
      <c r="B2192" s="2" t="s">
        <v>54</v>
      </c>
      <c r="C2192" s="2" t="s">
        <v>32</v>
      </c>
      <c r="D2192" s="2" t="s">
        <v>33</v>
      </c>
      <c r="E2192" s="3" t="n">
        <v>46174</v>
      </c>
      <c r="F2192" s="2" t="n">
        <v>20</v>
      </c>
      <c r="G2192" s="4" t="n">
        <v>49.99</v>
      </c>
      <c r="H2192" s="4" t="n">
        <v>36.81</v>
      </c>
      <c r="I2192" s="4" t="n">
        <f aca="false">F2192*G2192</f>
        <v>999.8</v>
      </c>
      <c r="J2192" s="4" t="n">
        <f aca="false">F2192*H2192</f>
        <v>736.2</v>
      </c>
      <c r="K2192" s="4" t="n">
        <f aca="false">I2192-J2192</f>
        <v>263.6</v>
      </c>
      <c r="L2192" s="5" t="n">
        <f aca="false">IFERROR(K2192/I2192,0)</f>
        <v>0.263652730546109</v>
      </c>
    </row>
    <row r="2193" customFormat="false" ht="15" hidden="false" customHeight="false" outlineLevel="0" collapsed="false">
      <c r="A2193" s="2" t="s">
        <v>52</v>
      </c>
      <c r="B2193" s="2" t="s">
        <v>54</v>
      </c>
      <c r="C2193" s="2" t="s">
        <v>32</v>
      </c>
      <c r="D2193" s="2" t="s">
        <v>34</v>
      </c>
      <c r="E2193" s="3" t="n">
        <v>46174</v>
      </c>
      <c r="F2193" s="2" t="n">
        <v>15</v>
      </c>
      <c r="G2193" s="4" t="n">
        <v>27.99</v>
      </c>
      <c r="H2193" s="4" t="n">
        <v>19.58</v>
      </c>
      <c r="I2193" s="4" t="n">
        <f aca="false">F2193*G2193</f>
        <v>419.85</v>
      </c>
      <c r="J2193" s="4" t="n">
        <f aca="false">F2193*H2193</f>
        <v>293.7</v>
      </c>
      <c r="K2193" s="4" t="n">
        <f aca="false">I2193-J2193</f>
        <v>126.15</v>
      </c>
      <c r="L2193" s="5" t="n">
        <f aca="false">IFERROR(K2193/I2193,0)</f>
        <v>0.300464451589853</v>
      </c>
    </row>
    <row r="2194" customFormat="false" ht="15" hidden="false" customHeight="false" outlineLevel="0" collapsed="false">
      <c r="A2194" s="2" t="s">
        <v>52</v>
      </c>
      <c r="B2194" s="2" t="s">
        <v>54</v>
      </c>
      <c r="C2194" s="2" t="s">
        <v>32</v>
      </c>
      <c r="D2194" s="2" t="s">
        <v>35</v>
      </c>
      <c r="E2194" s="3" t="n">
        <v>46174</v>
      </c>
      <c r="F2194" s="2" t="n">
        <v>10</v>
      </c>
      <c r="G2194" s="4" t="n">
        <v>64.99</v>
      </c>
      <c r="H2194" s="4" t="n">
        <v>45.55</v>
      </c>
      <c r="I2194" s="4" t="n">
        <f aca="false">F2194*G2194</f>
        <v>649.9</v>
      </c>
      <c r="J2194" s="4" t="n">
        <f aca="false">F2194*H2194</f>
        <v>455.5</v>
      </c>
      <c r="K2194" s="4" t="n">
        <f aca="false">I2194-J2194</f>
        <v>194.4</v>
      </c>
      <c r="L2194" s="5" t="n">
        <f aca="false">IFERROR(K2194/I2194,0)</f>
        <v>0.299122941991076</v>
      </c>
    </row>
    <row r="2195" customFormat="false" ht="15" hidden="false" customHeight="false" outlineLevel="0" collapsed="false">
      <c r="A2195" s="2" t="s">
        <v>52</v>
      </c>
      <c r="B2195" s="2" t="s">
        <v>54</v>
      </c>
      <c r="C2195" s="2" t="s">
        <v>32</v>
      </c>
      <c r="D2195" s="2" t="s">
        <v>36</v>
      </c>
      <c r="E2195" s="3" t="n">
        <v>46174</v>
      </c>
      <c r="F2195" s="2" t="n">
        <v>14</v>
      </c>
      <c r="G2195" s="4" t="n">
        <v>22.99</v>
      </c>
      <c r="H2195" s="4" t="n">
        <v>16.88</v>
      </c>
      <c r="I2195" s="4" t="n">
        <f aca="false">F2195*G2195</f>
        <v>321.86</v>
      </c>
      <c r="J2195" s="4" t="n">
        <f aca="false">F2195*H2195</f>
        <v>236.32</v>
      </c>
      <c r="K2195" s="4" t="n">
        <f aca="false">I2195-J2195</f>
        <v>85.54</v>
      </c>
      <c r="L2195" s="5" t="n">
        <f aca="false">IFERROR(K2195/I2195,0)</f>
        <v>0.265767725097869</v>
      </c>
    </row>
    <row r="2196" customFormat="false" ht="15" hidden="false" customHeight="false" outlineLevel="0" collapsed="false">
      <c r="A2196" s="2" t="s">
        <v>52</v>
      </c>
      <c r="B2196" s="2" t="s">
        <v>54</v>
      </c>
      <c r="C2196" s="2" t="s">
        <v>32</v>
      </c>
      <c r="D2196" s="2" t="s">
        <v>37</v>
      </c>
      <c r="E2196" s="3" t="n">
        <v>46174</v>
      </c>
      <c r="F2196" s="2" t="n">
        <v>17</v>
      </c>
      <c r="G2196" s="4" t="n">
        <v>29.99</v>
      </c>
      <c r="H2196" s="4" t="n">
        <v>20.94</v>
      </c>
      <c r="I2196" s="4" t="n">
        <f aca="false">F2196*G2196</f>
        <v>509.83</v>
      </c>
      <c r="J2196" s="4" t="n">
        <f aca="false">F2196*H2196</f>
        <v>355.98</v>
      </c>
      <c r="K2196" s="4" t="n">
        <f aca="false">I2196-J2196</f>
        <v>153.85</v>
      </c>
      <c r="L2196" s="5" t="n">
        <f aca="false">IFERROR(K2196/I2196,0)</f>
        <v>0.301767255751917</v>
      </c>
    </row>
    <row r="2197" customFormat="false" ht="15" hidden="false" customHeight="false" outlineLevel="0" collapsed="false">
      <c r="A2197" s="2" t="s">
        <v>52</v>
      </c>
      <c r="B2197" s="2" t="s">
        <v>54</v>
      </c>
      <c r="C2197" s="2" t="s">
        <v>38</v>
      </c>
      <c r="D2197" s="2" t="s">
        <v>39</v>
      </c>
      <c r="E2197" s="3" t="n">
        <v>46174</v>
      </c>
      <c r="F2197" s="2" t="n">
        <v>18</v>
      </c>
      <c r="G2197" s="4" t="n">
        <v>129.99</v>
      </c>
      <c r="H2197" s="4" t="n">
        <v>74.99</v>
      </c>
      <c r="I2197" s="4" t="n">
        <f aca="false">F2197*G2197</f>
        <v>2339.82</v>
      </c>
      <c r="J2197" s="4" t="n">
        <f aca="false">F2197*H2197</f>
        <v>1349.82</v>
      </c>
      <c r="K2197" s="4" t="n">
        <f aca="false">I2197-J2197</f>
        <v>990</v>
      </c>
      <c r="L2197" s="5" t="n">
        <f aca="false">IFERROR(K2197/I2197,0)</f>
        <v>0.423109469959228</v>
      </c>
    </row>
    <row r="2198" customFormat="false" ht="15" hidden="false" customHeight="false" outlineLevel="0" collapsed="false">
      <c r="A2198" s="2" t="s">
        <v>52</v>
      </c>
      <c r="B2198" s="2" t="s">
        <v>54</v>
      </c>
      <c r="C2198" s="2" t="s">
        <v>38</v>
      </c>
      <c r="D2198" s="2" t="s">
        <v>40</v>
      </c>
      <c r="E2198" s="3" t="n">
        <v>46174</v>
      </c>
      <c r="F2198" s="2" t="n">
        <v>14</v>
      </c>
      <c r="G2198" s="4" t="n">
        <v>74.99</v>
      </c>
      <c r="H2198" s="4" t="n">
        <v>41.7</v>
      </c>
      <c r="I2198" s="4" t="n">
        <f aca="false">F2198*G2198</f>
        <v>1049.86</v>
      </c>
      <c r="J2198" s="4" t="n">
        <f aca="false">F2198*H2198</f>
        <v>583.8</v>
      </c>
      <c r="K2198" s="4" t="n">
        <f aca="false">I2198-J2198</f>
        <v>466.06</v>
      </c>
      <c r="L2198" s="5" t="n">
        <f aca="false">IFERROR(K2198/I2198,0)</f>
        <v>0.443925856780904</v>
      </c>
    </row>
    <row r="2199" customFormat="false" ht="15" hidden="false" customHeight="false" outlineLevel="0" collapsed="false">
      <c r="A2199" s="2" t="s">
        <v>52</v>
      </c>
      <c r="B2199" s="2" t="s">
        <v>54</v>
      </c>
      <c r="C2199" s="2" t="s">
        <v>38</v>
      </c>
      <c r="D2199" s="2" t="s">
        <v>41</v>
      </c>
      <c r="E2199" s="3" t="n">
        <v>46174</v>
      </c>
      <c r="F2199" s="2" t="n">
        <v>21</v>
      </c>
      <c r="G2199" s="4" t="n">
        <v>19.99</v>
      </c>
      <c r="H2199" s="4" t="n">
        <v>9.77</v>
      </c>
      <c r="I2199" s="4" t="n">
        <f aca="false">F2199*G2199</f>
        <v>419.79</v>
      </c>
      <c r="J2199" s="4" t="n">
        <f aca="false">F2199*H2199</f>
        <v>205.17</v>
      </c>
      <c r="K2199" s="4" t="n">
        <f aca="false">I2199-J2199</f>
        <v>214.62</v>
      </c>
      <c r="L2199" s="5" t="n">
        <f aca="false">IFERROR(K2199/I2199,0)</f>
        <v>0.511255627813907</v>
      </c>
    </row>
    <row r="2200" customFormat="false" ht="15" hidden="false" customHeight="false" outlineLevel="0" collapsed="false">
      <c r="A2200" s="2" t="s">
        <v>52</v>
      </c>
      <c r="B2200" s="2" t="s">
        <v>54</v>
      </c>
      <c r="C2200" s="2" t="s">
        <v>38</v>
      </c>
      <c r="D2200" s="2" t="s">
        <v>42</v>
      </c>
      <c r="E2200" s="3" t="n">
        <v>46174</v>
      </c>
      <c r="F2200" s="2" t="n">
        <v>10</v>
      </c>
      <c r="G2200" s="4" t="n">
        <v>16.99</v>
      </c>
      <c r="H2200" s="4" t="n">
        <v>8.3</v>
      </c>
      <c r="I2200" s="4" t="n">
        <f aca="false">F2200*G2200</f>
        <v>169.9</v>
      </c>
      <c r="J2200" s="4" t="n">
        <f aca="false">F2200*H2200</f>
        <v>83</v>
      </c>
      <c r="K2200" s="4" t="n">
        <f aca="false">I2200-J2200</f>
        <v>86.9</v>
      </c>
      <c r="L2200" s="5" t="n">
        <f aca="false">IFERROR(K2200/I2200,0)</f>
        <v>0.511477339611536</v>
      </c>
    </row>
    <row r="2201" customFormat="false" ht="15" hidden="false" customHeight="false" outlineLevel="0" collapsed="false">
      <c r="A2201" s="2" t="s">
        <v>52</v>
      </c>
      <c r="B2201" s="2" t="s">
        <v>54</v>
      </c>
      <c r="C2201" s="2" t="s">
        <v>38</v>
      </c>
      <c r="D2201" s="2" t="s">
        <v>43</v>
      </c>
      <c r="E2201" s="3" t="n">
        <v>46174</v>
      </c>
      <c r="F2201" s="2" t="n">
        <v>23</v>
      </c>
      <c r="G2201" s="4" t="n">
        <v>24.99</v>
      </c>
      <c r="H2201" s="4" t="n">
        <v>13.07</v>
      </c>
      <c r="I2201" s="4" t="n">
        <f aca="false">F2201*G2201</f>
        <v>574.77</v>
      </c>
      <c r="J2201" s="4" t="n">
        <f aca="false">F2201*H2201</f>
        <v>300.61</v>
      </c>
      <c r="K2201" s="4" t="n">
        <f aca="false">I2201-J2201</f>
        <v>274.16</v>
      </c>
      <c r="L2201" s="5" t="n">
        <f aca="false">IFERROR(K2201/I2201,0)</f>
        <v>0.476990796318527</v>
      </c>
    </row>
    <row r="2202" customFormat="false" ht="15" hidden="false" customHeight="false" outlineLevel="0" collapsed="false">
      <c r="A2202" s="2" t="s">
        <v>12</v>
      </c>
      <c r="B2202" s="2" t="s">
        <v>13</v>
      </c>
      <c r="C2202" s="2" t="s">
        <v>14</v>
      </c>
      <c r="D2202" s="2" t="s">
        <v>15</v>
      </c>
      <c r="E2202" s="3" t="n">
        <v>46204</v>
      </c>
      <c r="F2202" s="2" t="n">
        <v>20</v>
      </c>
      <c r="G2202" s="4" t="n">
        <v>69.99</v>
      </c>
      <c r="H2202" s="4" t="n">
        <v>34.39</v>
      </c>
      <c r="I2202" s="4" t="n">
        <f aca="false">F2202*G2202</f>
        <v>1399.8</v>
      </c>
      <c r="J2202" s="4" t="n">
        <f aca="false">F2202*H2202</f>
        <v>687.8</v>
      </c>
      <c r="K2202" s="4" t="n">
        <f aca="false">I2202-J2202</f>
        <v>712</v>
      </c>
      <c r="L2202" s="5" t="n">
        <f aca="false">IFERROR(K2202/I2202,0)</f>
        <v>0.508644092013145</v>
      </c>
    </row>
    <row r="2203" customFormat="false" ht="15" hidden="false" customHeight="false" outlineLevel="0" collapsed="false">
      <c r="A2203" s="2" t="s">
        <v>12</v>
      </c>
      <c r="B2203" s="2" t="s">
        <v>13</v>
      </c>
      <c r="C2203" s="2" t="s">
        <v>14</v>
      </c>
      <c r="D2203" s="2" t="s">
        <v>16</v>
      </c>
      <c r="E2203" s="3" t="n">
        <v>46204</v>
      </c>
      <c r="F2203" s="2" t="n">
        <v>11</v>
      </c>
      <c r="G2203" s="4" t="n">
        <v>19.99</v>
      </c>
      <c r="H2203" s="4" t="n">
        <v>9.03</v>
      </c>
      <c r="I2203" s="4" t="n">
        <f aca="false">F2203*G2203</f>
        <v>219.89</v>
      </c>
      <c r="J2203" s="4" t="n">
        <f aca="false">F2203*H2203</f>
        <v>99.33</v>
      </c>
      <c r="K2203" s="4" t="n">
        <f aca="false">I2203-J2203</f>
        <v>120.56</v>
      </c>
      <c r="L2203" s="5" t="n">
        <f aca="false">IFERROR(K2203/I2203,0)</f>
        <v>0.548274137068534</v>
      </c>
    </row>
    <row r="2204" customFormat="false" ht="15" hidden="false" customHeight="false" outlineLevel="0" collapsed="false">
      <c r="A2204" s="2" t="s">
        <v>12</v>
      </c>
      <c r="B2204" s="2" t="s">
        <v>13</v>
      </c>
      <c r="C2204" s="2" t="s">
        <v>14</v>
      </c>
      <c r="D2204" s="2" t="s">
        <v>17</v>
      </c>
      <c r="E2204" s="3" t="n">
        <v>46204</v>
      </c>
      <c r="F2204" s="2" t="n">
        <v>14</v>
      </c>
      <c r="G2204" s="4" t="n">
        <v>79.99</v>
      </c>
      <c r="H2204" s="4" t="n">
        <v>38.93</v>
      </c>
      <c r="I2204" s="4" t="n">
        <f aca="false">F2204*G2204</f>
        <v>1119.86</v>
      </c>
      <c r="J2204" s="4" t="n">
        <f aca="false">F2204*H2204</f>
        <v>545.02</v>
      </c>
      <c r="K2204" s="4" t="n">
        <f aca="false">I2204-J2204</f>
        <v>574.84</v>
      </c>
      <c r="L2204" s="5" t="n">
        <f aca="false">IFERROR(K2204/I2204,0)</f>
        <v>0.513314164270534</v>
      </c>
    </row>
    <row r="2205" customFormat="false" ht="15" hidden="false" customHeight="false" outlineLevel="0" collapsed="false">
      <c r="A2205" s="2" t="s">
        <v>12</v>
      </c>
      <c r="B2205" s="2" t="s">
        <v>13</v>
      </c>
      <c r="C2205" s="2" t="s">
        <v>14</v>
      </c>
      <c r="D2205" s="2" t="s">
        <v>18</v>
      </c>
      <c r="E2205" s="3" t="n">
        <v>46204</v>
      </c>
      <c r="F2205" s="2" t="n">
        <v>27</v>
      </c>
      <c r="G2205" s="4" t="n">
        <v>34.99</v>
      </c>
      <c r="H2205" s="4" t="n">
        <v>14.87</v>
      </c>
      <c r="I2205" s="4" t="n">
        <f aca="false">F2205*G2205</f>
        <v>944.73</v>
      </c>
      <c r="J2205" s="4" t="n">
        <f aca="false">F2205*H2205</f>
        <v>401.49</v>
      </c>
      <c r="K2205" s="4" t="n">
        <f aca="false">I2205-J2205</f>
        <v>543.24</v>
      </c>
      <c r="L2205" s="5" t="n">
        <f aca="false">IFERROR(K2205/I2205,0)</f>
        <v>0.575021434695627</v>
      </c>
    </row>
    <row r="2206" customFormat="false" ht="15" hidden="false" customHeight="false" outlineLevel="0" collapsed="false">
      <c r="A2206" s="2" t="s">
        <v>12</v>
      </c>
      <c r="B2206" s="2" t="s">
        <v>13</v>
      </c>
      <c r="C2206" s="2" t="s">
        <v>14</v>
      </c>
      <c r="D2206" s="2" t="s">
        <v>19</v>
      </c>
      <c r="E2206" s="3" t="n">
        <v>46204</v>
      </c>
      <c r="F2206" s="2" t="n">
        <v>20</v>
      </c>
      <c r="G2206" s="4" t="n">
        <v>54.99</v>
      </c>
      <c r="H2206" s="4" t="n">
        <v>24.03</v>
      </c>
      <c r="I2206" s="4" t="n">
        <f aca="false">F2206*G2206</f>
        <v>1099.8</v>
      </c>
      <c r="J2206" s="4" t="n">
        <f aca="false">F2206*H2206</f>
        <v>480.6</v>
      </c>
      <c r="K2206" s="4" t="n">
        <f aca="false">I2206-J2206</f>
        <v>619.2</v>
      </c>
      <c r="L2206" s="5" t="n">
        <f aca="false">IFERROR(K2206/I2206,0)</f>
        <v>0.563011456628478</v>
      </c>
    </row>
    <row r="2207" customFormat="false" ht="15" hidden="false" customHeight="false" outlineLevel="0" collapsed="false">
      <c r="A2207" s="2" t="s">
        <v>12</v>
      </c>
      <c r="B2207" s="2" t="s">
        <v>13</v>
      </c>
      <c r="C2207" s="2" t="s">
        <v>20</v>
      </c>
      <c r="D2207" s="2" t="s">
        <v>21</v>
      </c>
      <c r="E2207" s="3" t="n">
        <v>46204</v>
      </c>
      <c r="F2207" s="2" t="n">
        <v>21</v>
      </c>
      <c r="G2207" s="4" t="n">
        <v>44.99</v>
      </c>
      <c r="H2207" s="4" t="n">
        <v>20.45</v>
      </c>
      <c r="I2207" s="4" t="n">
        <f aca="false">F2207*G2207</f>
        <v>944.79</v>
      </c>
      <c r="J2207" s="4" t="n">
        <f aca="false">F2207*H2207</f>
        <v>429.45</v>
      </c>
      <c r="K2207" s="4" t="n">
        <f aca="false">I2207-J2207</f>
        <v>515.34</v>
      </c>
      <c r="L2207" s="5" t="n">
        <f aca="false">IFERROR(K2207/I2207,0)</f>
        <v>0.545454545454546</v>
      </c>
    </row>
    <row r="2208" customFormat="false" ht="15" hidden="false" customHeight="false" outlineLevel="0" collapsed="false">
      <c r="A2208" s="2" t="s">
        <v>12</v>
      </c>
      <c r="B2208" s="2" t="s">
        <v>13</v>
      </c>
      <c r="C2208" s="2" t="s">
        <v>20</v>
      </c>
      <c r="D2208" s="2" t="s">
        <v>22</v>
      </c>
      <c r="E2208" s="3" t="n">
        <v>46204</v>
      </c>
      <c r="F2208" s="2" t="n">
        <v>16</v>
      </c>
      <c r="G2208" s="4" t="n">
        <v>14.99</v>
      </c>
      <c r="H2208" s="4" t="n">
        <v>5.74</v>
      </c>
      <c r="I2208" s="4" t="n">
        <f aca="false">F2208*G2208</f>
        <v>239.84</v>
      </c>
      <c r="J2208" s="4" t="n">
        <f aca="false">F2208*H2208</f>
        <v>91.84</v>
      </c>
      <c r="K2208" s="4" t="n">
        <f aca="false">I2208-J2208</f>
        <v>148</v>
      </c>
      <c r="L2208" s="5" t="n">
        <f aca="false">IFERROR(K2208/I2208,0)</f>
        <v>0.61707805203469</v>
      </c>
    </row>
    <row r="2209" customFormat="false" ht="15" hidden="false" customHeight="false" outlineLevel="0" collapsed="false">
      <c r="A2209" s="2" t="s">
        <v>12</v>
      </c>
      <c r="B2209" s="2" t="s">
        <v>13</v>
      </c>
      <c r="C2209" s="2" t="s">
        <v>20</v>
      </c>
      <c r="D2209" s="2" t="s">
        <v>23</v>
      </c>
      <c r="E2209" s="3" t="n">
        <v>46204</v>
      </c>
      <c r="F2209" s="2" t="n">
        <v>29</v>
      </c>
      <c r="G2209" s="4" t="n">
        <v>39.99</v>
      </c>
      <c r="H2209" s="4" t="n">
        <v>16.77</v>
      </c>
      <c r="I2209" s="4" t="n">
        <f aca="false">F2209*G2209</f>
        <v>1159.71</v>
      </c>
      <c r="J2209" s="4" t="n">
        <f aca="false">F2209*H2209</f>
        <v>486.33</v>
      </c>
      <c r="K2209" s="4" t="n">
        <f aca="false">I2209-J2209</f>
        <v>673.38</v>
      </c>
      <c r="L2209" s="5" t="n">
        <f aca="false">IFERROR(K2209/I2209,0)</f>
        <v>0.580645161290323</v>
      </c>
    </row>
    <row r="2210" customFormat="false" ht="15" hidden="false" customHeight="false" outlineLevel="0" collapsed="false">
      <c r="A2210" s="2" t="s">
        <v>12</v>
      </c>
      <c r="B2210" s="2" t="s">
        <v>13</v>
      </c>
      <c r="C2210" s="2" t="s">
        <v>20</v>
      </c>
      <c r="D2210" s="2" t="s">
        <v>24</v>
      </c>
      <c r="E2210" s="3" t="n">
        <v>46204</v>
      </c>
      <c r="F2210" s="2" t="n">
        <v>13</v>
      </c>
      <c r="G2210" s="4" t="n">
        <v>18.99</v>
      </c>
      <c r="H2210" s="4" t="n">
        <v>7.79</v>
      </c>
      <c r="I2210" s="4" t="n">
        <f aca="false">F2210*G2210</f>
        <v>246.87</v>
      </c>
      <c r="J2210" s="4" t="n">
        <f aca="false">F2210*H2210</f>
        <v>101.27</v>
      </c>
      <c r="K2210" s="4" t="n">
        <f aca="false">I2210-J2210</f>
        <v>145.6</v>
      </c>
      <c r="L2210" s="5" t="n">
        <f aca="false">IFERROR(K2210/I2210,0)</f>
        <v>0.589784096893102</v>
      </c>
    </row>
    <row r="2211" customFormat="false" ht="15" hidden="false" customHeight="false" outlineLevel="0" collapsed="false">
      <c r="A2211" s="2" t="s">
        <v>12</v>
      </c>
      <c r="B2211" s="2" t="s">
        <v>13</v>
      </c>
      <c r="C2211" s="2" t="s">
        <v>20</v>
      </c>
      <c r="D2211" s="2" t="s">
        <v>25</v>
      </c>
      <c r="E2211" s="3" t="n">
        <v>46204</v>
      </c>
      <c r="F2211" s="2" t="n">
        <v>14</v>
      </c>
      <c r="G2211" s="4" t="n">
        <v>42.99</v>
      </c>
      <c r="H2211" s="4" t="n">
        <v>15.46</v>
      </c>
      <c r="I2211" s="4" t="n">
        <f aca="false">F2211*G2211</f>
        <v>601.86</v>
      </c>
      <c r="J2211" s="4" t="n">
        <f aca="false">F2211*H2211</f>
        <v>216.44</v>
      </c>
      <c r="K2211" s="4" t="n">
        <f aca="false">I2211-J2211</f>
        <v>385.42</v>
      </c>
      <c r="L2211" s="5" t="n">
        <f aca="false">IFERROR(K2211/I2211,0)</f>
        <v>0.640381484066062</v>
      </c>
    </row>
    <row r="2212" customFormat="false" ht="15" hidden="false" customHeight="false" outlineLevel="0" collapsed="false">
      <c r="A2212" s="2" t="s">
        <v>12</v>
      </c>
      <c r="B2212" s="2" t="s">
        <v>13</v>
      </c>
      <c r="C2212" s="2" t="s">
        <v>26</v>
      </c>
      <c r="D2212" s="2" t="s">
        <v>27</v>
      </c>
      <c r="E2212" s="3" t="n">
        <v>46204</v>
      </c>
      <c r="F2212" s="2" t="n">
        <v>12</v>
      </c>
      <c r="G2212" s="4" t="n">
        <v>44.99</v>
      </c>
      <c r="H2212" s="4" t="n">
        <v>27.57</v>
      </c>
      <c r="I2212" s="4" t="n">
        <f aca="false">F2212*G2212</f>
        <v>539.88</v>
      </c>
      <c r="J2212" s="4" t="n">
        <f aca="false">F2212*H2212</f>
        <v>330.84</v>
      </c>
      <c r="K2212" s="4" t="n">
        <f aca="false">I2212-J2212</f>
        <v>209.04</v>
      </c>
      <c r="L2212" s="5" t="n">
        <f aca="false">IFERROR(K2212/I2212,0)</f>
        <v>0.387197154923316</v>
      </c>
    </row>
    <row r="2213" customFormat="false" ht="15" hidden="false" customHeight="false" outlineLevel="0" collapsed="false">
      <c r="A2213" s="2" t="s">
        <v>12</v>
      </c>
      <c r="B2213" s="2" t="s">
        <v>13</v>
      </c>
      <c r="C2213" s="2" t="s">
        <v>26</v>
      </c>
      <c r="D2213" s="2" t="s">
        <v>28</v>
      </c>
      <c r="E2213" s="3" t="n">
        <v>46204</v>
      </c>
      <c r="F2213" s="2" t="n">
        <v>15</v>
      </c>
      <c r="G2213" s="4" t="n">
        <v>34.99</v>
      </c>
      <c r="H2213" s="4" t="n">
        <v>22.09</v>
      </c>
      <c r="I2213" s="4" t="n">
        <f aca="false">F2213*G2213</f>
        <v>524.85</v>
      </c>
      <c r="J2213" s="4" t="n">
        <f aca="false">F2213*H2213</f>
        <v>331.35</v>
      </c>
      <c r="K2213" s="4" t="n">
        <f aca="false">I2213-J2213</f>
        <v>193.5</v>
      </c>
      <c r="L2213" s="5" t="n">
        <f aca="false">IFERROR(K2213/I2213,0)</f>
        <v>0.36867676478994</v>
      </c>
    </row>
    <row r="2214" customFormat="false" ht="15" hidden="false" customHeight="false" outlineLevel="0" collapsed="false">
      <c r="A2214" s="2" t="s">
        <v>12</v>
      </c>
      <c r="B2214" s="2" t="s">
        <v>13</v>
      </c>
      <c r="C2214" s="2" t="s">
        <v>26</v>
      </c>
      <c r="D2214" s="2" t="s">
        <v>29</v>
      </c>
      <c r="E2214" s="3" t="n">
        <v>46204</v>
      </c>
      <c r="F2214" s="2" t="n">
        <v>14</v>
      </c>
      <c r="G2214" s="4" t="n">
        <v>119.99</v>
      </c>
      <c r="H2214" s="4" t="n">
        <v>80.32</v>
      </c>
      <c r="I2214" s="4" t="n">
        <f aca="false">F2214*G2214</f>
        <v>1679.86</v>
      </c>
      <c r="J2214" s="4" t="n">
        <f aca="false">F2214*H2214</f>
        <v>1124.48</v>
      </c>
      <c r="K2214" s="4" t="n">
        <f aca="false">I2214-J2214</f>
        <v>555.38</v>
      </c>
      <c r="L2214" s="5" t="n">
        <f aca="false">IFERROR(K2214/I2214,0)</f>
        <v>0.330610884240353</v>
      </c>
    </row>
    <row r="2215" customFormat="false" ht="15" hidden="false" customHeight="false" outlineLevel="0" collapsed="false">
      <c r="A2215" s="2" t="s">
        <v>12</v>
      </c>
      <c r="B2215" s="2" t="s">
        <v>13</v>
      </c>
      <c r="C2215" s="2" t="s">
        <v>26</v>
      </c>
      <c r="D2215" s="2" t="s">
        <v>30</v>
      </c>
      <c r="E2215" s="3" t="n">
        <v>46204</v>
      </c>
      <c r="F2215" s="2" t="n">
        <v>18</v>
      </c>
      <c r="G2215" s="4" t="n">
        <v>24.99</v>
      </c>
      <c r="H2215" s="4" t="n">
        <v>14.87</v>
      </c>
      <c r="I2215" s="4" t="n">
        <f aca="false">F2215*G2215</f>
        <v>449.82</v>
      </c>
      <c r="J2215" s="4" t="n">
        <f aca="false">F2215*H2215</f>
        <v>267.66</v>
      </c>
      <c r="K2215" s="4" t="n">
        <f aca="false">I2215-J2215</f>
        <v>182.16</v>
      </c>
      <c r="L2215" s="5" t="n">
        <f aca="false">IFERROR(K2215/I2215,0)</f>
        <v>0.404961984793918</v>
      </c>
    </row>
    <row r="2216" customFormat="false" ht="15" hidden="false" customHeight="false" outlineLevel="0" collapsed="false">
      <c r="A2216" s="2" t="s">
        <v>12</v>
      </c>
      <c r="B2216" s="2" t="s">
        <v>13</v>
      </c>
      <c r="C2216" s="2" t="s">
        <v>26</v>
      </c>
      <c r="D2216" s="2" t="s">
        <v>31</v>
      </c>
      <c r="E2216" s="3" t="n">
        <v>46204</v>
      </c>
      <c r="F2216" s="2" t="n">
        <v>15</v>
      </c>
      <c r="G2216" s="4" t="n">
        <v>59.99</v>
      </c>
      <c r="H2216" s="4" t="n">
        <v>38.32</v>
      </c>
      <c r="I2216" s="4" t="n">
        <f aca="false">F2216*G2216</f>
        <v>899.85</v>
      </c>
      <c r="J2216" s="4" t="n">
        <f aca="false">F2216*H2216</f>
        <v>574.8</v>
      </c>
      <c r="K2216" s="4" t="n">
        <f aca="false">I2216-J2216</f>
        <v>325.05</v>
      </c>
      <c r="L2216" s="5" t="n">
        <f aca="false">IFERROR(K2216/I2216,0)</f>
        <v>0.361226871145191</v>
      </c>
    </row>
    <row r="2217" customFormat="false" ht="15" hidden="false" customHeight="false" outlineLevel="0" collapsed="false">
      <c r="A2217" s="2" t="s">
        <v>12</v>
      </c>
      <c r="B2217" s="2" t="s">
        <v>13</v>
      </c>
      <c r="C2217" s="2" t="s">
        <v>32</v>
      </c>
      <c r="D2217" s="2" t="s">
        <v>33</v>
      </c>
      <c r="E2217" s="3" t="n">
        <v>46204</v>
      </c>
      <c r="F2217" s="2" t="n">
        <v>20</v>
      </c>
      <c r="G2217" s="4" t="n">
        <v>49.99</v>
      </c>
      <c r="H2217" s="4" t="n">
        <v>36.09</v>
      </c>
      <c r="I2217" s="4" t="n">
        <f aca="false">F2217*G2217</f>
        <v>999.8</v>
      </c>
      <c r="J2217" s="4" t="n">
        <f aca="false">F2217*H2217</f>
        <v>721.8</v>
      </c>
      <c r="K2217" s="4" t="n">
        <f aca="false">I2217-J2217</f>
        <v>278</v>
      </c>
      <c r="L2217" s="5" t="n">
        <f aca="false">IFERROR(K2217/I2217,0)</f>
        <v>0.278055611122224</v>
      </c>
    </row>
    <row r="2218" customFormat="false" ht="15" hidden="false" customHeight="false" outlineLevel="0" collapsed="false">
      <c r="A2218" s="2" t="s">
        <v>12</v>
      </c>
      <c r="B2218" s="2" t="s">
        <v>13</v>
      </c>
      <c r="C2218" s="2" t="s">
        <v>32</v>
      </c>
      <c r="D2218" s="2" t="s">
        <v>34</v>
      </c>
      <c r="E2218" s="3" t="n">
        <v>46204</v>
      </c>
      <c r="F2218" s="2" t="n">
        <v>23</v>
      </c>
      <c r="G2218" s="4" t="n">
        <v>27.99</v>
      </c>
      <c r="H2218" s="4" t="n">
        <v>20.08</v>
      </c>
      <c r="I2218" s="4" t="n">
        <f aca="false">F2218*G2218</f>
        <v>643.77</v>
      </c>
      <c r="J2218" s="4" t="n">
        <f aca="false">F2218*H2218</f>
        <v>461.84</v>
      </c>
      <c r="K2218" s="4" t="n">
        <f aca="false">I2218-J2218</f>
        <v>181.93</v>
      </c>
      <c r="L2218" s="5" t="n">
        <f aca="false">IFERROR(K2218/I2218,0)</f>
        <v>0.28260092890318</v>
      </c>
    </row>
    <row r="2219" customFormat="false" ht="15" hidden="false" customHeight="false" outlineLevel="0" collapsed="false">
      <c r="A2219" s="2" t="s">
        <v>12</v>
      </c>
      <c r="B2219" s="2" t="s">
        <v>13</v>
      </c>
      <c r="C2219" s="2" t="s">
        <v>32</v>
      </c>
      <c r="D2219" s="2" t="s">
        <v>35</v>
      </c>
      <c r="E2219" s="3" t="n">
        <v>46204</v>
      </c>
      <c r="F2219" s="2" t="n">
        <v>14</v>
      </c>
      <c r="G2219" s="4" t="n">
        <v>64.99</v>
      </c>
      <c r="H2219" s="4" t="n">
        <v>45.17</v>
      </c>
      <c r="I2219" s="4" t="n">
        <f aca="false">F2219*G2219</f>
        <v>909.86</v>
      </c>
      <c r="J2219" s="4" t="n">
        <f aca="false">F2219*H2219</f>
        <v>632.38</v>
      </c>
      <c r="K2219" s="4" t="n">
        <f aca="false">I2219-J2219</f>
        <v>277.48</v>
      </c>
      <c r="L2219" s="5" t="n">
        <f aca="false">IFERROR(K2219/I2219,0)</f>
        <v>0.304969995383905</v>
      </c>
    </row>
    <row r="2220" customFormat="false" ht="15" hidden="false" customHeight="false" outlineLevel="0" collapsed="false">
      <c r="A2220" s="2" t="s">
        <v>12</v>
      </c>
      <c r="B2220" s="2" t="s">
        <v>13</v>
      </c>
      <c r="C2220" s="2" t="s">
        <v>32</v>
      </c>
      <c r="D2220" s="2" t="s">
        <v>36</v>
      </c>
      <c r="E2220" s="3" t="n">
        <v>46204</v>
      </c>
      <c r="F2220" s="2" t="n">
        <v>8</v>
      </c>
      <c r="G2220" s="4" t="n">
        <v>22.99</v>
      </c>
      <c r="H2220" s="4" t="n">
        <v>17</v>
      </c>
      <c r="I2220" s="4" t="n">
        <f aca="false">F2220*G2220</f>
        <v>183.92</v>
      </c>
      <c r="J2220" s="4" t="n">
        <f aca="false">F2220*H2220</f>
        <v>136</v>
      </c>
      <c r="K2220" s="4" t="n">
        <f aca="false">I2220-J2220</f>
        <v>47.92</v>
      </c>
      <c r="L2220" s="5" t="n">
        <f aca="false">IFERROR(K2220/I2220,0)</f>
        <v>0.260548064375816</v>
      </c>
    </row>
    <row r="2221" customFormat="false" ht="15" hidden="false" customHeight="false" outlineLevel="0" collapsed="false">
      <c r="A2221" s="2" t="s">
        <v>12</v>
      </c>
      <c r="B2221" s="2" t="s">
        <v>13</v>
      </c>
      <c r="C2221" s="2" t="s">
        <v>32</v>
      </c>
      <c r="D2221" s="2" t="s">
        <v>37</v>
      </c>
      <c r="E2221" s="3" t="n">
        <v>46204</v>
      </c>
      <c r="F2221" s="2" t="n">
        <v>8</v>
      </c>
      <c r="G2221" s="4" t="n">
        <v>29.99</v>
      </c>
      <c r="H2221" s="4" t="n">
        <v>20.01</v>
      </c>
      <c r="I2221" s="4" t="n">
        <f aca="false">F2221*G2221</f>
        <v>239.92</v>
      </c>
      <c r="J2221" s="4" t="n">
        <f aca="false">F2221*H2221</f>
        <v>160.08</v>
      </c>
      <c r="K2221" s="4" t="n">
        <f aca="false">I2221-J2221</f>
        <v>79.84</v>
      </c>
      <c r="L2221" s="5" t="n">
        <f aca="false">IFERROR(K2221/I2221,0)</f>
        <v>0.332777592530844</v>
      </c>
    </row>
    <row r="2222" customFormat="false" ht="15" hidden="false" customHeight="false" outlineLevel="0" collapsed="false">
      <c r="A2222" s="2" t="s">
        <v>12</v>
      </c>
      <c r="B2222" s="2" t="s">
        <v>13</v>
      </c>
      <c r="C2222" s="2" t="s">
        <v>38</v>
      </c>
      <c r="D2222" s="2" t="s">
        <v>39</v>
      </c>
      <c r="E2222" s="3" t="n">
        <v>46204</v>
      </c>
      <c r="F2222" s="2" t="n">
        <v>27</v>
      </c>
      <c r="G2222" s="4" t="n">
        <v>129.99</v>
      </c>
      <c r="H2222" s="4" t="n">
        <v>75.8</v>
      </c>
      <c r="I2222" s="4" t="n">
        <f aca="false">F2222*G2222</f>
        <v>3509.73</v>
      </c>
      <c r="J2222" s="4" t="n">
        <f aca="false">F2222*H2222</f>
        <v>2046.6</v>
      </c>
      <c r="K2222" s="4" t="n">
        <f aca="false">I2222-J2222</f>
        <v>1463.13</v>
      </c>
      <c r="L2222" s="5" t="n">
        <f aca="false">IFERROR(K2222/I2222,0)</f>
        <v>0.416878221401646</v>
      </c>
    </row>
    <row r="2223" customFormat="false" ht="15" hidden="false" customHeight="false" outlineLevel="0" collapsed="false">
      <c r="A2223" s="2" t="s">
        <v>12</v>
      </c>
      <c r="B2223" s="2" t="s">
        <v>13</v>
      </c>
      <c r="C2223" s="2" t="s">
        <v>38</v>
      </c>
      <c r="D2223" s="2" t="s">
        <v>40</v>
      </c>
      <c r="E2223" s="3" t="n">
        <v>46204</v>
      </c>
      <c r="F2223" s="2" t="n">
        <v>14</v>
      </c>
      <c r="G2223" s="4" t="n">
        <v>74.99</v>
      </c>
      <c r="H2223" s="4" t="n">
        <v>41.33</v>
      </c>
      <c r="I2223" s="4" t="n">
        <f aca="false">F2223*G2223</f>
        <v>1049.86</v>
      </c>
      <c r="J2223" s="4" t="n">
        <f aca="false">F2223*H2223</f>
        <v>578.62</v>
      </c>
      <c r="K2223" s="4" t="n">
        <f aca="false">I2223-J2223</f>
        <v>471.24</v>
      </c>
      <c r="L2223" s="5" t="n">
        <f aca="false">IFERROR(K2223/I2223,0)</f>
        <v>0.448859847979731</v>
      </c>
    </row>
    <row r="2224" customFormat="false" ht="15" hidden="false" customHeight="false" outlineLevel="0" collapsed="false">
      <c r="A2224" s="2" t="s">
        <v>12</v>
      </c>
      <c r="B2224" s="2" t="s">
        <v>13</v>
      </c>
      <c r="C2224" s="2" t="s">
        <v>38</v>
      </c>
      <c r="D2224" s="2" t="s">
        <v>41</v>
      </c>
      <c r="E2224" s="3" t="n">
        <v>46204</v>
      </c>
      <c r="F2224" s="2" t="n">
        <v>19</v>
      </c>
      <c r="G2224" s="4" t="n">
        <v>19.99</v>
      </c>
      <c r="H2224" s="4" t="n">
        <v>9.78</v>
      </c>
      <c r="I2224" s="4" t="n">
        <f aca="false">F2224*G2224</f>
        <v>379.81</v>
      </c>
      <c r="J2224" s="4" t="n">
        <f aca="false">F2224*H2224</f>
        <v>185.82</v>
      </c>
      <c r="K2224" s="4" t="n">
        <f aca="false">I2224-J2224</f>
        <v>193.99</v>
      </c>
      <c r="L2224" s="5" t="n">
        <f aca="false">IFERROR(K2224/I2224,0)</f>
        <v>0.510755377688844</v>
      </c>
    </row>
    <row r="2225" customFormat="false" ht="15" hidden="false" customHeight="false" outlineLevel="0" collapsed="false">
      <c r="A2225" s="2" t="s">
        <v>12</v>
      </c>
      <c r="B2225" s="2" t="s">
        <v>13</v>
      </c>
      <c r="C2225" s="2" t="s">
        <v>38</v>
      </c>
      <c r="D2225" s="2" t="s">
        <v>42</v>
      </c>
      <c r="E2225" s="3" t="n">
        <v>46204</v>
      </c>
      <c r="F2225" s="2" t="n">
        <v>22</v>
      </c>
      <c r="G2225" s="4" t="n">
        <v>16.99</v>
      </c>
      <c r="H2225" s="4" t="n">
        <v>8.38</v>
      </c>
      <c r="I2225" s="4" t="n">
        <f aca="false">F2225*G2225</f>
        <v>373.78</v>
      </c>
      <c r="J2225" s="4" t="n">
        <f aca="false">F2225*H2225</f>
        <v>184.36</v>
      </c>
      <c r="K2225" s="4" t="n">
        <f aca="false">I2225-J2225</f>
        <v>189.42</v>
      </c>
      <c r="L2225" s="5" t="n">
        <f aca="false">IFERROR(K2225/I2225,0)</f>
        <v>0.506768687463214</v>
      </c>
    </row>
    <row r="2226" customFormat="false" ht="15" hidden="false" customHeight="false" outlineLevel="0" collapsed="false">
      <c r="A2226" s="2" t="s">
        <v>12</v>
      </c>
      <c r="B2226" s="2" t="s">
        <v>13</v>
      </c>
      <c r="C2226" s="2" t="s">
        <v>38</v>
      </c>
      <c r="D2226" s="2" t="s">
        <v>43</v>
      </c>
      <c r="E2226" s="3" t="n">
        <v>46204</v>
      </c>
      <c r="F2226" s="2" t="n">
        <v>13</v>
      </c>
      <c r="G2226" s="4" t="n">
        <v>24.99</v>
      </c>
      <c r="H2226" s="4" t="n">
        <v>12.93</v>
      </c>
      <c r="I2226" s="4" t="n">
        <f aca="false">F2226*G2226</f>
        <v>324.87</v>
      </c>
      <c r="J2226" s="4" t="n">
        <f aca="false">F2226*H2226</f>
        <v>168.09</v>
      </c>
      <c r="K2226" s="4" t="n">
        <f aca="false">I2226-J2226</f>
        <v>156.78</v>
      </c>
      <c r="L2226" s="5" t="n">
        <f aca="false">IFERROR(K2226/I2226,0)</f>
        <v>0.482593037214886</v>
      </c>
    </row>
    <row r="2227" customFormat="false" ht="15" hidden="false" customHeight="false" outlineLevel="0" collapsed="false">
      <c r="A2227" s="2" t="s">
        <v>44</v>
      </c>
      <c r="B2227" s="2" t="s">
        <v>45</v>
      </c>
      <c r="C2227" s="2" t="s">
        <v>14</v>
      </c>
      <c r="D2227" s="2" t="s">
        <v>15</v>
      </c>
      <c r="E2227" s="3" t="n">
        <v>46204</v>
      </c>
      <c r="F2227" s="2" t="n">
        <v>13</v>
      </c>
      <c r="G2227" s="4" t="n">
        <v>69.99</v>
      </c>
      <c r="H2227" s="4" t="n">
        <v>33.75</v>
      </c>
      <c r="I2227" s="4" t="n">
        <f aca="false">F2227*G2227</f>
        <v>909.87</v>
      </c>
      <c r="J2227" s="4" t="n">
        <f aca="false">F2227*H2227</f>
        <v>438.75</v>
      </c>
      <c r="K2227" s="4" t="n">
        <f aca="false">I2227-J2227</f>
        <v>471.12</v>
      </c>
      <c r="L2227" s="5" t="n">
        <f aca="false">IFERROR(K2227/I2227,0)</f>
        <v>0.517788255465066</v>
      </c>
    </row>
    <row r="2228" customFormat="false" ht="15" hidden="false" customHeight="false" outlineLevel="0" collapsed="false">
      <c r="A2228" s="2" t="s">
        <v>44</v>
      </c>
      <c r="B2228" s="2" t="s">
        <v>45</v>
      </c>
      <c r="C2228" s="2" t="s">
        <v>14</v>
      </c>
      <c r="D2228" s="2" t="s">
        <v>16</v>
      </c>
      <c r="E2228" s="3" t="n">
        <v>46204</v>
      </c>
      <c r="F2228" s="2" t="n">
        <v>17</v>
      </c>
      <c r="G2228" s="4" t="n">
        <v>19.99</v>
      </c>
      <c r="H2228" s="4" t="n">
        <v>8.88</v>
      </c>
      <c r="I2228" s="4" t="n">
        <f aca="false">F2228*G2228</f>
        <v>339.83</v>
      </c>
      <c r="J2228" s="4" t="n">
        <f aca="false">F2228*H2228</f>
        <v>150.96</v>
      </c>
      <c r="K2228" s="4" t="n">
        <f aca="false">I2228-J2228</f>
        <v>188.87</v>
      </c>
      <c r="L2228" s="5" t="n">
        <f aca="false">IFERROR(K2228/I2228,0)</f>
        <v>0.555777888944472</v>
      </c>
    </row>
    <row r="2229" customFormat="false" ht="15" hidden="false" customHeight="false" outlineLevel="0" collapsed="false">
      <c r="A2229" s="2" t="s">
        <v>44</v>
      </c>
      <c r="B2229" s="2" t="s">
        <v>45</v>
      </c>
      <c r="C2229" s="2" t="s">
        <v>14</v>
      </c>
      <c r="D2229" s="2" t="s">
        <v>17</v>
      </c>
      <c r="E2229" s="3" t="n">
        <v>46204</v>
      </c>
      <c r="F2229" s="2" t="n">
        <v>21</v>
      </c>
      <c r="G2229" s="4" t="n">
        <v>79.99</v>
      </c>
      <c r="H2229" s="4" t="n">
        <v>40.45</v>
      </c>
      <c r="I2229" s="4" t="n">
        <f aca="false">F2229*G2229</f>
        <v>1679.79</v>
      </c>
      <c r="J2229" s="4" t="n">
        <f aca="false">F2229*H2229</f>
        <v>849.45</v>
      </c>
      <c r="K2229" s="4" t="n">
        <f aca="false">I2229-J2229</f>
        <v>830.34</v>
      </c>
      <c r="L2229" s="5" t="n">
        <f aca="false">IFERROR(K2229/I2229,0)</f>
        <v>0.494311788973622</v>
      </c>
    </row>
    <row r="2230" customFormat="false" ht="15" hidden="false" customHeight="false" outlineLevel="0" collapsed="false">
      <c r="A2230" s="2" t="s">
        <v>44</v>
      </c>
      <c r="B2230" s="2" t="s">
        <v>45</v>
      </c>
      <c r="C2230" s="2" t="s">
        <v>14</v>
      </c>
      <c r="D2230" s="2" t="s">
        <v>18</v>
      </c>
      <c r="E2230" s="3" t="n">
        <v>46204</v>
      </c>
      <c r="F2230" s="2" t="n">
        <v>12</v>
      </c>
      <c r="G2230" s="4" t="n">
        <v>34.99</v>
      </c>
      <c r="H2230" s="4" t="n">
        <v>15.07</v>
      </c>
      <c r="I2230" s="4" t="n">
        <f aca="false">F2230*G2230</f>
        <v>419.88</v>
      </c>
      <c r="J2230" s="4" t="n">
        <f aca="false">F2230*H2230</f>
        <v>180.84</v>
      </c>
      <c r="K2230" s="4" t="n">
        <f aca="false">I2230-J2230</f>
        <v>239.04</v>
      </c>
      <c r="L2230" s="5" t="n">
        <f aca="false">IFERROR(K2230/I2230,0)</f>
        <v>0.569305515861675</v>
      </c>
    </row>
    <row r="2231" customFormat="false" ht="15" hidden="false" customHeight="false" outlineLevel="0" collapsed="false">
      <c r="A2231" s="2" t="s">
        <v>44</v>
      </c>
      <c r="B2231" s="2" t="s">
        <v>45</v>
      </c>
      <c r="C2231" s="2" t="s">
        <v>14</v>
      </c>
      <c r="D2231" s="2" t="s">
        <v>19</v>
      </c>
      <c r="E2231" s="3" t="n">
        <v>46204</v>
      </c>
      <c r="F2231" s="2" t="n">
        <v>16</v>
      </c>
      <c r="G2231" s="4" t="n">
        <v>54.99</v>
      </c>
      <c r="H2231" s="4" t="n">
        <v>24.81</v>
      </c>
      <c r="I2231" s="4" t="n">
        <f aca="false">F2231*G2231</f>
        <v>879.84</v>
      </c>
      <c r="J2231" s="4" t="n">
        <f aca="false">F2231*H2231</f>
        <v>396.96</v>
      </c>
      <c r="K2231" s="4" t="n">
        <f aca="false">I2231-J2231</f>
        <v>482.88</v>
      </c>
      <c r="L2231" s="5" t="n">
        <f aca="false">IFERROR(K2231/I2231,0)</f>
        <v>0.548827059465357</v>
      </c>
    </row>
    <row r="2232" customFormat="false" ht="15" hidden="false" customHeight="false" outlineLevel="0" collapsed="false">
      <c r="A2232" s="2" t="s">
        <v>44</v>
      </c>
      <c r="B2232" s="2" t="s">
        <v>45</v>
      </c>
      <c r="C2232" s="2" t="s">
        <v>20</v>
      </c>
      <c r="D2232" s="2" t="s">
        <v>21</v>
      </c>
      <c r="E2232" s="3" t="n">
        <v>46204</v>
      </c>
      <c r="F2232" s="2" t="n">
        <v>17</v>
      </c>
      <c r="G2232" s="4" t="n">
        <v>44.99</v>
      </c>
      <c r="H2232" s="4" t="n">
        <v>19.77</v>
      </c>
      <c r="I2232" s="4" t="n">
        <f aca="false">F2232*G2232</f>
        <v>764.83</v>
      </c>
      <c r="J2232" s="4" t="n">
        <f aca="false">F2232*H2232</f>
        <v>336.09</v>
      </c>
      <c r="K2232" s="4" t="n">
        <f aca="false">I2232-J2232</f>
        <v>428.74</v>
      </c>
      <c r="L2232" s="5" t="n">
        <f aca="false">IFERROR(K2232/I2232,0)</f>
        <v>0.560569015336742</v>
      </c>
    </row>
    <row r="2233" customFormat="false" ht="15" hidden="false" customHeight="false" outlineLevel="0" collapsed="false">
      <c r="A2233" s="2" t="s">
        <v>44</v>
      </c>
      <c r="B2233" s="2" t="s">
        <v>45</v>
      </c>
      <c r="C2233" s="2" t="s">
        <v>20</v>
      </c>
      <c r="D2233" s="2" t="s">
        <v>22</v>
      </c>
      <c r="E2233" s="3" t="n">
        <v>46204</v>
      </c>
      <c r="F2233" s="2" t="n">
        <v>21</v>
      </c>
      <c r="G2233" s="4" t="n">
        <v>14.99</v>
      </c>
      <c r="H2233" s="4" t="n">
        <v>5.75</v>
      </c>
      <c r="I2233" s="4" t="n">
        <f aca="false">F2233*G2233</f>
        <v>314.79</v>
      </c>
      <c r="J2233" s="4" t="n">
        <f aca="false">F2233*H2233</f>
        <v>120.75</v>
      </c>
      <c r="K2233" s="4" t="n">
        <f aca="false">I2233-J2233</f>
        <v>194.04</v>
      </c>
      <c r="L2233" s="5" t="n">
        <f aca="false">IFERROR(K2233/I2233,0)</f>
        <v>0.616410940627085</v>
      </c>
    </row>
    <row r="2234" customFormat="false" ht="15" hidden="false" customHeight="false" outlineLevel="0" collapsed="false">
      <c r="A2234" s="2" t="s">
        <v>44</v>
      </c>
      <c r="B2234" s="2" t="s">
        <v>45</v>
      </c>
      <c r="C2234" s="2" t="s">
        <v>20</v>
      </c>
      <c r="D2234" s="2" t="s">
        <v>23</v>
      </c>
      <c r="E2234" s="3" t="n">
        <v>46204</v>
      </c>
      <c r="F2234" s="2" t="n">
        <v>12</v>
      </c>
      <c r="G2234" s="4" t="n">
        <v>39.99</v>
      </c>
      <c r="H2234" s="4" t="n">
        <v>17.23</v>
      </c>
      <c r="I2234" s="4" t="n">
        <f aca="false">F2234*G2234</f>
        <v>479.88</v>
      </c>
      <c r="J2234" s="4" t="n">
        <f aca="false">F2234*H2234</f>
        <v>206.76</v>
      </c>
      <c r="K2234" s="4" t="n">
        <f aca="false">I2234-J2234</f>
        <v>273.12</v>
      </c>
      <c r="L2234" s="5" t="n">
        <f aca="false">IFERROR(K2234/I2234,0)</f>
        <v>0.569142285571393</v>
      </c>
    </row>
    <row r="2235" customFormat="false" ht="15" hidden="false" customHeight="false" outlineLevel="0" collapsed="false">
      <c r="A2235" s="2" t="s">
        <v>44</v>
      </c>
      <c r="B2235" s="2" t="s">
        <v>45</v>
      </c>
      <c r="C2235" s="2" t="s">
        <v>20</v>
      </c>
      <c r="D2235" s="2" t="s">
        <v>24</v>
      </c>
      <c r="E2235" s="3" t="n">
        <v>46204</v>
      </c>
      <c r="F2235" s="2" t="n">
        <v>25</v>
      </c>
      <c r="G2235" s="4" t="n">
        <v>18.99</v>
      </c>
      <c r="H2235" s="4" t="n">
        <v>7.46</v>
      </c>
      <c r="I2235" s="4" t="n">
        <f aca="false">F2235*G2235</f>
        <v>474.75</v>
      </c>
      <c r="J2235" s="4" t="n">
        <f aca="false">F2235*H2235</f>
        <v>186.5</v>
      </c>
      <c r="K2235" s="4" t="n">
        <f aca="false">I2235-J2235</f>
        <v>288.25</v>
      </c>
      <c r="L2235" s="5" t="n">
        <f aca="false">IFERROR(K2235/I2235,0)</f>
        <v>0.607161664033702</v>
      </c>
    </row>
    <row r="2236" customFormat="false" ht="15" hidden="false" customHeight="false" outlineLevel="0" collapsed="false">
      <c r="A2236" s="2" t="s">
        <v>44</v>
      </c>
      <c r="B2236" s="2" t="s">
        <v>45</v>
      </c>
      <c r="C2236" s="2" t="s">
        <v>20</v>
      </c>
      <c r="D2236" s="2" t="s">
        <v>25</v>
      </c>
      <c r="E2236" s="3" t="n">
        <v>46204</v>
      </c>
      <c r="F2236" s="2" t="n">
        <v>16</v>
      </c>
      <c r="G2236" s="4" t="n">
        <v>42.99</v>
      </c>
      <c r="H2236" s="4" t="n">
        <v>15.92</v>
      </c>
      <c r="I2236" s="4" t="n">
        <f aca="false">F2236*G2236</f>
        <v>687.84</v>
      </c>
      <c r="J2236" s="4" t="n">
        <f aca="false">F2236*H2236</f>
        <v>254.72</v>
      </c>
      <c r="K2236" s="4" t="n">
        <f aca="false">I2236-J2236</f>
        <v>433.12</v>
      </c>
      <c r="L2236" s="5" t="n">
        <f aca="false">IFERROR(K2236/I2236,0)</f>
        <v>0.629681321237497</v>
      </c>
    </row>
    <row r="2237" customFormat="false" ht="15" hidden="false" customHeight="false" outlineLevel="0" collapsed="false">
      <c r="A2237" s="2" t="s">
        <v>44</v>
      </c>
      <c r="B2237" s="2" t="s">
        <v>45</v>
      </c>
      <c r="C2237" s="2" t="s">
        <v>26</v>
      </c>
      <c r="D2237" s="2" t="s">
        <v>27</v>
      </c>
      <c r="E2237" s="3" t="n">
        <v>46204</v>
      </c>
      <c r="F2237" s="2" t="n">
        <v>20</v>
      </c>
      <c r="G2237" s="4" t="n">
        <v>44.99</v>
      </c>
      <c r="H2237" s="4" t="n">
        <v>27.2</v>
      </c>
      <c r="I2237" s="4" t="n">
        <f aca="false">F2237*G2237</f>
        <v>899.8</v>
      </c>
      <c r="J2237" s="4" t="n">
        <f aca="false">F2237*H2237</f>
        <v>544</v>
      </c>
      <c r="K2237" s="4" t="n">
        <f aca="false">I2237-J2237</f>
        <v>355.8</v>
      </c>
      <c r="L2237" s="5" t="n">
        <f aca="false">IFERROR(K2237/I2237,0)</f>
        <v>0.395421204712158</v>
      </c>
    </row>
    <row r="2238" customFormat="false" ht="15" hidden="false" customHeight="false" outlineLevel="0" collapsed="false">
      <c r="A2238" s="2" t="s">
        <v>44</v>
      </c>
      <c r="B2238" s="2" t="s">
        <v>45</v>
      </c>
      <c r="C2238" s="2" t="s">
        <v>26</v>
      </c>
      <c r="D2238" s="2" t="s">
        <v>28</v>
      </c>
      <c r="E2238" s="3" t="n">
        <v>46204</v>
      </c>
      <c r="F2238" s="2" t="n">
        <v>16</v>
      </c>
      <c r="G2238" s="4" t="n">
        <v>34.99</v>
      </c>
      <c r="H2238" s="4" t="n">
        <v>23.06</v>
      </c>
      <c r="I2238" s="4" t="n">
        <f aca="false">F2238*G2238</f>
        <v>559.84</v>
      </c>
      <c r="J2238" s="4" t="n">
        <f aca="false">F2238*H2238</f>
        <v>368.96</v>
      </c>
      <c r="K2238" s="4" t="n">
        <f aca="false">I2238-J2238</f>
        <v>190.88</v>
      </c>
      <c r="L2238" s="5" t="n">
        <f aca="false">IFERROR(K2238/I2238,0)</f>
        <v>0.34095455844527</v>
      </c>
    </row>
    <row r="2239" customFormat="false" ht="15" hidden="false" customHeight="false" outlineLevel="0" collapsed="false">
      <c r="A2239" s="2" t="s">
        <v>44</v>
      </c>
      <c r="B2239" s="2" t="s">
        <v>45</v>
      </c>
      <c r="C2239" s="2" t="s">
        <v>26</v>
      </c>
      <c r="D2239" s="2" t="s">
        <v>29</v>
      </c>
      <c r="E2239" s="3" t="n">
        <v>46204</v>
      </c>
      <c r="F2239" s="2" t="n">
        <v>17</v>
      </c>
      <c r="G2239" s="4" t="n">
        <v>119.99</v>
      </c>
      <c r="H2239" s="4" t="n">
        <v>79.63</v>
      </c>
      <c r="I2239" s="4" t="n">
        <f aca="false">F2239*G2239</f>
        <v>2039.83</v>
      </c>
      <c r="J2239" s="4" t="n">
        <f aca="false">F2239*H2239</f>
        <v>1353.71</v>
      </c>
      <c r="K2239" s="4" t="n">
        <f aca="false">I2239-J2239</f>
        <v>686.12</v>
      </c>
      <c r="L2239" s="5" t="n">
        <f aca="false">IFERROR(K2239/I2239,0)</f>
        <v>0.336361363446954</v>
      </c>
    </row>
    <row r="2240" customFormat="false" ht="15" hidden="false" customHeight="false" outlineLevel="0" collapsed="false">
      <c r="A2240" s="2" t="s">
        <v>44</v>
      </c>
      <c r="B2240" s="2" t="s">
        <v>45</v>
      </c>
      <c r="C2240" s="2" t="s">
        <v>26</v>
      </c>
      <c r="D2240" s="2" t="s">
        <v>30</v>
      </c>
      <c r="E2240" s="3" t="n">
        <v>46204</v>
      </c>
      <c r="F2240" s="2" t="n">
        <v>13</v>
      </c>
      <c r="G2240" s="4" t="n">
        <v>24.99</v>
      </c>
      <c r="H2240" s="4" t="n">
        <v>15.19</v>
      </c>
      <c r="I2240" s="4" t="n">
        <f aca="false">F2240*G2240</f>
        <v>324.87</v>
      </c>
      <c r="J2240" s="4" t="n">
        <f aca="false">F2240*H2240</f>
        <v>197.47</v>
      </c>
      <c r="K2240" s="4" t="n">
        <f aca="false">I2240-J2240</f>
        <v>127.4</v>
      </c>
      <c r="L2240" s="5" t="n">
        <f aca="false">IFERROR(K2240/I2240,0)</f>
        <v>0.392156862745098</v>
      </c>
    </row>
    <row r="2241" customFormat="false" ht="15" hidden="false" customHeight="false" outlineLevel="0" collapsed="false">
      <c r="A2241" s="2" t="s">
        <v>44</v>
      </c>
      <c r="B2241" s="2" t="s">
        <v>45</v>
      </c>
      <c r="C2241" s="2" t="s">
        <v>26</v>
      </c>
      <c r="D2241" s="2" t="s">
        <v>31</v>
      </c>
      <c r="E2241" s="3" t="n">
        <v>46204</v>
      </c>
      <c r="F2241" s="2" t="n">
        <v>23</v>
      </c>
      <c r="G2241" s="4" t="n">
        <v>59.99</v>
      </c>
      <c r="H2241" s="4" t="n">
        <v>38.27</v>
      </c>
      <c r="I2241" s="4" t="n">
        <f aca="false">F2241*G2241</f>
        <v>1379.77</v>
      </c>
      <c r="J2241" s="4" t="n">
        <f aca="false">F2241*H2241</f>
        <v>880.21</v>
      </c>
      <c r="K2241" s="4" t="n">
        <f aca="false">I2241-J2241</f>
        <v>499.56</v>
      </c>
      <c r="L2241" s="5" t="n">
        <f aca="false">IFERROR(K2241/I2241,0)</f>
        <v>0.362060343390565</v>
      </c>
    </row>
    <row r="2242" customFormat="false" ht="15" hidden="false" customHeight="false" outlineLevel="0" collapsed="false">
      <c r="A2242" s="2" t="s">
        <v>44</v>
      </c>
      <c r="B2242" s="2" t="s">
        <v>45</v>
      </c>
      <c r="C2242" s="2" t="s">
        <v>32</v>
      </c>
      <c r="D2242" s="2" t="s">
        <v>33</v>
      </c>
      <c r="E2242" s="3" t="n">
        <v>46204</v>
      </c>
      <c r="F2242" s="2" t="n">
        <v>20</v>
      </c>
      <c r="G2242" s="4" t="n">
        <v>49.99</v>
      </c>
      <c r="H2242" s="4" t="n">
        <v>35.25</v>
      </c>
      <c r="I2242" s="4" t="n">
        <f aca="false">F2242*G2242</f>
        <v>999.8</v>
      </c>
      <c r="J2242" s="4" t="n">
        <f aca="false">F2242*H2242</f>
        <v>705</v>
      </c>
      <c r="K2242" s="4" t="n">
        <f aca="false">I2242-J2242</f>
        <v>294.8</v>
      </c>
      <c r="L2242" s="5" t="n">
        <f aca="false">IFERROR(K2242/I2242,0)</f>
        <v>0.294858971794359</v>
      </c>
    </row>
    <row r="2243" customFormat="false" ht="15" hidden="false" customHeight="false" outlineLevel="0" collapsed="false">
      <c r="A2243" s="2" t="s">
        <v>44</v>
      </c>
      <c r="B2243" s="2" t="s">
        <v>45</v>
      </c>
      <c r="C2243" s="2" t="s">
        <v>32</v>
      </c>
      <c r="D2243" s="2" t="s">
        <v>34</v>
      </c>
      <c r="E2243" s="3" t="n">
        <v>46204</v>
      </c>
      <c r="F2243" s="2" t="n">
        <v>8</v>
      </c>
      <c r="G2243" s="4" t="n">
        <v>27.99</v>
      </c>
      <c r="H2243" s="4" t="n">
        <v>19.32</v>
      </c>
      <c r="I2243" s="4" t="n">
        <f aca="false">F2243*G2243</f>
        <v>223.92</v>
      </c>
      <c r="J2243" s="4" t="n">
        <f aca="false">F2243*H2243</f>
        <v>154.56</v>
      </c>
      <c r="K2243" s="4" t="n">
        <f aca="false">I2243-J2243</f>
        <v>69.36</v>
      </c>
      <c r="L2243" s="5" t="n">
        <f aca="false">IFERROR(K2243/I2243,0)</f>
        <v>0.309753483386924</v>
      </c>
    </row>
    <row r="2244" customFormat="false" ht="15" hidden="false" customHeight="false" outlineLevel="0" collapsed="false">
      <c r="A2244" s="2" t="s">
        <v>44</v>
      </c>
      <c r="B2244" s="2" t="s">
        <v>45</v>
      </c>
      <c r="C2244" s="2" t="s">
        <v>32</v>
      </c>
      <c r="D2244" s="2" t="s">
        <v>35</v>
      </c>
      <c r="E2244" s="3" t="n">
        <v>46204</v>
      </c>
      <c r="F2244" s="2" t="n">
        <v>21</v>
      </c>
      <c r="G2244" s="4" t="n">
        <v>64.99</v>
      </c>
      <c r="H2244" s="4" t="n">
        <v>45.65</v>
      </c>
      <c r="I2244" s="4" t="n">
        <f aca="false">F2244*G2244</f>
        <v>1364.79</v>
      </c>
      <c r="J2244" s="4" t="n">
        <f aca="false">F2244*H2244</f>
        <v>958.65</v>
      </c>
      <c r="K2244" s="4" t="n">
        <f aca="false">I2244-J2244</f>
        <v>406.14</v>
      </c>
      <c r="L2244" s="5" t="n">
        <f aca="false">IFERROR(K2244/I2244,0)</f>
        <v>0.297584243729805</v>
      </c>
    </row>
    <row r="2245" customFormat="false" ht="15" hidden="false" customHeight="false" outlineLevel="0" collapsed="false">
      <c r="A2245" s="2" t="s">
        <v>44</v>
      </c>
      <c r="B2245" s="2" t="s">
        <v>45</v>
      </c>
      <c r="C2245" s="2" t="s">
        <v>32</v>
      </c>
      <c r="D2245" s="2" t="s">
        <v>36</v>
      </c>
      <c r="E2245" s="3" t="n">
        <v>46204</v>
      </c>
      <c r="F2245" s="2" t="n">
        <v>16</v>
      </c>
      <c r="G2245" s="4" t="n">
        <v>22.99</v>
      </c>
      <c r="H2245" s="4" t="n">
        <v>17.21</v>
      </c>
      <c r="I2245" s="4" t="n">
        <f aca="false">F2245*G2245</f>
        <v>367.84</v>
      </c>
      <c r="J2245" s="4" t="n">
        <f aca="false">F2245*H2245</f>
        <v>275.36</v>
      </c>
      <c r="K2245" s="4" t="n">
        <f aca="false">I2245-J2245</f>
        <v>92.48</v>
      </c>
      <c r="L2245" s="5" t="n">
        <f aca="false">IFERROR(K2245/I2245,0)</f>
        <v>0.251413658112223</v>
      </c>
    </row>
    <row r="2246" customFormat="false" ht="15" hidden="false" customHeight="false" outlineLevel="0" collapsed="false">
      <c r="A2246" s="2" t="s">
        <v>44</v>
      </c>
      <c r="B2246" s="2" t="s">
        <v>45</v>
      </c>
      <c r="C2246" s="2" t="s">
        <v>32</v>
      </c>
      <c r="D2246" s="2" t="s">
        <v>37</v>
      </c>
      <c r="E2246" s="3" t="n">
        <v>46204</v>
      </c>
      <c r="F2246" s="2" t="n">
        <v>19</v>
      </c>
      <c r="G2246" s="4" t="n">
        <v>29.99</v>
      </c>
      <c r="H2246" s="4" t="n">
        <v>20.66</v>
      </c>
      <c r="I2246" s="4" t="n">
        <f aca="false">F2246*G2246</f>
        <v>569.81</v>
      </c>
      <c r="J2246" s="4" t="n">
        <f aca="false">F2246*H2246</f>
        <v>392.54</v>
      </c>
      <c r="K2246" s="4" t="n">
        <f aca="false">I2246-J2246</f>
        <v>177.27</v>
      </c>
      <c r="L2246" s="5" t="n">
        <f aca="false">IFERROR(K2246/I2246,0)</f>
        <v>0.311103701233745</v>
      </c>
    </row>
    <row r="2247" customFormat="false" ht="15" hidden="false" customHeight="false" outlineLevel="0" collapsed="false">
      <c r="A2247" s="2" t="s">
        <v>44</v>
      </c>
      <c r="B2247" s="2" t="s">
        <v>45</v>
      </c>
      <c r="C2247" s="2" t="s">
        <v>38</v>
      </c>
      <c r="D2247" s="2" t="s">
        <v>39</v>
      </c>
      <c r="E2247" s="3" t="n">
        <v>46204</v>
      </c>
      <c r="F2247" s="2" t="n">
        <v>21</v>
      </c>
      <c r="G2247" s="4" t="n">
        <v>129.99</v>
      </c>
      <c r="H2247" s="4" t="n">
        <v>73.64</v>
      </c>
      <c r="I2247" s="4" t="n">
        <f aca="false">F2247*G2247</f>
        <v>2729.79</v>
      </c>
      <c r="J2247" s="4" t="n">
        <f aca="false">F2247*H2247</f>
        <v>1546.44</v>
      </c>
      <c r="K2247" s="4" t="n">
        <f aca="false">I2247-J2247</f>
        <v>1183.35</v>
      </c>
      <c r="L2247" s="5" t="n">
        <f aca="false">IFERROR(K2247/I2247,0)</f>
        <v>0.433494884221863</v>
      </c>
    </row>
    <row r="2248" customFormat="false" ht="15" hidden="false" customHeight="false" outlineLevel="0" collapsed="false">
      <c r="A2248" s="2" t="s">
        <v>44</v>
      </c>
      <c r="B2248" s="2" t="s">
        <v>45</v>
      </c>
      <c r="C2248" s="2" t="s">
        <v>38</v>
      </c>
      <c r="D2248" s="2" t="s">
        <v>40</v>
      </c>
      <c r="E2248" s="3" t="n">
        <v>46204</v>
      </c>
      <c r="F2248" s="2" t="n">
        <v>17</v>
      </c>
      <c r="G2248" s="4" t="n">
        <v>74.99</v>
      </c>
      <c r="H2248" s="4" t="n">
        <v>41.13</v>
      </c>
      <c r="I2248" s="4" t="n">
        <f aca="false">F2248*G2248</f>
        <v>1274.83</v>
      </c>
      <c r="J2248" s="4" t="n">
        <f aca="false">F2248*H2248</f>
        <v>699.21</v>
      </c>
      <c r="K2248" s="4" t="n">
        <f aca="false">I2248-J2248</f>
        <v>575.62</v>
      </c>
      <c r="L2248" s="5" t="n">
        <f aca="false">IFERROR(K2248/I2248,0)</f>
        <v>0.451526870249367</v>
      </c>
    </row>
    <row r="2249" customFormat="false" ht="15" hidden="false" customHeight="false" outlineLevel="0" collapsed="false">
      <c r="A2249" s="2" t="s">
        <v>44</v>
      </c>
      <c r="B2249" s="2" t="s">
        <v>45</v>
      </c>
      <c r="C2249" s="2" t="s">
        <v>38</v>
      </c>
      <c r="D2249" s="2" t="s">
        <v>41</v>
      </c>
      <c r="E2249" s="3" t="n">
        <v>46204</v>
      </c>
      <c r="F2249" s="2" t="n">
        <v>20</v>
      </c>
      <c r="G2249" s="4" t="n">
        <v>19.99</v>
      </c>
      <c r="H2249" s="4" t="n">
        <v>9.43</v>
      </c>
      <c r="I2249" s="4" t="n">
        <f aca="false">F2249*G2249</f>
        <v>399.8</v>
      </c>
      <c r="J2249" s="4" t="n">
        <f aca="false">F2249*H2249</f>
        <v>188.6</v>
      </c>
      <c r="K2249" s="4" t="n">
        <f aca="false">I2249-J2249</f>
        <v>211.2</v>
      </c>
      <c r="L2249" s="5" t="n">
        <f aca="false">IFERROR(K2249/I2249,0)</f>
        <v>0.528264132066033</v>
      </c>
    </row>
    <row r="2250" customFormat="false" ht="15" hidden="false" customHeight="false" outlineLevel="0" collapsed="false">
      <c r="A2250" s="2" t="s">
        <v>44</v>
      </c>
      <c r="B2250" s="2" t="s">
        <v>45</v>
      </c>
      <c r="C2250" s="2" t="s">
        <v>38</v>
      </c>
      <c r="D2250" s="2" t="s">
        <v>42</v>
      </c>
      <c r="E2250" s="3" t="n">
        <v>46204</v>
      </c>
      <c r="F2250" s="2" t="n">
        <v>9</v>
      </c>
      <c r="G2250" s="4" t="n">
        <v>16.99</v>
      </c>
      <c r="H2250" s="4" t="n">
        <v>8.69</v>
      </c>
      <c r="I2250" s="4" t="n">
        <f aca="false">F2250*G2250</f>
        <v>152.91</v>
      </c>
      <c r="J2250" s="4" t="n">
        <f aca="false">F2250*H2250</f>
        <v>78.21</v>
      </c>
      <c r="K2250" s="4" t="n">
        <f aca="false">I2250-J2250</f>
        <v>74.7</v>
      </c>
      <c r="L2250" s="5" t="n">
        <f aca="false">IFERROR(K2250/I2250,0)</f>
        <v>0.488522660388464</v>
      </c>
    </row>
    <row r="2251" customFormat="false" ht="15" hidden="false" customHeight="false" outlineLevel="0" collapsed="false">
      <c r="A2251" s="2" t="s">
        <v>44</v>
      </c>
      <c r="B2251" s="2" t="s">
        <v>45</v>
      </c>
      <c r="C2251" s="2" t="s">
        <v>38</v>
      </c>
      <c r="D2251" s="2" t="s">
        <v>43</v>
      </c>
      <c r="E2251" s="3" t="n">
        <v>46204</v>
      </c>
      <c r="F2251" s="2" t="n">
        <v>13</v>
      </c>
      <c r="G2251" s="4" t="n">
        <v>24.99</v>
      </c>
      <c r="H2251" s="4" t="n">
        <v>12.96</v>
      </c>
      <c r="I2251" s="4" t="n">
        <f aca="false">F2251*G2251</f>
        <v>324.87</v>
      </c>
      <c r="J2251" s="4" t="n">
        <f aca="false">F2251*H2251</f>
        <v>168.48</v>
      </c>
      <c r="K2251" s="4" t="n">
        <f aca="false">I2251-J2251</f>
        <v>156.39</v>
      </c>
      <c r="L2251" s="5" t="n">
        <f aca="false">IFERROR(K2251/I2251,0)</f>
        <v>0.481392557022809</v>
      </c>
    </row>
    <row r="2252" customFormat="false" ht="15" hidden="false" customHeight="false" outlineLevel="0" collapsed="false">
      <c r="A2252" s="2" t="s">
        <v>44</v>
      </c>
      <c r="B2252" s="2" t="s">
        <v>46</v>
      </c>
      <c r="C2252" s="2" t="s">
        <v>14</v>
      </c>
      <c r="D2252" s="2" t="s">
        <v>15</v>
      </c>
      <c r="E2252" s="3" t="n">
        <v>46204</v>
      </c>
      <c r="F2252" s="2" t="n">
        <v>7</v>
      </c>
      <c r="G2252" s="4" t="n">
        <v>69.99</v>
      </c>
      <c r="H2252" s="4" t="n">
        <v>33.07</v>
      </c>
      <c r="I2252" s="4" t="n">
        <f aca="false">F2252*G2252</f>
        <v>489.93</v>
      </c>
      <c r="J2252" s="4" t="n">
        <f aca="false">F2252*H2252</f>
        <v>231.49</v>
      </c>
      <c r="K2252" s="4" t="n">
        <f aca="false">I2252-J2252</f>
        <v>258.44</v>
      </c>
      <c r="L2252" s="5" t="n">
        <f aca="false">IFERROR(K2252/I2252,0)</f>
        <v>0.527503929132733</v>
      </c>
    </row>
    <row r="2253" customFormat="false" ht="15" hidden="false" customHeight="false" outlineLevel="0" collapsed="false">
      <c r="A2253" s="2" t="s">
        <v>44</v>
      </c>
      <c r="B2253" s="2" t="s">
        <v>46</v>
      </c>
      <c r="C2253" s="2" t="s">
        <v>14</v>
      </c>
      <c r="D2253" s="2" t="s">
        <v>16</v>
      </c>
      <c r="E2253" s="3" t="n">
        <v>46204</v>
      </c>
      <c r="F2253" s="2" t="n">
        <v>15</v>
      </c>
      <c r="G2253" s="4" t="n">
        <v>19.99</v>
      </c>
      <c r="H2253" s="4" t="n">
        <v>8.86</v>
      </c>
      <c r="I2253" s="4" t="n">
        <f aca="false">F2253*G2253</f>
        <v>299.85</v>
      </c>
      <c r="J2253" s="4" t="n">
        <f aca="false">F2253*H2253</f>
        <v>132.9</v>
      </c>
      <c r="K2253" s="4" t="n">
        <f aca="false">I2253-J2253</f>
        <v>166.95</v>
      </c>
      <c r="L2253" s="5" t="n">
        <f aca="false">IFERROR(K2253/I2253,0)</f>
        <v>0.556778389194597</v>
      </c>
    </row>
    <row r="2254" customFormat="false" ht="15" hidden="false" customHeight="false" outlineLevel="0" collapsed="false">
      <c r="A2254" s="2" t="s">
        <v>44</v>
      </c>
      <c r="B2254" s="2" t="s">
        <v>46</v>
      </c>
      <c r="C2254" s="2" t="s">
        <v>14</v>
      </c>
      <c r="D2254" s="2" t="s">
        <v>17</v>
      </c>
      <c r="E2254" s="3" t="n">
        <v>46204</v>
      </c>
      <c r="F2254" s="2" t="n">
        <v>8</v>
      </c>
      <c r="G2254" s="4" t="n">
        <v>79.99</v>
      </c>
      <c r="H2254" s="4" t="n">
        <v>40.83</v>
      </c>
      <c r="I2254" s="4" t="n">
        <f aca="false">F2254*G2254</f>
        <v>639.92</v>
      </c>
      <c r="J2254" s="4" t="n">
        <f aca="false">F2254*H2254</f>
        <v>326.64</v>
      </c>
      <c r="K2254" s="4" t="n">
        <f aca="false">I2254-J2254</f>
        <v>313.28</v>
      </c>
      <c r="L2254" s="5" t="n">
        <f aca="false">IFERROR(K2254/I2254,0)</f>
        <v>0.489561195149394</v>
      </c>
    </row>
    <row r="2255" customFormat="false" ht="15" hidden="false" customHeight="false" outlineLevel="0" collapsed="false">
      <c r="A2255" s="2" t="s">
        <v>44</v>
      </c>
      <c r="B2255" s="2" t="s">
        <v>46</v>
      </c>
      <c r="C2255" s="2" t="s">
        <v>14</v>
      </c>
      <c r="D2255" s="2" t="s">
        <v>18</v>
      </c>
      <c r="E2255" s="3" t="n">
        <v>46204</v>
      </c>
      <c r="F2255" s="2" t="n">
        <v>12</v>
      </c>
      <c r="G2255" s="4" t="n">
        <v>34.99</v>
      </c>
      <c r="H2255" s="4" t="n">
        <v>14.29</v>
      </c>
      <c r="I2255" s="4" t="n">
        <f aca="false">F2255*G2255</f>
        <v>419.88</v>
      </c>
      <c r="J2255" s="4" t="n">
        <f aca="false">F2255*H2255</f>
        <v>171.48</v>
      </c>
      <c r="K2255" s="4" t="n">
        <f aca="false">I2255-J2255</f>
        <v>248.4</v>
      </c>
      <c r="L2255" s="5" t="n">
        <f aca="false">IFERROR(K2255/I2255,0)</f>
        <v>0.59159759931409</v>
      </c>
    </row>
    <row r="2256" customFormat="false" ht="15" hidden="false" customHeight="false" outlineLevel="0" collapsed="false">
      <c r="A2256" s="2" t="s">
        <v>44</v>
      </c>
      <c r="B2256" s="2" t="s">
        <v>46</v>
      </c>
      <c r="C2256" s="2" t="s">
        <v>14</v>
      </c>
      <c r="D2256" s="2" t="s">
        <v>19</v>
      </c>
      <c r="E2256" s="3" t="n">
        <v>46204</v>
      </c>
      <c r="F2256" s="2" t="n">
        <v>13</v>
      </c>
      <c r="G2256" s="4" t="n">
        <v>54.99</v>
      </c>
      <c r="H2256" s="4" t="n">
        <v>23.72</v>
      </c>
      <c r="I2256" s="4" t="n">
        <f aca="false">F2256*G2256</f>
        <v>714.87</v>
      </c>
      <c r="J2256" s="4" t="n">
        <f aca="false">F2256*H2256</f>
        <v>308.36</v>
      </c>
      <c r="K2256" s="4" t="n">
        <f aca="false">I2256-J2256</f>
        <v>406.51</v>
      </c>
      <c r="L2256" s="5" t="n">
        <f aca="false">IFERROR(K2256/I2256,0)</f>
        <v>0.56864884524459</v>
      </c>
    </row>
    <row r="2257" customFormat="false" ht="15" hidden="false" customHeight="false" outlineLevel="0" collapsed="false">
      <c r="A2257" s="2" t="s">
        <v>44</v>
      </c>
      <c r="B2257" s="2" t="s">
        <v>46</v>
      </c>
      <c r="C2257" s="2" t="s">
        <v>20</v>
      </c>
      <c r="D2257" s="2" t="s">
        <v>21</v>
      </c>
      <c r="E2257" s="3" t="n">
        <v>46204</v>
      </c>
      <c r="F2257" s="2" t="n">
        <v>12</v>
      </c>
      <c r="G2257" s="4" t="n">
        <v>44.99</v>
      </c>
      <c r="H2257" s="4" t="n">
        <v>19.99</v>
      </c>
      <c r="I2257" s="4" t="n">
        <f aca="false">F2257*G2257</f>
        <v>539.88</v>
      </c>
      <c r="J2257" s="4" t="n">
        <f aca="false">F2257*H2257</f>
        <v>239.88</v>
      </c>
      <c r="K2257" s="4" t="n">
        <f aca="false">I2257-J2257</f>
        <v>300</v>
      </c>
      <c r="L2257" s="5" t="n">
        <f aca="false">IFERROR(K2257/I2257,0)</f>
        <v>0.555679039786619</v>
      </c>
    </row>
    <row r="2258" customFormat="false" ht="15" hidden="false" customHeight="false" outlineLevel="0" collapsed="false">
      <c r="A2258" s="2" t="s">
        <v>44</v>
      </c>
      <c r="B2258" s="2" t="s">
        <v>46</v>
      </c>
      <c r="C2258" s="2" t="s">
        <v>20</v>
      </c>
      <c r="D2258" s="2" t="s">
        <v>22</v>
      </c>
      <c r="E2258" s="3" t="n">
        <v>46204</v>
      </c>
      <c r="F2258" s="2" t="n">
        <v>9</v>
      </c>
      <c r="G2258" s="4" t="n">
        <v>14.99</v>
      </c>
      <c r="H2258" s="4" t="n">
        <v>5.84</v>
      </c>
      <c r="I2258" s="4" t="n">
        <f aca="false">F2258*G2258</f>
        <v>134.91</v>
      </c>
      <c r="J2258" s="4" t="n">
        <f aca="false">F2258*H2258</f>
        <v>52.56</v>
      </c>
      <c r="K2258" s="4" t="n">
        <f aca="false">I2258-J2258</f>
        <v>82.35</v>
      </c>
      <c r="L2258" s="5" t="n">
        <f aca="false">IFERROR(K2258/I2258,0)</f>
        <v>0.610406937958639</v>
      </c>
    </row>
    <row r="2259" customFormat="false" ht="15" hidden="false" customHeight="false" outlineLevel="0" collapsed="false">
      <c r="A2259" s="2" t="s">
        <v>44</v>
      </c>
      <c r="B2259" s="2" t="s">
        <v>46</v>
      </c>
      <c r="C2259" s="2" t="s">
        <v>20</v>
      </c>
      <c r="D2259" s="2" t="s">
        <v>23</v>
      </c>
      <c r="E2259" s="3" t="n">
        <v>46204</v>
      </c>
      <c r="F2259" s="2" t="n">
        <v>9</v>
      </c>
      <c r="G2259" s="4" t="n">
        <v>39.99</v>
      </c>
      <c r="H2259" s="4" t="n">
        <v>16.93</v>
      </c>
      <c r="I2259" s="4" t="n">
        <f aca="false">F2259*G2259</f>
        <v>359.91</v>
      </c>
      <c r="J2259" s="4" t="n">
        <f aca="false">F2259*H2259</f>
        <v>152.37</v>
      </c>
      <c r="K2259" s="4" t="n">
        <f aca="false">I2259-J2259</f>
        <v>207.54</v>
      </c>
      <c r="L2259" s="5" t="n">
        <f aca="false">IFERROR(K2259/I2259,0)</f>
        <v>0.57664416104026</v>
      </c>
    </row>
    <row r="2260" customFormat="false" ht="15" hidden="false" customHeight="false" outlineLevel="0" collapsed="false">
      <c r="A2260" s="2" t="s">
        <v>44</v>
      </c>
      <c r="B2260" s="2" t="s">
        <v>46</v>
      </c>
      <c r="C2260" s="2" t="s">
        <v>20</v>
      </c>
      <c r="D2260" s="2" t="s">
        <v>24</v>
      </c>
      <c r="E2260" s="3" t="n">
        <v>46204</v>
      </c>
      <c r="F2260" s="2" t="n">
        <v>5</v>
      </c>
      <c r="G2260" s="4" t="n">
        <v>18.99</v>
      </c>
      <c r="H2260" s="4" t="n">
        <v>7.62</v>
      </c>
      <c r="I2260" s="4" t="n">
        <f aca="false">F2260*G2260</f>
        <v>94.95</v>
      </c>
      <c r="J2260" s="4" t="n">
        <f aca="false">F2260*H2260</f>
        <v>38.1</v>
      </c>
      <c r="K2260" s="4" t="n">
        <f aca="false">I2260-J2260</f>
        <v>56.85</v>
      </c>
      <c r="L2260" s="5" t="n">
        <f aca="false">IFERROR(K2260/I2260,0)</f>
        <v>0.598736176935229</v>
      </c>
    </row>
    <row r="2261" customFormat="false" ht="15" hidden="false" customHeight="false" outlineLevel="0" collapsed="false">
      <c r="A2261" s="2" t="s">
        <v>44</v>
      </c>
      <c r="B2261" s="2" t="s">
        <v>46</v>
      </c>
      <c r="C2261" s="2" t="s">
        <v>20</v>
      </c>
      <c r="D2261" s="2" t="s">
        <v>25</v>
      </c>
      <c r="E2261" s="3" t="n">
        <v>46204</v>
      </c>
      <c r="F2261" s="2" t="n">
        <v>9</v>
      </c>
      <c r="G2261" s="4" t="n">
        <v>42.99</v>
      </c>
      <c r="H2261" s="4" t="n">
        <v>15.91</v>
      </c>
      <c r="I2261" s="4" t="n">
        <f aca="false">F2261*G2261</f>
        <v>386.91</v>
      </c>
      <c r="J2261" s="4" t="n">
        <f aca="false">F2261*H2261</f>
        <v>143.19</v>
      </c>
      <c r="K2261" s="4" t="n">
        <f aca="false">I2261-J2261</f>
        <v>243.72</v>
      </c>
      <c r="L2261" s="5" t="n">
        <f aca="false">IFERROR(K2261/I2261,0)</f>
        <v>0.629913933472901</v>
      </c>
    </row>
    <row r="2262" customFormat="false" ht="15" hidden="false" customHeight="false" outlineLevel="0" collapsed="false">
      <c r="A2262" s="2" t="s">
        <v>44</v>
      </c>
      <c r="B2262" s="2" t="s">
        <v>46</v>
      </c>
      <c r="C2262" s="2" t="s">
        <v>26</v>
      </c>
      <c r="D2262" s="2" t="s">
        <v>27</v>
      </c>
      <c r="E2262" s="3" t="n">
        <v>46204</v>
      </c>
      <c r="F2262" s="2" t="n">
        <v>9</v>
      </c>
      <c r="G2262" s="4" t="n">
        <v>44.99</v>
      </c>
      <c r="H2262" s="4" t="n">
        <v>28.43</v>
      </c>
      <c r="I2262" s="4" t="n">
        <f aca="false">F2262*G2262</f>
        <v>404.91</v>
      </c>
      <c r="J2262" s="4" t="n">
        <f aca="false">F2262*H2262</f>
        <v>255.87</v>
      </c>
      <c r="K2262" s="4" t="n">
        <f aca="false">I2262-J2262</f>
        <v>149.04</v>
      </c>
      <c r="L2262" s="5" t="n">
        <f aca="false">IFERROR(K2262/I2262,0)</f>
        <v>0.368081795954657</v>
      </c>
    </row>
    <row r="2263" customFormat="false" ht="15" hidden="false" customHeight="false" outlineLevel="0" collapsed="false">
      <c r="A2263" s="2" t="s">
        <v>44</v>
      </c>
      <c r="B2263" s="2" t="s">
        <v>46</v>
      </c>
      <c r="C2263" s="2" t="s">
        <v>26</v>
      </c>
      <c r="D2263" s="2" t="s">
        <v>28</v>
      </c>
      <c r="E2263" s="3" t="n">
        <v>46204</v>
      </c>
      <c r="F2263" s="2" t="n">
        <v>7</v>
      </c>
      <c r="G2263" s="4" t="n">
        <v>34.99</v>
      </c>
      <c r="H2263" s="4" t="n">
        <v>21.89</v>
      </c>
      <c r="I2263" s="4" t="n">
        <f aca="false">F2263*G2263</f>
        <v>244.93</v>
      </c>
      <c r="J2263" s="4" t="n">
        <f aca="false">F2263*H2263</f>
        <v>153.23</v>
      </c>
      <c r="K2263" s="4" t="n">
        <f aca="false">I2263-J2263</f>
        <v>91.7</v>
      </c>
      <c r="L2263" s="5" t="n">
        <f aca="false">IFERROR(K2263/I2263,0)</f>
        <v>0.374392683623893</v>
      </c>
    </row>
    <row r="2264" customFormat="false" ht="15" hidden="false" customHeight="false" outlineLevel="0" collapsed="false">
      <c r="A2264" s="2" t="s">
        <v>44</v>
      </c>
      <c r="B2264" s="2" t="s">
        <v>46</v>
      </c>
      <c r="C2264" s="2" t="s">
        <v>26</v>
      </c>
      <c r="D2264" s="2" t="s">
        <v>29</v>
      </c>
      <c r="E2264" s="3" t="n">
        <v>46204</v>
      </c>
      <c r="F2264" s="2" t="n">
        <v>9</v>
      </c>
      <c r="G2264" s="4" t="n">
        <v>119.99</v>
      </c>
      <c r="H2264" s="4" t="n">
        <v>79.73</v>
      </c>
      <c r="I2264" s="4" t="n">
        <f aca="false">F2264*G2264</f>
        <v>1079.91</v>
      </c>
      <c r="J2264" s="4" t="n">
        <f aca="false">F2264*H2264</f>
        <v>717.57</v>
      </c>
      <c r="K2264" s="4" t="n">
        <f aca="false">I2264-J2264</f>
        <v>362.34</v>
      </c>
      <c r="L2264" s="5" t="n">
        <f aca="false">IFERROR(K2264/I2264,0)</f>
        <v>0.335527960663388</v>
      </c>
    </row>
    <row r="2265" customFormat="false" ht="15" hidden="false" customHeight="false" outlineLevel="0" collapsed="false">
      <c r="A2265" s="2" t="s">
        <v>44</v>
      </c>
      <c r="B2265" s="2" t="s">
        <v>46</v>
      </c>
      <c r="C2265" s="2" t="s">
        <v>26</v>
      </c>
      <c r="D2265" s="2" t="s">
        <v>30</v>
      </c>
      <c r="E2265" s="3" t="n">
        <v>46204</v>
      </c>
      <c r="F2265" s="2" t="n">
        <v>15</v>
      </c>
      <c r="G2265" s="4" t="n">
        <v>24.99</v>
      </c>
      <c r="H2265" s="4" t="n">
        <v>14.69</v>
      </c>
      <c r="I2265" s="4" t="n">
        <f aca="false">F2265*G2265</f>
        <v>374.85</v>
      </c>
      <c r="J2265" s="4" t="n">
        <f aca="false">F2265*H2265</f>
        <v>220.35</v>
      </c>
      <c r="K2265" s="4" t="n">
        <f aca="false">I2265-J2265</f>
        <v>154.5</v>
      </c>
      <c r="L2265" s="5" t="n">
        <f aca="false">IFERROR(K2265/I2265,0)</f>
        <v>0.412164865946379</v>
      </c>
    </row>
    <row r="2266" customFormat="false" ht="15" hidden="false" customHeight="false" outlineLevel="0" collapsed="false">
      <c r="A2266" s="2" t="s">
        <v>44</v>
      </c>
      <c r="B2266" s="2" t="s">
        <v>46</v>
      </c>
      <c r="C2266" s="2" t="s">
        <v>26</v>
      </c>
      <c r="D2266" s="2" t="s">
        <v>31</v>
      </c>
      <c r="E2266" s="3" t="n">
        <v>46204</v>
      </c>
      <c r="F2266" s="2" t="n">
        <v>11</v>
      </c>
      <c r="G2266" s="4" t="n">
        <v>59.99</v>
      </c>
      <c r="H2266" s="4" t="n">
        <v>38.02</v>
      </c>
      <c r="I2266" s="4" t="n">
        <f aca="false">F2266*G2266</f>
        <v>659.89</v>
      </c>
      <c r="J2266" s="4" t="n">
        <f aca="false">F2266*H2266</f>
        <v>418.22</v>
      </c>
      <c r="K2266" s="4" t="n">
        <f aca="false">I2266-J2266</f>
        <v>241.67</v>
      </c>
      <c r="L2266" s="5" t="n">
        <f aca="false">IFERROR(K2266/I2266,0)</f>
        <v>0.366227704617436</v>
      </c>
    </row>
    <row r="2267" customFormat="false" ht="15" hidden="false" customHeight="false" outlineLevel="0" collapsed="false">
      <c r="A2267" s="2" t="s">
        <v>44</v>
      </c>
      <c r="B2267" s="2" t="s">
        <v>46</v>
      </c>
      <c r="C2267" s="2" t="s">
        <v>32</v>
      </c>
      <c r="D2267" s="2" t="s">
        <v>33</v>
      </c>
      <c r="E2267" s="3" t="n">
        <v>46204</v>
      </c>
      <c r="F2267" s="2" t="n">
        <v>12</v>
      </c>
      <c r="G2267" s="4" t="n">
        <v>49.99</v>
      </c>
      <c r="H2267" s="4" t="n">
        <v>35.11</v>
      </c>
      <c r="I2267" s="4" t="n">
        <f aca="false">F2267*G2267</f>
        <v>599.88</v>
      </c>
      <c r="J2267" s="4" t="n">
        <f aca="false">F2267*H2267</f>
        <v>421.32</v>
      </c>
      <c r="K2267" s="4" t="n">
        <f aca="false">I2267-J2267</f>
        <v>178.56</v>
      </c>
      <c r="L2267" s="5" t="n">
        <f aca="false">IFERROR(K2267/I2267,0)</f>
        <v>0.297659531906381</v>
      </c>
    </row>
    <row r="2268" customFormat="false" ht="15" hidden="false" customHeight="false" outlineLevel="0" collapsed="false">
      <c r="A2268" s="2" t="s">
        <v>44</v>
      </c>
      <c r="B2268" s="2" t="s">
        <v>46</v>
      </c>
      <c r="C2268" s="2" t="s">
        <v>32</v>
      </c>
      <c r="D2268" s="2" t="s">
        <v>34</v>
      </c>
      <c r="E2268" s="3" t="n">
        <v>46204</v>
      </c>
      <c r="F2268" s="2" t="n">
        <v>8</v>
      </c>
      <c r="G2268" s="4" t="n">
        <v>27.99</v>
      </c>
      <c r="H2268" s="4" t="n">
        <v>19.93</v>
      </c>
      <c r="I2268" s="4" t="n">
        <f aca="false">F2268*G2268</f>
        <v>223.92</v>
      </c>
      <c r="J2268" s="4" t="n">
        <f aca="false">F2268*H2268</f>
        <v>159.44</v>
      </c>
      <c r="K2268" s="4" t="n">
        <f aca="false">I2268-J2268</f>
        <v>64.48</v>
      </c>
      <c r="L2268" s="5" t="n">
        <f aca="false">IFERROR(K2268/I2268,0)</f>
        <v>0.287959985709182</v>
      </c>
    </row>
    <row r="2269" customFormat="false" ht="15" hidden="false" customHeight="false" outlineLevel="0" collapsed="false">
      <c r="A2269" s="2" t="s">
        <v>44</v>
      </c>
      <c r="B2269" s="2" t="s">
        <v>46</v>
      </c>
      <c r="C2269" s="2" t="s">
        <v>32</v>
      </c>
      <c r="D2269" s="2" t="s">
        <v>35</v>
      </c>
      <c r="E2269" s="3" t="n">
        <v>46204</v>
      </c>
      <c r="F2269" s="2" t="n">
        <v>10</v>
      </c>
      <c r="G2269" s="4" t="n">
        <v>64.99</v>
      </c>
      <c r="H2269" s="4" t="n">
        <v>46.19</v>
      </c>
      <c r="I2269" s="4" t="n">
        <f aca="false">F2269*G2269</f>
        <v>649.9</v>
      </c>
      <c r="J2269" s="4" t="n">
        <f aca="false">F2269*H2269</f>
        <v>461.9</v>
      </c>
      <c r="K2269" s="4" t="n">
        <f aca="false">I2269-J2269</f>
        <v>188</v>
      </c>
      <c r="L2269" s="5" t="n">
        <f aca="false">IFERROR(K2269/I2269,0)</f>
        <v>0.289275273118941</v>
      </c>
    </row>
    <row r="2270" customFormat="false" ht="15" hidden="false" customHeight="false" outlineLevel="0" collapsed="false">
      <c r="A2270" s="2" t="s">
        <v>44</v>
      </c>
      <c r="B2270" s="2" t="s">
        <v>46</v>
      </c>
      <c r="C2270" s="2" t="s">
        <v>32</v>
      </c>
      <c r="D2270" s="2" t="s">
        <v>36</v>
      </c>
      <c r="E2270" s="3" t="n">
        <v>46204</v>
      </c>
      <c r="F2270" s="2" t="n">
        <v>9</v>
      </c>
      <c r="G2270" s="4" t="n">
        <v>22.99</v>
      </c>
      <c r="H2270" s="4" t="n">
        <v>17.27</v>
      </c>
      <c r="I2270" s="4" t="n">
        <f aca="false">F2270*G2270</f>
        <v>206.91</v>
      </c>
      <c r="J2270" s="4" t="n">
        <f aca="false">F2270*H2270</f>
        <v>155.43</v>
      </c>
      <c r="K2270" s="4" t="n">
        <f aca="false">I2270-J2270</f>
        <v>51.48</v>
      </c>
      <c r="L2270" s="5" t="n">
        <f aca="false">IFERROR(K2270/I2270,0)</f>
        <v>0.248803827751196</v>
      </c>
    </row>
    <row r="2271" customFormat="false" ht="15" hidden="false" customHeight="false" outlineLevel="0" collapsed="false">
      <c r="A2271" s="2" t="s">
        <v>44</v>
      </c>
      <c r="B2271" s="2" t="s">
        <v>46</v>
      </c>
      <c r="C2271" s="2" t="s">
        <v>32</v>
      </c>
      <c r="D2271" s="2" t="s">
        <v>37</v>
      </c>
      <c r="E2271" s="3" t="n">
        <v>46204</v>
      </c>
      <c r="F2271" s="2" t="n">
        <v>10</v>
      </c>
      <c r="G2271" s="4" t="n">
        <v>29.99</v>
      </c>
      <c r="H2271" s="4" t="n">
        <v>19.97</v>
      </c>
      <c r="I2271" s="4" t="n">
        <f aca="false">F2271*G2271</f>
        <v>299.9</v>
      </c>
      <c r="J2271" s="4" t="n">
        <f aca="false">F2271*H2271</f>
        <v>199.7</v>
      </c>
      <c r="K2271" s="4" t="n">
        <f aca="false">I2271-J2271</f>
        <v>100.2</v>
      </c>
      <c r="L2271" s="5" t="n">
        <f aca="false">IFERROR(K2271/I2271,0)</f>
        <v>0.334111370456819</v>
      </c>
    </row>
    <row r="2272" customFormat="false" ht="15" hidden="false" customHeight="false" outlineLevel="0" collapsed="false">
      <c r="A2272" s="2" t="s">
        <v>44</v>
      </c>
      <c r="B2272" s="2" t="s">
        <v>46</v>
      </c>
      <c r="C2272" s="2" t="s">
        <v>38</v>
      </c>
      <c r="D2272" s="2" t="s">
        <v>39</v>
      </c>
      <c r="E2272" s="3" t="n">
        <v>46204</v>
      </c>
      <c r="F2272" s="2" t="n">
        <v>13</v>
      </c>
      <c r="G2272" s="4" t="n">
        <v>129.99</v>
      </c>
      <c r="H2272" s="4" t="n">
        <v>77.36</v>
      </c>
      <c r="I2272" s="4" t="n">
        <f aca="false">F2272*G2272</f>
        <v>1689.87</v>
      </c>
      <c r="J2272" s="4" t="n">
        <f aca="false">F2272*H2272</f>
        <v>1005.68</v>
      </c>
      <c r="K2272" s="4" t="n">
        <f aca="false">I2272-J2272</f>
        <v>684.19</v>
      </c>
      <c r="L2272" s="5" t="n">
        <f aca="false">IFERROR(K2272/I2272,0)</f>
        <v>0.404877298253712</v>
      </c>
    </row>
    <row r="2273" customFormat="false" ht="15" hidden="false" customHeight="false" outlineLevel="0" collapsed="false">
      <c r="A2273" s="2" t="s">
        <v>44</v>
      </c>
      <c r="B2273" s="2" t="s">
        <v>46</v>
      </c>
      <c r="C2273" s="2" t="s">
        <v>38</v>
      </c>
      <c r="D2273" s="2" t="s">
        <v>40</v>
      </c>
      <c r="E2273" s="3" t="n">
        <v>46204</v>
      </c>
      <c r="F2273" s="2" t="n">
        <v>13</v>
      </c>
      <c r="G2273" s="4" t="n">
        <v>74.99</v>
      </c>
      <c r="H2273" s="4" t="n">
        <v>41.04</v>
      </c>
      <c r="I2273" s="4" t="n">
        <f aca="false">F2273*G2273</f>
        <v>974.87</v>
      </c>
      <c r="J2273" s="4" t="n">
        <f aca="false">F2273*H2273</f>
        <v>533.52</v>
      </c>
      <c r="K2273" s="4" t="n">
        <f aca="false">I2273-J2273</f>
        <v>441.35</v>
      </c>
      <c r="L2273" s="5" t="n">
        <f aca="false">IFERROR(K2273/I2273,0)</f>
        <v>0.452727030270703</v>
      </c>
    </row>
    <row r="2274" customFormat="false" ht="15" hidden="false" customHeight="false" outlineLevel="0" collapsed="false">
      <c r="A2274" s="2" t="s">
        <v>44</v>
      </c>
      <c r="B2274" s="2" t="s">
        <v>46</v>
      </c>
      <c r="C2274" s="2" t="s">
        <v>38</v>
      </c>
      <c r="D2274" s="2" t="s">
        <v>41</v>
      </c>
      <c r="E2274" s="3" t="n">
        <v>46204</v>
      </c>
      <c r="F2274" s="2" t="n">
        <v>12</v>
      </c>
      <c r="G2274" s="4" t="n">
        <v>19.99</v>
      </c>
      <c r="H2274" s="4" t="n">
        <v>9.63</v>
      </c>
      <c r="I2274" s="4" t="n">
        <f aca="false">F2274*G2274</f>
        <v>239.88</v>
      </c>
      <c r="J2274" s="4" t="n">
        <f aca="false">F2274*H2274</f>
        <v>115.56</v>
      </c>
      <c r="K2274" s="4" t="n">
        <f aca="false">I2274-J2274</f>
        <v>124.32</v>
      </c>
      <c r="L2274" s="5" t="n">
        <f aca="false">IFERROR(K2274/I2274,0)</f>
        <v>0.518259129564782</v>
      </c>
    </row>
    <row r="2275" customFormat="false" ht="15" hidden="false" customHeight="false" outlineLevel="0" collapsed="false">
      <c r="A2275" s="2" t="s">
        <v>44</v>
      </c>
      <c r="B2275" s="2" t="s">
        <v>46</v>
      </c>
      <c r="C2275" s="2" t="s">
        <v>38</v>
      </c>
      <c r="D2275" s="2" t="s">
        <v>42</v>
      </c>
      <c r="E2275" s="3" t="n">
        <v>46204</v>
      </c>
      <c r="F2275" s="2" t="n">
        <v>12</v>
      </c>
      <c r="G2275" s="4" t="n">
        <v>16.99</v>
      </c>
      <c r="H2275" s="4" t="n">
        <v>8.46</v>
      </c>
      <c r="I2275" s="4" t="n">
        <f aca="false">F2275*G2275</f>
        <v>203.88</v>
      </c>
      <c r="J2275" s="4" t="n">
        <f aca="false">F2275*H2275</f>
        <v>101.52</v>
      </c>
      <c r="K2275" s="4" t="n">
        <f aca="false">I2275-J2275</f>
        <v>102.36</v>
      </c>
      <c r="L2275" s="5" t="n">
        <f aca="false">IFERROR(K2275/I2275,0)</f>
        <v>0.502060035314891</v>
      </c>
    </row>
    <row r="2276" customFormat="false" ht="15" hidden="false" customHeight="false" outlineLevel="0" collapsed="false">
      <c r="A2276" s="2" t="s">
        <v>44</v>
      </c>
      <c r="B2276" s="2" t="s">
        <v>46</v>
      </c>
      <c r="C2276" s="2" t="s">
        <v>38</v>
      </c>
      <c r="D2276" s="2" t="s">
        <v>43</v>
      </c>
      <c r="E2276" s="3" t="n">
        <v>46204</v>
      </c>
      <c r="F2276" s="2" t="n">
        <v>13</v>
      </c>
      <c r="G2276" s="4" t="n">
        <v>24.99</v>
      </c>
      <c r="H2276" s="4" t="n">
        <v>12.77</v>
      </c>
      <c r="I2276" s="4" t="n">
        <f aca="false">F2276*G2276</f>
        <v>324.87</v>
      </c>
      <c r="J2276" s="4" t="n">
        <f aca="false">F2276*H2276</f>
        <v>166.01</v>
      </c>
      <c r="K2276" s="4" t="n">
        <f aca="false">I2276-J2276</f>
        <v>158.86</v>
      </c>
      <c r="L2276" s="5" t="n">
        <f aca="false">IFERROR(K2276/I2276,0)</f>
        <v>0.488995598239296</v>
      </c>
    </row>
    <row r="2277" customFormat="false" ht="15" hidden="false" customHeight="false" outlineLevel="0" collapsed="false">
      <c r="A2277" s="2" t="s">
        <v>47</v>
      </c>
      <c r="B2277" s="2" t="s">
        <v>48</v>
      </c>
      <c r="C2277" s="2" t="s">
        <v>14</v>
      </c>
      <c r="D2277" s="2" t="s">
        <v>15</v>
      </c>
      <c r="E2277" s="3" t="n">
        <v>46204</v>
      </c>
      <c r="F2277" s="2" t="n">
        <v>19</v>
      </c>
      <c r="G2277" s="4" t="n">
        <v>69.99</v>
      </c>
      <c r="H2277" s="4" t="n">
        <v>34.48</v>
      </c>
      <c r="I2277" s="4" t="n">
        <f aca="false">F2277*G2277</f>
        <v>1329.81</v>
      </c>
      <c r="J2277" s="4" t="n">
        <f aca="false">F2277*H2277</f>
        <v>655.12</v>
      </c>
      <c r="K2277" s="4" t="n">
        <f aca="false">I2277-J2277</f>
        <v>674.69</v>
      </c>
      <c r="L2277" s="5" t="n">
        <f aca="false">IFERROR(K2277/I2277,0)</f>
        <v>0.507358194027718</v>
      </c>
    </row>
    <row r="2278" customFormat="false" ht="15" hidden="false" customHeight="false" outlineLevel="0" collapsed="false">
      <c r="A2278" s="2" t="s">
        <v>47</v>
      </c>
      <c r="B2278" s="2" t="s">
        <v>48</v>
      </c>
      <c r="C2278" s="2" t="s">
        <v>14</v>
      </c>
      <c r="D2278" s="2" t="s">
        <v>16</v>
      </c>
      <c r="E2278" s="3" t="n">
        <v>46204</v>
      </c>
      <c r="F2278" s="2" t="n">
        <v>15</v>
      </c>
      <c r="G2278" s="4" t="n">
        <v>19.99</v>
      </c>
      <c r="H2278" s="4" t="n">
        <v>8.8</v>
      </c>
      <c r="I2278" s="4" t="n">
        <f aca="false">F2278*G2278</f>
        <v>299.85</v>
      </c>
      <c r="J2278" s="4" t="n">
        <f aca="false">F2278*H2278</f>
        <v>132</v>
      </c>
      <c r="K2278" s="4" t="n">
        <f aca="false">I2278-J2278</f>
        <v>167.85</v>
      </c>
      <c r="L2278" s="5" t="n">
        <f aca="false">IFERROR(K2278/I2278,0)</f>
        <v>0.559779889944972</v>
      </c>
    </row>
    <row r="2279" customFormat="false" ht="15" hidden="false" customHeight="false" outlineLevel="0" collapsed="false">
      <c r="A2279" s="2" t="s">
        <v>47</v>
      </c>
      <c r="B2279" s="2" t="s">
        <v>48</v>
      </c>
      <c r="C2279" s="2" t="s">
        <v>14</v>
      </c>
      <c r="D2279" s="2" t="s">
        <v>17</v>
      </c>
      <c r="E2279" s="3" t="n">
        <v>46204</v>
      </c>
      <c r="F2279" s="2" t="n">
        <v>6</v>
      </c>
      <c r="G2279" s="4" t="n">
        <v>79.99</v>
      </c>
      <c r="H2279" s="4" t="n">
        <v>40.97</v>
      </c>
      <c r="I2279" s="4" t="n">
        <f aca="false">F2279*G2279</f>
        <v>479.94</v>
      </c>
      <c r="J2279" s="4" t="n">
        <f aca="false">F2279*H2279</f>
        <v>245.82</v>
      </c>
      <c r="K2279" s="4" t="n">
        <f aca="false">I2279-J2279</f>
        <v>234.12</v>
      </c>
      <c r="L2279" s="5" t="n">
        <f aca="false">IFERROR(K2279/I2279,0)</f>
        <v>0.487810976372046</v>
      </c>
    </row>
    <row r="2280" customFormat="false" ht="15" hidden="false" customHeight="false" outlineLevel="0" collapsed="false">
      <c r="A2280" s="2" t="s">
        <v>47</v>
      </c>
      <c r="B2280" s="2" t="s">
        <v>48</v>
      </c>
      <c r="C2280" s="2" t="s">
        <v>14</v>
      </c>
      <c r="D2280" s="2" t="s">
        <v>18</v>
      </c>
      <c r="E2280" s="3" t="n">
        <v>46204</v>
      </c>
      <c r="F2280" s="2" t="n">
        <v>10</v>
      </c>
      <c r="G2280" s="4" t="n">
        <v>34.99</v>
      </c>
      <c r="H2280" s="4" t="n">
        <v>14.37</v>
      </c>
      <c r="I2280" s="4" t="n">
        <f aca="false">F2280*G2280</f>
        <v>349.9</v>
      </c>
      <c r="J2280" s="4" t="n">
        <f aca="false">F2280*H2280</f>
        <v>143.7</v>
      </c>
      <c r="K2280" s="4" t="n">
        <f aca="false">I2280-J2280</f>
        <v>206.2</v>
      </c>
      <c r="L2280" s="5" t="n">
        <f aca="false">IFERROR(K2280/I2280,0)</f>
        <v>0.589311231780509</v>
      </c>
    </row>
    <row r="2281" customFormat="false" ht="15" hidden="false" customHeight="false" outlineLevel="0" collapsed="false">
      <c r="A2281" s="2" t="s">
        <v>47</v>
      </c>
      <c r="B2281" s="2" t="s">
        <v>48</v>
      </c>
      <c r="C2281" s="2" t="s">
        <v>14</v>
      </c>
      <c r="D2281" s="2" t="s">
        <v>19</v>
      </c>
      <c r="E2281" s="3" t="n">
        <v>46204</v>
      </c>
      <c r="F2281" s="2" t="n">
        <v>15</v>
      </c>
      <c r="G2281" s="4" t="n">
        <v>54.99</v>
      </c>
      <c r="H2281" s="4" t="n">
        <v>24.27</v>
      </c>
      <c r="I2281" s="4" t="n">
        <f aca="false">F2281*G2281</f>
        <v>824.85</v>
      </c>
      <c r="J2281" s="4" t="n">
        <f aca="false">F2281*H2281</f>
        <v>364.05</v>
      </c>
      <c r="K2281" s="4" t="n">
        <f aca="false">I2281-J2281</f>
        <v>460.8</v>
      </c>
      <c r="L2281" s="5" t="n">
        <f aca="false">IFERROR(K2281/I2281,0)</f>
        <v>0.558647026732133</v>
      </c>
    </row>
    <row r="2282" customFormat="false" ht="15" hidden="false" customHeight="false" outlineLevel="0" collapsed="false">
      <c r="A2282" s="2" t="s">
        <v>47</v>
      </c>
      <c r="B2282" s="2" t="s">
        <v>48</v>
      </c>
      <c r="C2282" s="2" t="s">
        <v>20</v>
      </c>
      <c r="D2282" s="2" t="s">
        <v>21</v>
      </c>
      <c r="E2282" s="3" t="n">
        <v>46204</v>
      </c>
      <c r="F2282" s="2" t="n">
        <v>9</v>
      </c>
      <c r="G2282" s="4" t="n">
        <v>44.99</v>
      </c>
      <c r="H2282" s="4" t="n">
        <v>19.67</v>
      </c>
      <c r="I2282" s="4" t="n">
        <f aca="false">F2282*G2282</f>
        <v>404.91</v>
      </c>
      <c r="J2282" s="4" t="n">
        <f aca="false">F2282*H2282</f>
        <v>177.03</v>
      </c>
      <c r="K2282" s="4" t="n">
        <f aca="false">I2282-J2282</f>
        <v>227.88</v>
      </c>
      <c r="L2282" s="5" t="n">
        <f aca="false">IFERROR(K2282/I2282,0)</f>
        <v>0.562791731495888</v>
      </c>
    </row>
    <row r="2283" customFormat="false" ht="15" hidden="false" customHeight="false" outlineLevel="0" collapsed="false">
      <c r="A2283" s="2" t="s">
        <v>47</v>
      </c>
      <c r="B2283" s="2" t="s">
        <v>48</v>
      </c>
      <c r="C2283" s="2" t="s">
        <v>20</v>
      </c>
      <c r="D2283" s="2" t="s">
        <v>22</v>
      </c>
      <c r="E2283" s="3" t="n">
        <v>46204</v>
      </c>
      <c r="F2283" s="2" t="n">
        <v>13</v>
      </c>
      <c r="G2283" s="4" t="n">
        <v>14.99</v>
      </c>
      <c r="H2283" s="4" t="n">
        <v>5.8</v>
      </c>
      <c r="I2283" s="4" t="n">
        <f aca="false">F2283*G2283</f>
        <v>194.87</v>
      </c>
      <c r="J2283" s="4" t="n">
        <f aca="false">F2283*H2283</f>
        <v>75.4</v>
      </c>
      <c r="K2283" s="4" t="n">
        <f aca="false">I2283-J2283</f>
        <v>119.47</v>
      </c>
      <c r="L2283" s="5" t="n">
        <f aca="false">IFERROR(K2283/I2283,0)</f>
        <v>0.613075383589059</v>
      </c>
    </row>
    <row r="2284" customFormat="false" ht="15" hidden="false" customHeight="false" outlineLevel="0" collapsed="false">
      <c r="A2284" s="2" t="s">
        <v>47</v>
      </c>
      <c r="B2284" s="2" t="s">
        <v>48</v>
      </c>
      <c r="C2284" s="2" t="s">
        <v>20</v>
      </c>
      <c r="D2284" s="2" t="s">
        <v>23</v>
      </c>
      <c r="E2284" s="3" t="n">
        <v>46204</v>
      </c>
      <c r="F2284" s="2" t="n">
        <v>13</v>
      </c>
      <c r="G2284" s="4" t="n">
        <v>39.99</v>
      </c>
      <c r="H2284" s="4" t="n">
        <v>17.11</v>
      </c>
      <c r="I2284" s="4" t="n">
        <f aca="false">F2284*G2284</f>
        <v>519.87</v>
      </c>
      <c r="J2284" s="4" t="n">
        <f aca="false">F2284*H2284</f>
        <v>222.43</v>
      </c>
      <c r="K2284" s="4" t="n">
        <f aca="false">I2284-J2284</f>
        <v>297.44</v>
      </c>
      <c r="L2284" s="5" t="n">
        <f aca="false">IFERROR(K2284/I2284,0)</f>
        <v>0.57214303575894</v>
      </c>
    </row>
    <row r="2285" customFormat="false" ht="15" hidden="false" customHeight="false" outlineLevel="0" collapsed="false">
      <c r="A2285" s="2" t="s">
        <v>47</v>
      </c>
      <c r="B2285" s="2" t="s">
        <v>48</v>
      </c>
      <c r="C2285" s="2" t="s">
        <v>20</v>
      </c>
      <c r="D2285" s="2" t="s">
        <v>24</v>
      </c>
      <c r="E2285" s="3" t="n">
        <v>46204</v>
      </c>
      <c r="F2285" s="2" t="n">
        <v>13</v>
      </c>
      <c r="G2285" s="4" t="n">
        <v>18.99</v>
      </c>
      <c r="H2285" s="4" t="n">
        <v>7.69</v>
      </c>
      <c r="I2285" s="4" t="n">
        <f aca="false">F2285*G2285</f>
        <v>246.87</v>
      </c>
      <c r="J2285" s="4" t="n">
        <f aca="false">F2285*H2285</f>
        <v>99.97</v>
      </c>
      <c r="K2285" s="4" t="n">
        <f aca="false">I2285-J2285</f>
        <v>146.9</v>
      </c>
      <c r="L2285" s="5" t="n">
        <f aca="false">IFERROR(K2285/I2285,0)</f>
        <v>0.595050026329647</v>
      </c>
    </row>
    <row r="2286" customFormat="false" ht="15" hidden="false" customHeight="false" outlineLevel="0" collapsed="false">
      <c r="A2286" s="2" t="s">
        <v>47</v>
      </c>
      <c r="B2286" s="2" t="s">
        <v>48</v>
      </c>
      <c r="C2286" s="2" t="s">
        <v>20</v>
      </c>
      <c r="D2286" s="2" t="s">
        <v>25</v>
      </c>
      <c r="E2286" s="3" t="n">
        <v>46204</v>
      </c>
      <c r="F2286" s="2" t="n">
        <v>11</v>
      </c>
      <c r="G2286" s="4" t="n">
        <v>42.99</v>
      </c>
      <c r="H2286" s="4" t="n">
        <v>16.19</v>
      </c>
      <c r="I2286" s="4" t="n">
        <f aca="false">F2286*G2286</f>
        <v>472.89</v>
      </c>
      <c r="J2286" s="4" t="n">
        <f aca="false">F2286*H2286</f>
        <v>178.09</v>
      </c>
      <c r="K2286" s="4" t="n">
        <f aca="false">I2286-J2286</f>
        <v>294.8</v>
      </c>
      <c r="L2286" s="5" t="n">
        <f aca="false">IFERROR(K2286/I2286,0)</f>
        <v>0.623400790881601</v>
      </c>
    </row>
    <row r="2287" customFormat="false" ht="15" hidden="false" customHeight="false" outlineLevel="0" collapsed="false">
      <c r="A2287" s="2" t="s">
        <v>47</v>
      </c>
      <c r="B2287" s="2" t="s">
        <v>48</v>
      </c>
      <c r="C2287" s="2" t="s">
        <v>26</v>
      </c>
      <c r="D2287" s="2" t="s">
        <v>27</v>
      </c>
      <c r="E2287" s="3" t="n">
        <v>46204</v>
      </c>
      <c r="F2287" s="2" t="n">
        <v>6</v>
      </c>
      <c r="G2287" s="4" t="n">
        <v>44.99</v>
      </c>
      <c r="H2287" s="4" t="n">
        <v>27.55</v>
      </c>
      <c r="I2287" s="4" t="n">
        <f aca="false">F2287*G2287</f>
        <v>269.94</v>
      </c>
      <c r="J2287" s="4" t="n">
        <f aca="false">F2287*H2287</f>
        <v>165.3</v>
      </c>
      <c r="K2287" s="4" t="n">
        <f aca="false">I2287-J2287</f>
        <v>104.64</v>
      </c>
      <c r="L2287" s="5" t="n">
        <f aca="false">IFERROR(K2287/I2287,0)</f>
        <v>0.387641698155146</v>
      </c>
    </row>
    <row r="2288" customFormat="false" ht="15" hidden="false" customHeight="false" outlineLevel="0" collapsed="false">
      <c r="A2288" s="2" t="s">
        <v>47</v>
      </c>
      <c r="B2288" s="2" t="s">
        <v>48</v>
      </c>
      <c r="C2288" s="2" t="s">
        <v>26</v>
      </c>
      <c r="D2288" s="2" t="s">
        <v>28</v>
      </c>
      <c r="E2288" s="3" t="n">
        <v>46204</v>
      </c>
      <c r="F2288" s="2" t="n">
        <v>18</v>
      </c>
      <c r="G2288" s="4" t="n">
        <v>34.99</v>
      </c>
      <c r="H2288" s="4" t="n">
        <v>22.23</v>
      </c>
      <c r="I2288" s="4" t="n">
        <f aca="false">F2288*G2288</f>
        <v>629.82</v>
      </c>
      <c r="J2288" s="4" t="n">
        <f aca="false">F2288*H2288</f>
        <v>400.14</v>
      </c>
      <c r="K2288" s="4" t="n">
        <f aca="false">I2288-J2288</f>
        <v>229.68</v>
      </c>
      <c r="L2288" s="5" t="n">
        <f aca="false">IFERROR(K2288/I2288,0)</f>
        <v>0.364675621606173</v>
      </c>
    </row>
    <row r="2289" customFormat="false" ht="15" hidden="false" customHeight="false" outlineLevel="0" collapsed="false">
      <c r="A2289" s="2" t="s">
        <v>47</v>
      </c>
      <c r="B2289" s="2" t="s">
        <v>48</v>
      </c>
      <c r="C2289" s="2" t="s">
        <v>26</v>
      </c>
      <c r="D2289" s="2" t="s">
        <v>29</v>
      </c>
      <c r="E2289" s="3" t="n">
        <v>46204</v>
      </c>
      <c r="F2289" s="2" t="n">
        <v>12</v>
      </c>
      <c r="G2289" s="4" t="n">
        <v>119.99</v>
      </c>
      <c r="H2289" s="4" t="n">
        <v>84</v>
      </c>
      <c r="I2289" s="4" t="n">
        <f aca="false">F2289*G2289</f>
        <v>1439.88</v>
      </c>
      <c r="J2289" s="4" t="n">
        <f aca="false">F2289*H2289</f>
        <v>1008</v>
      </c>
      <c r="K2289" s="4" t="n">
        <f aca="false">I2289-J2289</f>
        <v>431.88</v>
      </c>
      <c r="L2289" s="5" t="n">
        <f aca="false">IFERROR(K2289/I2289,0)</f>
        <v>0.29994166180515</v>
      </c>
    </row>
    <row r="2290" customFormat="false" ht="15" hidden="false" customHeight="false" outlineLevel="0" collapsed="false">
      <c r="A2290" s="2" t="s">
        <v>47</v>
      </c>
      <c r="B2290" s="2" t="s">
        <v>48</v>
      </c>
      <c r="C2290" s="2" t="s">
        <v>26</v>
      </c>
      <c r="D2290" s="2" t="s">
        <v>30</v>
      </c>
      <c r="E2290" s="3" t="n">
        <v>46204</v>
      </c>
      <c r="F2290" s="2" t="n">
        <v>11</v>
      </c>
      <c r="G2290" s="4" t="n">
        <v>24.99</v>
      </c>
      <c r="H2290" s="4" t="n">
        <v>15.06</v>
      </c>
      <c r="I2290" s="4" t="n">
        <f aca="false">F2290*G2290</f>
        <v>274.89</v>
      </c>
      <c r="J2290" s="4" t="n">
        <f aca="false">F2290*H2290</f>
        <v>165.66</v>
      </c>
      <c r="K2290" s="4" t="n">
        <f aca="false">I2290-J2290</f>
        <v>109.23</v>
      </c>
      <c r="L2290" s="5" t="n">
        <f aca="false">IFERROR(K2290/I2290,0)</f>
        <v>0.397358943577431</v>
      </c>
    </row>
    <row r="2291" customFormat="false" ht="15" hidden="false" customHeight="false" outlineLevel="0" collapsed="false">
      <c r="A2291" s="2" t="s">
        <v>47</v>
      </c>
      <c r="B2291" s="2" t="s">
        <v>48</v>
      </c>
      <c r="C2291" s="2" t="s">
        <v>26</v>
      </c>
      <c r="D2291" s="2" t="s">
        <v>31</v>
      </c>
      <c r="E2291" s="3" t="n">
        <v>46204</v>
      </c>
      <c r="F2291" s="2" t="n">
        <v>10</v>
      </c>
      <c r="G2291" s="4" t="n">
        <v>59.99</v>
      </c>
      <c r="H2291" s="4" t="n">
        <v>39.73</v>
      </c>
      <c r="I2291" s="4" t="n">
        <f aca="false">F2291*G2291</f>
        <v>599.9</v>
      </c>
      <c r="J2291" s="4" t="n">
        <f aca="false">F2291*H2291</f>
        <v>397.3</v>
      </c>
      <c r="K2291" s="4" t="n">
        <f aca="false">I2291-J2291</f>
        <v>202.6</v>
      </c>
      <c r="L2291" s="5" t="n">
        <f aca="false">IFERROR(K2291/I2291,0)</f>
        <v>0.337722953825638</v>
      </c>
    </row>
    <row r="2292" customFormat="false" ht="15" hidden="false" customHeight="false" outlineLevel="0" collapsed="false">
      <c r="A2292" s="2" t="s">
        <v>47</v>
      </c>
      <c r="B2292" s="2" t="s">
        <v>48</v>
      </c>
      <c r="C2292" s="2" t="s">
        <v>32</v>
      </c>
      <c r="D2292" s="2" t="s">
        <v>33</v>
      </c>
      <c r="E2292" s="3" t="n">
        <v>46204</v>
      </c>
      <c r="F2292" s="2" t="n">
        <v>15</v>
      </c>
      <c r="G2292" s="4" t="n">
        <v>49.99</v>
      </c>
      <c r="H2292" s="4" t="n">
        <v>36.5</v>
      </c>
      <c r="I2292" s="4" t="n">
        <f aca="false">F2292*G2292</f>
        <v>749.85</v>
      </c>
      <c r="J2292" s="4" t="n">
        <f aca="false">F2292*H2292</f>
        <v>547.5</v>
      </c>
      <c r="K2292" s="4" t="n">
        <f aca="false">I2292-J2292</f>
        <v>202.35</v>
      </c>
      <c r="L2292" s="5" t="n">
        <f aca="false">IFERROR(K2292/I2292,0)</f>
        <v>0.269853970794159</v>
      </c>
    </row>
    <row r="2293" customFormat="false" ht="15" hidden="false" customHeight="false" outlineLevel="0" collapsed="false">
      <c r="A2293" s="2" t="s">
        <v>47</v>
      </c>
      <c r="B2293" s="2" t="s">
        <v>48</v>
      </c>
      <c r="C2293" s="2" t="s">
        <v>32</v>
      </c>
      <c r="D2293" s="2" t="s">
        <v>34</v>
      </c>
      <c r="E2293" s="3" t="n">
        <v>46204</v>
      </c>
      <c r="F2293" s="2" t="n">
        <v>12</v>
      </c>
      <c r="G2293" s="4" t="n">
        <v>27.99</v>
      </c>
      <c r="H2293" s="4" t="n">
        <v>19.52</v>
      </c>
      <c r="I2293" s="4" t="n">
        <f aca="false">F2293*G2293</f>
        <v>335.88</v>
      </c>
      <c r="J2293" s="4" t="n">
        <f aca="false">F2293*H2293</f>
        <v>234.24</v>
      </c>
      <c r="K2293" s="4" t="n">
        <f aca="false">I2293-J2293</f>
        <v>101.64</v>
      </c>
      <c r="L2293" s="5" t="n">
        <f aca="false">IFERROR(K2293/I2293,0)</f>
        <v>0.302608074312254</v>
      </c>
    </row>
    <row r="2294" customFormat="false" ht="15" hidden="false" customHeight="false" outlineLevel="0" collapsed="false">
      <c r="A2294" s="2" t="s">
        <v>47</v>
      </c>
      <c r="B2294" s="2" t="s">
        <v>48</v>
      </c>
      <c r="C2294" s="2" t="s">
        <v>32</v>
      </c>
      <c r="D2294" s="2" t="s">
        <v>35</v>
      </c>
      <c r="E2294" s="3" t="n">
        <v>46204</v>
      </c>
      <c r="F2294" s="2" t="n">
        <v>17</v>
      </c>
      <c r="G2294" s="4" t="n">
        <v>64.99</v>
      </c>
      <c r="H2294" s="4" t="n">
        <v>45.01</v>
      </c>
      <c r="I2294" s="4" t="n">
        <f aca="false">F2294*G2294</f>
        <v>1104.83</v>
      </c>
      <c r="J2294" s="4" t="n">
        <f aca="false">F2294*H2294</f>
        <v>765.17</v>
      </c>
      <c r="K2294" s="4" t="n">
        <f aca="false">I2294-J2294</f>
        <v>339.66</v>
      </c>
      <c r="L2294" s="5" t="n">
        <f aca="false">IFERROR(K2294/I2294,0)</f>
        <v>0.307431912601939</v>
      </c>
    </row>
    <row r="2295" customFormat="false" ht="15" hidden="false" customHeight="false" outlineLevel="0" collapsed="false">
      <c r="A2295" s="2" t="s">
        <v>47</v>
      </c>
      <c r="B2295" s="2" t="s">
        <v>48</v>
      </c>
      <c r="C2295" s="2" t="s">
        <v>32</v>
      </c>
      <c r="D2295" s="2" t="s">
        <v>36</v>
      </c>
      <c r="E2295" s="3" t="n">
        <v>46204</v>
      </c>
      <c r="F2295" s="2" t="n">
        <v>15</v>
      </c>
      <c r="G2295" s="4" t="n">
        <v>22.99</v>
      </c>
      <c r="H2295" s="4" t="n">
        <v>17.07</v>
      </c>
      <c r="I2295" s="4" t="n">
        <f aca="false">F2295*G2295</f>
        <v>344.85</v>
      </c>
      <c r="J2295" s="4" t="n">
        <f aca="false">F2295*H2295</f>
        <v>256.05</v>
      </c>
      <c r="K2295" s="4" t="n">
        <f aca="false">I2295-J2295</f>
        <v>88.8</v>
      </c>
      <c r="L2295" s="5" t="n">
        <f aca="false">IFERROR(K2295/I2295,0)</f>
        <v>0.257503262287951</v>
      </c>
    </row>
    <row r="2296" customFormat="false" ht="15" hidden="false" customHeight="false" outlineLevel="0" collapsed="false">
      <c r="A2296" s="2" t="s">
        <v>47</v>
      </c>
      <c r="B2296" s="2" t="s">
        <v>48</v>
      </c>
      <c r="C2296" s="2" t="s">
        <v>32</v>
      </c>
      <c r="D2296" s="2" t="s">
        <v>37</v>
      </c>
      <c r="E2296" s="3" t="n">
        <v>46204</v>
      </c>
      <c r="F2296" s="2" t="n">
        <v>6</v>
      </c>
      <c r="G2296" s="4" t="n">
        <v>29.99</v>
      </c>
      <c r="H2296" s="4" t="n">
        <v>20.99</v>
      </c>
      <c r="I2296" s="4" t="n">
        <f aca="false">F2296*G2296</f>
        <v>179.94</v>
      </c>
      <c r="J2296" s="4" t="n">
        <f aca="false">F2296*H2296</f>
        <v>125.94</v>
      </c>
      <c r="K2296" s="4" t="n">
        <f aca="false">I2296-J2296</f>
        <v>54</v>
      </c>
      <c r="L2296" s="5" t="n">
        <f aca="false">IFERROR(K2296/I2296,0)</f>
        <v>0.300100033344448</v>
      </c>
    </row>
    <row r="2297" customFormat="false" ht="15" hidden="false" customHeight="false" outlineLevel="0" collapsed="false">
      <c r="A2297" s="2" t="s">
        <v>47</v>
      </c>
      <c r="B2297" s="2" t="s">
        <v>48</v>
      </c>
      <c r="C2297" s="2" t="s">
        <v>38</v>
      </c>
      <c r="D2297" s="2" t="s">
        <v>39</v>
      </c>
      <c r="E2297" s="3" t="n">
        <v>46204</v>
      </c>
      <c r="F2297" s="2" t="n">
        <v>12</v>
      </c>
      <c r="G2297" s="4" t="n">
        <v>129.99</v>
      </c>
      <c r="H2297" s="4" t="n">
        <v>75.76</v>
      </c>
      <c r="I2297" s="4" t="n">
        <f aca="false">F2297*G2297</f>
        <v>1559.88</v>
      </c>
      <c r="J2297" s="4" t="n">
        <f aca="false">F2297*H2297</f>
        <v>909.12</v>
      </c>
      <c r="K2297" s="4" t="n">
        <f aca="false">I2297-J2297</f>
        <v>650.76</v>
      </c>
      <c r="L2297" s="5" t="n">
        <f aca="false">IFERROR(K2297/I2297,0)</f>
        <v>0.417185937379798</v>
      </c>
    </row>
    <row r="2298" customFormat="false" ht="15" hidden="false" customHeight="false" outlineLevel="0" collapsed="false">
      <c r="A2298" s="2" t="s">
        <v>47</v>
      </c>
      <c r="B2298" s="2" t="s">
        <v>48</v>
      </c>
      <c r="C2298" s="2" t="s">
        <v>38</v>
      </c>
      <c r="D2298" s="2" t="s">
        <v>40</v>
      </c>
      <c r="E2298" s="3" t="n">
        <v>46204</v>
      </c>
      <c r="F2298" s="2" t="n">
        <v>13</v>
      </c>
      <c r="G2298" s="4" t="n">
        <v>74.99</v>
      </c>
      <c r="H2298" s="4" t="n">
        <v>41.22</v>
      </c>
      <c r="I2298" s="4" t="n">
        <f aca="false">F2298*G2298</f>
        <v>974.87</v>
      </c>
      <c r="J2298" s="4" t="n">
        <f aca="false">F2298*H2298</f>
        <v>535.86</v>
      </c>
      <c r="K2298" s="4" t="n">
        <f aca="false">I2298-J2298</f>
        <v>439.01</v>
      </c>
      <c r="L2298" s="5" t="n">
        <f aca="false">IFERROR(K2298/I2298,0)</f>
        <v>0.45032671022803</v>
      </c>
    </row>
    <row r="2299" customFormat="false" ht="15" hidden="false" customHeight="false" outlineLevel="0" collapsed="false">
      <c r="A2299" s="2" t="s">
        <v>47</v>
      </c>
      <c r="B2299" s="2" t="s">
        <v>48</v>
      </c>
      <c r="C2299" s="2" t="s">
        <v>38</v>
      </c>
      <c r="D2299" s="2" t="s">
        <v>41</v>
      </c>
      <c r="E2299" s="3" t="n">
        <v>46204</v>
      </c>
      <c r="F2299" s="2" t="n">
        <v>11</v>
      </c>
      <c r="G2299" s="4" t="n">
        <v>19.99</v>
      </c>
      <c r="H2299" s="4" t="n">
        <v>9.65</v>
      </c>
      <c r="I2299" s="4" t="n">
        <f aca="false">F2299*G2299</f>
        <v>219.89</v>
      </c>
      <c r="J2299" s="4" t="n">
        <f aca="false">F2299*H2299</f>
        <v>106.15</v>
      </c>
      <c r="K2299" s="4" t="n">
        <f aca="false">I2299-J2299</f>
        <v>113.74</v>
      </c>
      <c r="L2299" s="5" t="n">
        <f aca="false">IFERROR(K2299/I2299,0)</f>
        <v>0.517258629314657</v>
      </c>
    </row>
    <row r="2300" customFormat="false" ht="15" hidden="false" customHeight="false" outlineLevel="0" collapsed="false">
      <c r="A2300" s="2" t="s">
        <v>47</v>
      </c>
      <c r="B2300" s="2" t="s">
        <v>48</v>
      </c>
      <c r="C2300" s="2" t="s">
        <v>38</v>
      </c>
      <c r="D2300" s="2" t="s">
        <v>42</v>
      </c>
      <c r="E2300" s="3" t="n">
        <v>46204</v>
      </c>
      <c r="F2300" s="2" t="n">
        <v>10</v>
      </c>
      <c r="G2300" s="4" t="n">
        <v>16.99</v>
      </c>
      <c r="H2300" s="4" t="n">
        <v>8.63</v>
      </c>
      <c r="I2300" s="4" t="n">
        <f aca="false">F2300*G2300</f>
        <v>169.9</v>
      </c>
      <c r="J2300" s="4" t="n">
        <f aca="false">F2300*H2300</f>
        <v>86.3</v>
      </c>
      <c r="K2300" s="4" t="n">
        <f aca="false">I2300-J2300</f>
        <v>83.6</v>
      </c>
      <c r="L2300" s="5" t="n">
        <f aca="false">IFERROR(K2300/I2300,0)</f>
        <v>0.492054149499706</v>
      </c>
    </row>
    <row r="2301" customFormat="false" ht="15" hidden="false" customHeight="false" outlineLevel="0" collapsed="false">
      <c r="A2301" s="2" t="s">
        <v>47</v>
      </c>
      <c r="B2301" s="2" t="s">
        <v>48</v>
      </c>
      <c r="C2301" s="2" t="s">
        <v>38</v>
      </c>
      <c r="D2301" s="2" t="s">
        <v>43</v>
      </c>
      <c r="E2301" s="3" t="n">
        <v>46204</v>
      </c>
      <c r="F2301" s="2" t="n">
        <v>11</v>
      </c>
      <c r="G2301" s="4" t="n">
        <v>24.99</v>
      </c>
      <c r="H2301" s="4" t="n">
        <v>12.61</v>
      </c>
      <c r="I2301" s="4" t="n">
        <f aca="false">F2301*G2301</f>
        <v>274.89</v>
      </c>
      <c r="J2301" s="4" t="n">
        <f aca="false">F2301*H2301</f>
        <v>138.71</v>
      </c>
      <c r="K2301" s="4" t="n">
        <f aca="false">I2301-J2301</f>
        <v>136.18</v>
      </c>
      <c r="L2301" s="5" t="n">
        <f aca="false">IFERROR(K2301/I2301,0)</f>
        <v>0.495398159263706</v>
      </c>
    </row>
    <row r="2302" customFormat="false" ht="15" hidden="false" customHeight="false" outlineLevel="0" collapsed="false">
      <c r="A2302" s="2" t="s">
        <v>47</v>
      </c>
      <c r="B2302" s="2" t="s">
        <v>49</v>
      </c>
      <c r="C2302" s="2" t="s">
        <v>14</v>
      </c>
      <c r="D2302" s="2" t="s">
        <v>15</v>
      </c>
      <c r="E2302" s="3" t="n">
        <v>46204</v>
      </c>
      <c r="F2302" s="2" t="n">
        <v>6</v>
      </c>
      <c r="G2302" s="4" t="n">
        <v>69.99</v>
      </c>
      <c r="H2302" s="4" t="n">
        <v>34.39</v>
      </c>
      <c r="I2302" s="4" t="n">
        <f aca="false">F2302*G2302</f>
        <v>419.94</v>
      </c>
      <c r="J2302" s="4" t="n">
        <f aca="false">F2302*H2302</f>
        <v>206.34</v>
      </c>
      <c r="K2302" s="4" t="n">
        <f aca="false">I2302-J2302</f>
        <v>213.6</v>
      </c>
      <c r="L2302" s="5" t="n">
        <f aca="false">IFERROR(K2302/I2302,0)</f>
        <v>0.508644092013145</v>
      </c>
    </row>
    <row r="2303" customFormat="false" ht="15" hidden="false" customHeight="false" outlineLevel="0" collapsed="false">
      <c r="A2303" s="2" t="s">
        <v>47</v>
      </c>
      <c r="B2303" s="2" t="s">
        <v>49</v>
      </c>
      <c r="C2303" s="2" t="s">
        <v>14</v>
      </c>
      <c r="D2303" s="2" t="s">
        <v>16</v>
      </c>
      <c r="E2303" s="3" t="n">
        <v>46204</v>
      </c>
      <c r="F2303" s="2" t="n">
        <v>12</v>
      </c>
      <c r="G2303" s="4" t="n">
        <v>19.99</v>
      </c>
      <c r="H2303" s="4" t="n">
        <v>8.86</v>
      </c>
      <c r="I2303" s="4" t="n">
        <f aca="false">F2303*G2303</f>
        <v>239.88</v>
      </c>
      <c r="J2303" s="4" t="n">
        <f aca="false">F2303*H2303</f>
        <v>106.32</v>
      </c>
      <c r="K2303" s="4" t="n">
        <f aca="false">I2303-J2303</f>
        <v>133.56</v>
      </c>
      <c r="L2303" s="5" t="n">
        <f aca="false">IFERROR(K2303/I2303,0)</f>
        <v>0.556778389194597</v>
      </c>
    </row>
    <row r="2304" customFormat="false" ht="15" hidden="false" customHeight="false" outlineLevel="0" collapsed="false">
      <c r="A2304" s="2" t="s">
        <v>47</v>
      </c>
      <c r="B2304" s="2" t="s">
        <v>49</v>
      </c>
      <c r="C2304" s="2" t="s">
        <v>14</v>
      </c>
      <c r="D2304" s="2" t="s">
        <v>17</v>
      </c>
      <c r="E2304" s="3" t="n">
        <v>46204</v>
      </c>
      <c r="F2304" s="2" t="n">
        <v>10</v>
      </c>
      <c r="G2304" s="4" t="n">
        <v>79.99</v>
      </c>
      <c r="H2304" s="4" t="n">
        <v>39.66</v>
      </c>
      <c r="I2304" s="4" t="n">
        <f aca="false">F2304*G2304</f>
        <v>799.9</v>
      </c>
      <c r="J2304" s="4" t="n">
        <f aca="false">F2304*H2304</f>
        <v>396.6</v>
      </c>
      <c r="K2304" s="4" t="n">
        <f aca="false">I2304-J2304</f>
        <v>403.3</v>
      </c>
      <c r="L2304" s="5" t="n">
        <f aca="false">IFERROR(K2304/I2304,0)</f>
        <v>0.504188023502938</v>
      </c>
    </row>
    <row r="2305" customFormat="false" ht="15" hidden="false" customHeight="false" outlineLevel="0" collapsed="false">
      <c r="A2305" s="2" t="s">
        <v>47</v>
      </c>
      <c r="B2305" s="2" t="s">
        <v>49</v>
      </c>
      <c r="C2305" s="2" t="s">
        <v>14</v>
      </c>
      <c r="D2305" s="2" t="s">
        <v>18</v>
      </c>
      <c r="E2305" s="3" t="n">
        <v>46204</v>
      </c>
      <c r="F2305" s="2" t="n">
        <v>4</v>
      </c>
      <c r="G2305" s="4" t="n">
        <v>34.99</v>
      </c>
      <c r="H2305" s="4" t="n">
        <v>14.93</v>
      </c>
      <c r="I2305" s="4" t="n">
        <f aca="false">F2305*G2305</f>
        <v>139.96</v>
      </c>
      <c r="J2305" s="4" t="n">
        <f aca="false">F2305*H2305</f>
        <v>59.72</v>
      </c>
      <c r="K2305" s="4" t="n">
        <f aca="false">I2305-J2305</f>
        <v>80.24</v>
      </c>
      <c r="L2305" s="5" t="n">
        <f aca="false">IFERROR(K2305/I2305,0)</f>
        <v>0.573306659045442</v>
      </c>
    </row>
    <row r="2306" customFormat="false" ht="15" hidden="false" customHeight="false" outlineLevel="0" collapsed="false">
      <c r="A2306" s="2" t="s">
        <v>47</v>
      </c>
      <c r="B2306" s="2" t="s">
        <v>49</v>
      </c>
      <c r="C2306" s="2" t="s">
        <v>14</v>
      </c>
      <c r="D2306" s="2" t="s">
        <v>19</v>
      </c>
      <c r="E2306" s="3" t="n">
        <v>46204</v>
      </c>
      <c r="F2306" s="2" t="n">
        <v>9</v>
      </c>
      <c r="G2306" s="4" t="n">
        <v>54.99</v>
      </c>
      <c r="H2306" s="4" t="n">
        <v>24.16</v>
      </c>
      <c r="I2306" s="4" t="n">
        <f aca="false">F2306*G2306</f>
        <v>494.91</v>
      </c>
      <c r="J2306" s="4" t="n">
        <f aca="false">F2306*H2306</f>
        <v>217.44</v>
      </c>
      <c r="K2306" s="4" t="n">
        <f aca="false">I2306-J2306</f>
        <v>277.47</v>
      </c>
      <c r="L2306" s="5" t="n">
        <f aca="false">IFERROR(K2306/I2306,0)</f>
        <v>0.560647390434625</v>
      </c>
    </row>
    <row r="2307" customFormat="false" ht="15" hidden="false" customHeight="false" outlineLevel="0" collapsed="false">
      <c r="A2307" s="2" t="s">
        <v>47</v>
      </c>
      <c r="B2307" s="2" t="s">
        <v>49</v>
      </c>
      <c r="C2307" s="2" t="s">
        <v>20</v>
      </c>
      <c r="D2307" s="2" t="s">
        <v>21</v>
      </c>
      <c r="E2307" s="3" t="n">
        <v>46204</v>
      </c>
      <c r="F2307" s="2" t="n">
        <v>13</v>
      </c>
      <c r="G2307" s="4" t="n">
        <v>44.99</v>
      </c>
      <c r="H2307" s="4" t="n">
        <v>19.9</v>
      </c>
      <c r="I2307" s="4" t="n">
        <f aca="false">F2307*G2307</f>
        <v>584.87</v>
      </c>
      <c r="J2307" s="4" t="n">
        <f aca="false">F2307*H2307</f>
        <v>258.7</v>
      </c>
      <c r="K2307" s="4" t="n">
        <f aca="false">I2307-J2307</f>
        <v>326.17</v>
      </c>
      <c r="L2307" s="5" t="n">
        <f aca="false">IFERROR(K2307/I2307,0)</f>
        <v>0.557679484329851</v>
      </c>
    </row>
    <row r="2308" customFormat="false" ht="15" hidden="false" customHeight="false" outlineLevel="0" collapsed="false">
      <c r="A2308" s="2" t="s">
        <v>47</v>
      </c>
      <c r="B2308" s="2" t="s">
        <v>49</v>
      </c>
      <c r="C2308" s="2" t="s">
        <v>20</v>
      </c>
      <c r="D2308" s="2" t="s">
        <v>22</v>
      </c>
      <c r="E2308" s="3" t="n">
        <v>46204</v>
      </c>
      <c r="F2308" s="2" t="n">
        <v>13</v>
      </c>
      <c r="G2308" s="4" t="n">
        <v>14.99</v>
      </c>
      <c r="H2308" s="4" t="n">
        <v>5.73</v>
      </c>
      <c r="I2308" s="4" t="n">
        <f aca="false">F2308*G2308</f>
        <v>194.87</v>
      </c>
      <c r="J2308" s="4" t="n">
        <f aca="false">F2308*H2308</f>
        <v>74.49</v>
      </c>
      <c r="K2308" s="4" t="n">
        <f aca="false">I2308-J2308</f>
        <v>120.38</v>
      </c>
      <c r="L2308" s="5" t="n">
        <f aca="false">IFERROR(K2308/I2308,0)</f>
        <v>0.617745163442295</v>
      </c>
    </row>
    <row r="2309" customFormat="false" ht="15" hidden="false" customHeight="false" outlineLevel="0" collapsed="false">
      <c r="A2309" s="2" t="s">
        <v>47</v>
      </c>
      <c r="B2309" s="2" t="s">
        <v>49</v>
      </c>
      <c r="C2309" s="2" t="s">
        <v>20</v>
      </c>
      <c r="D2309" s="2" t="s">
        <v>23</v>
      </c>
      <c r="E2309" s="3" t="n">
        <v>46204</v>
      </c>
      <c r="F2309" s="2" t="n">
        <v>9</v>
      </c>
      <c r="G2309" s="4" t="n">
        <v>39.99</v>
      </c>
      <c r="H2309" s="4" t="n">
        <v>17.22</v>
      </c>
      <c r="I2309" s="4" t="n">
        <f aca="false">F2309*G2309</f>
        <v>359.91</v>
      </c>
      <c r="J2309" s="4" t="n">
        <f aca="false">F2309*H2309</f>
        <v>154.98</v>
      </c>
      <c r="K2309" s="4" t="n">
        <f aca="false">I2309-J2309</f>
        <v>204.93</v>
      </c>
      <c r="L2309" s="5" t="n">
        <f aca="false">IFERROR(K2309/I2309,0)</f>
        <v>0.569392348087022</v>
      </c>
    </row>
    <row r="2310" customFormat="false" ht="15" hidden="false" customHeight="false" outlineLevel="0" collapsed="false">
      <c r="A2310" s="2" t="s">
        <v>47</v>
      </c>
      <c r="B2310" s="2" t="s">
        <v>49</v>
      </c>
      <c r="C2310" s="2" t="s">
        <v>20</v>
      </c>
      <c r="D2310" s="2" t="s">
        <v>24</v>
      </c>
      <c r="E2310" s="3" t="n">
        <v>46204</v>
      </c>
      <c r="F2310" s="2" t="n">
        <v>8</v>
      </c>
      <c r="G2310" s="4" t="n">
        <v>18.99</v>
      </c>
      <c r="H2310" s="4" t="n">
        <v>7.77</v>
      </c>
      <c r="I2310" s="4" t="n">
        <f aca="false">F2310*G2310</f>
        <v>151.92</v>
      </c>
      <c r="J2310" s="4" t="n">
        <f aca="false">F2310*H2310</f>
        <v>62.16</v>
      </c>
      <c r="K2310" s="4" t="n">
        <f aca="false">I2310-J2310</f>
        <v>89.76</v>
      </c>
      <c r="L2310" s="5" t="n">
        <f aca="false">IFERROR(K2310/I2310,0)</f>
        <v>0.590837282780411</v>
      </c>
    </row>
    <row r="2311" customFormat="false" ht="15" hidden="false" customHeight="false" outlineLevel="0" collapsed="false">
      <c r="A2311" s="2" t="s">
        <v>47</v>
      </c>
      <c r="B2311" s="2" t="s">
        <v>49</v>
      </c>
      <c r="C2311" s="2" t="s">
        <v>20</v>
      </c>
      <c r="D2311" s="2" t="s">
        <v>25</v>
      </c>
      <c r="E2311" s="3" t="n">
        <v>46204</v>
      </c>
      <c r="F2311" s="2" t="n">
        <v>7</v>
      </c>
      <c r="G2311" s="4" t="n">
        <v>42.99</v>
      </c>
      <c r="H2311" s="4" t="n">
        <v>15.9</v>
      </c>
      <c r="I2311" s="4" t="n">
        <f aca="false">F2311*G2311</f>
        <v>300.93</v>
      </c>
      <c r="J2311" s="4" t="n">
        <f aca="false">F2311*H2311</f>
        <v>111.3</v>
      </c>
      <c r="K2311" s="4" t="n">
        <f aca="false">I2311-J2311</f>
        <v>189.63</v>
      </c>
      <c r="L2311" s="5" t="n">
        <f aca="false">IFERROR(K2311/I2311,0)</f>
        <v>0.630146545708304</v>
      </c>
    </row>
    <row r="2312" customFormat="false" ht="15" hidden="false" customHeight="false" outlineLevel="0" collapsed="false">
      <c r="A2312" s="2" t="s">
        <v>47</v>
      </c>
      <c r="B2312" s="2" t="s">
        <v>49</v>
      </c>
      <c r="C2312" s="2" t="s">
        <v>26</v>
      </c>
      <c r="D2312" s="2" t="s">
        <v>27</v>
      </c>
      <c r="E2312" s="3" t="n">
        <v>46204</v>
      </c>
      <c r="F2312" s="2" t="n">
        <v>9</v>
      </c>
      <c r="G2312" s="4" t="n">
        <v>44.99</v>
      </c>
      <c r="H2312" s="4" t="n">
        <v>27.22</v>
      </c>
      <c r="I2312" s="4" t="n">
        <f aca="false">F2312*G2312</f>
        <v>404.91</v>
      </c>
      <c r="J2312" s="4" t="n">
        <f aca="false">F2312*H2312</f>
        <v>244.98</v>
      </c>
      <c r="K2312" s="4" t="n">
        <f aca="false">I2312-J2312</f>
        <v>159.93</v>
      </c>
      <c r="L2312" s="5" t="n">
        <f aca="false">IFERROR(K2312/I2312,0)</f>
        <v>0.394976661480329</v>
      </c>
    </row>
    <row r="2313" customFormat="false" ht="15" hidden="false" customHeight="false" outlineLevel="0" collapsed="false">
      <c r="A2313" s="2" t="s">
        <v>47</v>
      </c>
      <c r="B2313" s="2" t="s">
        <v>49</v>
      </c>
      <c r="C2313" s="2" t="s">
        <v>26</v>
      </c>
      <c r="D2313" s="2" t="s">
        <v>28</v>
      </c>
      <c r="E2313" s="3" t="n">
        <v>46204</v>
      </c>
      <c r="F2313" s="2" t="n">
        <v>10</v>
      </c>
      <c r="G2313" s="4" t="n">
        <v>34.99</v>
      </c>
      <c r="H2313" s="4" t="n">
        <v>22.95</v>
      </c>
      <c r="I2313" s="4" t="n">
        <f aca="false">F2313*G2313</f>
        <v>349.9</v>
      </c>
      <c r="J2313" s="4" t="n">
        <f aca="false">F2313*H2313</f>
        <v>229.5</v>
      </c>
      <c r="K2313" s="4" t="n">
        <f aca="false">I2313-J2313</f>
        <v>120.4</v>
      </c>
      <c r="L2313" s="5" t="n">
        <f aca="false">IFERROR(K2313/I2313,0)</f>
        <v>0.344098313803944</v>
      </c>
    </row>
    <row r="2314" customFormat="false" ht="15" hidden="false" customHeight="false" outlineLevel="0" collapsed="false">
      <c r="A2314" s="2" t="s">
        <v>47</v>
      </c>
      <c r="B2314" s="2" t="s">
        <v>49</v>
      </c>
      <c r="C2314" s="2" t="s">
        <v>26</v>
      </c>
      <c r="D2314" s="2" t="s">
        <v>29</v>
      </c>
      <c r="E2314" s="3" t="n">
        <v>46204</v>
      </c>
      <c r="F2314" s="2" t="n">
        <v>9</v>
      </c>
      <c r="G2314" s="4" t="n">
        <v>119.99</v>
      </c>
      <c r="H2314" s="4" t="n">
        <v>80.77</v>
      </c>
      <c r="I2314" s="4" t="n">
        <f aca="false">F2314*G2314</f>
        <v>1079.91</v>
      </c>
      <c r="J2314" s="4" t="n">
        <f aca="false">F2314*H2314</f>
        <v>726.93</v>
      </c>
      <c r="K2314" s="4" t="n">
        <f aca="false">I2314-J2314</f>
        <v>352.98</v>
      </c>
      <c r="L2314" s="5" t="n">
        <f aca="false">IFERROR(K2314/I2314,0)</f>
        <v>0.32686057171431</v>
      </c>
    </row>
    <row r="2315" customFormat="false" ht="15" hidden="false" customHeight="false" outlineLevel="0" collapsed="false">
      <c r="A2315" s="2" t="s">
        <v>47</v>
      </c>
      <c r="B2315" s="2" t="s">
        <v>49</v>
      </c>
      <c r="C2315" s="2" t="s">
        <v>26</v>
      </c>
      <c r="D2315" s="2" t="s">
        <v>30</v>
      </c>
      <c r="E2315" s="3" t="n">
        <v>46204</v>
      </c>
      <c r="F2315" s="2" t="n">
        <v>7</v>
      </c>
      <c r="G2315" s="4" t="n">
        <v>24.99</v>
      </c>
      <c r="H2315" s="4" t="n">
        <v>14.61</v>
      </c>
      <c r="I2315" s="4" t="n">
        <f aca="false">F2315*G2315</f>
        <v>174.93</v>
      </c>
      <c r="J2315" s="4" t="n">
        <f aca="false">F2315*H2315</f>
        <v>102.27</v>
      </c>
      <c r="K2315" s="4" t="n">
        <f aca="false">I2315-J2315</f>
        <v>72.66</v>
      </c>
      <c r="L2315" s="5" t="n">
        <f aca="false">IFERROR(K2315/I2315,0)</f>
        <v>0.415366146458583</v>
      </c>
    </row>
    <row r="2316" customFormat="false" ht="15" hidden="false" customHeight="false" outlineLevel="0" collapsed="false">
      <c r="A2316" s="2" t="s">
        <v>47</v>
      </c>
      <c r="B2316" s="2" t="s">
        <v>49</v>
      </c>
      <c r="C2316" s="2" t="s">
        <v>26</v>
      </c>
      <c r="D2316" s="2" t="s">
        <v>31</v>
      </c>
      <c r="E2316" s="3" t="n">
        <v>46204</v>
      </c>
      <c r="F2316" s="2" t="n">
        <v>7</v>
      </c>
      <c r="G2316" s="4" t="n">
        <v>59.99</v>
      </c>
      <c r="H2316" s="4" t="n">
        <v>39.81</v>
      </c>
      <c r="I2316" s="4" t="n">
        <f aca="false">F2316*G2316</f>
        <v>419.93</v>
      </c>
      <c r="J2316" s="4" t="n">
        <f aca="false">F2316*H2316</f>
        <v>278.67</v>
      </c>
      <c r="K2316" s="4" t="n">
        <f aca="false">I2316-J2316</f>
        <v>141.26</v>
      </c>
      <c r="L2316" s="5" t="n">
        <f aca="false">IFERROR(K2316/I2316,0)</f>
        <v>0.336389398233039</v>
      </c>
    </row>
    <row r="2317" customFormat="false" ht="15" hidden="false" customHeight="false" outlineLevel="0" collapsed="false">
      <c r="A2317" s="2" t="s">
        <v>47</v>
      </c>
      <c r="B2317" s="2" t="s">
        <v>49</v>
      </c>
      <c r="C2317" s="2" t="s">
        <v>32</v>
      </c>
      <c r="D2317" s="2" t="s">
        <v>33</v>
      </c>
      <c r="E2317" s="3" t="n">
        <v>46204</v>
      </c>
      <c r="F2317" s="2" t="n">
        <v>10</v>
      </c>
      <c r="G2317" s="4" t="n">
        <v>49.99</v>
      </c>
      <c r="H2317" s="4" t="n">
        <v>35.31</v>
      </c>
      <c r="I2317" s="4" t="n">
        <f aca="false">F2317*G2317</f>
        <v>499.9</v>
      </c>
      <c r="J2317" s="4" t="n">
        <f aca="false">F2317*H2317</f>
        <v>353.1</v>
      </c>
      <c r="K2317" s="4" t="n">
        <f aca="false">I2317-J2317</f>
        <v>146.8</v>
      </c>
      <c r="L2317" s="5" t="n">
        <f aca="false">IFERROR(K2317/I2317,0)</f>
        <v>0.293658731746349</v>
      </c>
    </row>
    <row r="2318" customFormat="false" ht="15" hidden="false" customHeight="false" outlineLevel="0" collapsed="false">
      <c r="A2318" s="2" t="s">
        <v>47</v>
      </c>
      <c r="B2318" s="2" t="s">
        <v>49</v>
      </c>
      <c r="C2318" s="2" t="s">
        <v>32</v>
      </c>
      <c r="D2318" s="2" t="s">
        <v>34</v>
      </c>
      <c r="E2318" s="3" t="n">
        <v>46204</v>
      </c>
      <c r="F2318" s="2" t="n">
        <v>6</v>
      </c>
      <c r="G2318" s="4" t="n">
        <v>27.99</v>
      </c>
      <c r="H2318" s="4" t="n">
        <v>19.84</v>
      </c>
      <c r="I2318" s="4" t="n">
        <f aca="false">F2318*G2318</f>
        <v>167.94</v>
      </c>
      <c r="J2318" s="4" t="n">
        <f aca="false">F2318*H2318</f>
        <v>119.04</v>
      </c>
      <c r="K2318" s="4" t="n">
        <f aca="false">I2318-J2318</f>
        <v>48.9</v>
      </c>
      <c r="L2318" s="5" t="n">
        <f aca="false">IFERROR(K2318/I2318,0)</f>
        <v>0.291175419792783</v>
      </c>
    </row>
    <row r="2319" customFormat="false" ht="15" hidden="false" customHeight="false" outlineLevel="0" collapsed="false">
      <c r="A2319" s="2" t="s">
        <v>47</v>
      </c>
      <c r="B2319" s="2" t="s">
        <v>49</v>
      </c>
      <c r="C2319" s="2" t="s">
        <v>32</v>
      </c>
      <c r="D2319" s="2" t="s">
        <v>35</v>
      </c>
      <c r="E2319" s="3" t="n">
        <v>46204</v>
      </c>
      <c r="F2319" s="2" t="n">
        <v>8</v>
      </c>
      <c r="G2319" s="4" t="n">
        <v>64.99</v>
      </c>
      <c r="H2319" s="4" t="n">
        <v>46.28</v>
      </c>
      <c r="I2319" s="4" t="n">
        <f aca="false">F2319*G2319</f>
        <v>519.92</v>
      </c>
      <c r="J2319" s="4" t="n">
        <f aca="false">F2319*H2319</f>
        <v>370.24</v>
      </c>
      <c r="K2319" s="4" t="n">
        <f aca="false">I2319-J2319</f>
        <v>149.68</v>
      </c>
      <c r="L2319" s="5" t="n">
        <f aca="false">IFERROR(K2319/I2319,0)</f>
        <v>0.287890444683797</v>
      </c>
    </row>
    <row r="2320" customFormat="false" ht="15" hidden="false" customHeight="false" outlineLevel="0" collapsed="false">
      <c r="A2320" s="2" t="s">
        <v>47</v>
      </c>
      <c r="B2320" s="2" t="s">
        <v>49</v>
      </c>
      <c r="C2320" s="2" t="s">
        <v>32</v>
      </c>
      <c r="D2320" s="2" t="s">
        <v>36</v>
      </c>
      <c r="E2320" s="3" t="n">
        <v>46204</v>
      </c>
      <c r="F2320" s="2" t="n">
        <v>8</v>
      </c>
      <c r="G2320" s="4" t="n">
        <v>22.99</v>
      </c>
      <c r="H2320" s="4" t="n">
        <v>16.98</v>
      </c>
      <c r="I2320" s="4" t="n">
        <f aca="false">F2320*G2320</f>
        <v>183.92</v>
      </c>
      <c r="J2320" s="4" t="n">
        <f aca="false">F2320*H2320</f>
        <v>135.84</v>
      </c>
      <c r="K2320" s="4" t="n">
        <f aca="false">I2320-J2320</f>
        <v>48.08</v>
      </c>
      <c r="L2320" s="5" t="n">
        <f aca="false">IFERROR(K2320/I2320,0)</f>
        <v>0.261418007829491</v>
      </c>
    </row>
    <row r="2321" customFormat="false" ht="15" hidden="false" customHeight="false" outlineLevel="0" collapsed="false">
      <c r="A2321" s="2" t="s">
        <v>47</v>
      </c>
      <c r="B2321" s="2" t="s">
        <v>49</v>
      </c>
      <c r="C2321" s="2" t="s">
        <v>32</v>
      </c>
      <c r="D2321" s="2" t="s">
        <v>37</v>
      </c>
      <c r="E2321" s="3" t="n">
        <v>46204</v>
      </c>
      <c r="F2321" s="2" t="n">
        <v>11</v>
      </c>
      <c r="G2321" s="4" t="n">
        <v>29.99</v>
      </c>
      <c r="H2321" s="4" t="n">
        <v>19.96</v>
      </c>
      <c r="I2321" s="4" t="n">
        <f aca="false">F2321*G2321</f>
        <v>329.89</v>
      </c>
      <c r="J2321" s="4" t="n">
        <f aca="false">F2321*H2321</f>
        <v>219.56</v>
      </c>
      <c r="K2321" s="4" t="n">
        <f aca="false">I2321-J2321</f>
        <v>110.33</v>
      </c>
      <c r="L2321" s="5" t="n">
        <f aca="false">IFERROR(K2321/I2321,0)</f>
        <v>0.334444814938313</v>
      </c>
    </row>
    <row r="2322" customFormat="false" ht="15" hidden="false" customHeight="false" outlineLevel="0" collapsed="false">
      <c r="A2322" s="2" t="s">
        <v>47</v>
      </c>
      <c r="B2322" s="2" t="s">
        <v>49</v>
      </c>
      <c r="C2322" s="2" t="s">
        <v>38</v>
      </c>
      <c r="D2322" s="2" t="s">
        <v>39</v>
      </c>
      <c r="E2322" s="3" t="n">
        <v>46204</v>
      </c>
      <c r="F2322" s="2" t="n">
        <v>9</v>
      </c>
      <c r="G2322" s="4" t="n">
        <v>129.99</v>
      </c>
      <c r="H2322" s="4" t="n">
        <v>76.1</v>
      </c>
      <c r="I2322" s="4" t="n">
        <f aca="false">F2322*G2322</f>
        <v>1169.91</v>
      </c>
      <c r="J2322" s="4" t="n">
        <f aca="false">F2322*H2322</f>
        <v>684.9</v>
      </c>
      <c r="K2322" s="4" t="n">
        <f aca="false">I2322-J2322</f>
        <v>485.01</v>
      </c>
      <c r="L2322" s="5" t="n">
        <f aca="false">IFERROR(K2322/I2322,0)</f>
        <v>0.414570351565505</v>
      </c>
    </row>
    <row r="2323" customFormat="false" ht="15" hidden="false" customHeight="false" outlineLevel="0" collapsed="false">
      <c r="A2323" s="2" t="s">
        <v>47</v>
      </c>
      <c r="B2323" s="2" t="s">
        <v>49</v>
      </c>
      <c r="C2323" s="2" t="s">
        <v>38</v>
      </c>
      <c r="D2323" s="2" t="s">
        <v>40</v>
      </c>
      <c r="E2323" s="3" t="n">
        <v>46204</v>
      </c>
      <c r="F2323" s="2" t="n">
        <v>10</v>
      </c>
      <c r="G2323" s="4" t="n">
        <v>74.99</v>
      </c>
      <c r="H2323" s="4" t="n">
        <v>40.96</v>
      </c>
      <c r="I2323" s="4" t="n">
        <f aca="false">F2323*G2323</f>
        <v>749.9</v>
      </c>
      <c r="J2323" s="4" t="n">
        <f aca="false">F2323*H2323</f>
        <v>409.6</v>
      </c>
      <c r="K2323" s="4" t="n">
        <f aca="false">I2323-J2323</f>
        <v>340.3</v>
      </c>
      <c r="L2323" s="5" t="n">
        <f aca="false">IFERROR(K2323/I2323,0)</f>
        <v>0.453793839178557</v>
      </c>
    </row>
    <row r="2324" customFormat="false" ht="15" hidden="false" customHeight="false" outlineLevel="0" collapsed="false">
      <c r="A2324" s="2" t="s">
        <v>47</v>
      </c>
      <c r="B2324" s="2" t="s">
        <v>49</v>
      </c>
      <c r="C2324" s="2" t="s">
        <v>38</v>
      </c>
      <c r="D2324" s="2" t="s">
        <v>41</v>
      </c>
      <c r="E2324" s="3" t="n">
        <v>46204</v>
      </c>
      <c r="F2324" s="2" t="n">
        <v>7</v>
      </c>
      <c r="G2324" s="4" t="n">
        <v>19.99</v>
      </c>
      <c r="H2324" s="4" t="n">
        <v>9.44</v>
      </c>
      <c r="I2324" s="4" t="n">
        <f aca="false">F2324*G2324</f>
        <v>139.93</v>
      </c>
      <c r="J2324" s="4" t="n">
        <f aca="false">F2324*H2324</f>
        <v>66.08</v>
      </c>
      <c r="K2324" s="4" t="n">
        <f aca="false">I2324-J2324</f>
        <v>73.85</v>
      </c>
      <c r="L2324" s="5" t="n">
        <f aca="false">IFERROR(K2324/I2324,0)</f>
        <v>0.527763881940971</v>
      </c>
    </row>
    <row r="2325" customFormat="false" ht="15" hidden="false" customHeight="false" outlineLevel="0" collapsed="false">
      <c r="A2325" s="2" t="s">
        <v>47</v>
      </c>
      <c r="B2325" s="2" t="s">
        <v>49</v>
      </c>
      <c r="C2325" s="2" t="s">
        <v>38</v>
      </c>
      <c r="D2325" s="2" t="s">
        <v>42</v>
      </c>
      <c r="E2325" s="3" t="n">
        <v>46204</v>
      </c>
      <c r="F2325" s="2" t="n">
        <v>9</v>
      </c>
      <c r="G2325" s="4" t="n">
        <v>16.99</v>
      </c>
      <c r="H2325" s="4" t="n">
        <v>8.49</v>
      </c>
      <c r="I2325" s="4" t="n">
        <f aca="false">F2325*G2325</f>
        <v>152.91</v>
      </c>
      <c r="J2325" s="4" t="n">
        <f aca="false">F2325*H2325</f>
        <v>76.41</v>
      </c>
      <c r="K2325" s="4" t="n">
        <f aca="false">I2325-J2325</f>
        <v>76.5</v>
      </c>
      <c r="L2325" s="5" t="n">
        <f aca="false">IFERROR(K2325/I2325,0)</f>
        <v>0.50029429075927</v>
      </c>
    </row>
    <row r="2326" customFormat="false" ht="15" hidden="false" customHeight="false" outlineLevel="0" collapsed="false">
      <c r="A2326" s="2" t="s">
        <v>47</v>
      </c>
      <c r="B2326" s="2" t="s">
        <v>49</v>
      </c>
      <c r="C2326" s="2" t="s">
        <v>38</v>
      </c>
      <c r="D2326" s="2" t="s">
        <v>43</v>
      </c>
      <c r="E2326" s="3" t="n">
        <v>46204</v>
      </c>
      <c r="F2326" s="2" t="n">
        <v>13</v>
      </c>
      <c r="G2326" s="4" t="n">
        <v>24.99</v>
      </c>
      <c r="H2326" s="4" t="n">
        <v>13.27</v>
      </c>
      <c r="I2326" s="4" t="n">
        <f aca="false">F2326*G2326</f>
        <v>324.87</v>
      </c>
      <c r="J2326" s="4" t="n">
        <f aca="false">F2326*H2326</f>
        <v>172.51</v>
      </c>
      <c r="K2326" s="4" t="n">
        <f aca="false">I2326-J2326</f>
        <v>152.36</v>
      </c>
      <c r="L2326" s="5" t="n">
        <f aca="false">IFERROR(K2326/I2326,0)</f>
        <v>0.468987595038015</v>
      </c>
    </row>
    <row r="2327" customFormat="false" ht="15" hidden="false" customHeight="false" outlineLevel="0" collapsed="false">
      <c r="A2327" s="2" t="s">
        <v>50</v>
      </c>
      <c r="B2327" s="2" t="s">
        <v>51</v>
      </c>
      <c r="C2327" s="2" t="s">
        <v>14</v>
      </c>
      <c r="D2327" s="2" t="s">
        <v>15</v>
      </c>
      <c r="E2327" s="3" t="n">
        <v>46204</v>
      </c>
      <c r="F2327" s="2" t="n">
        <v>18</v>
      </c>
      <c r="G2327" s="4" t="n">
        <v>69.99</v>
      </c>
      <c r="H2327" s="4" t="n">
        <v>32.88</v>
      </c>
      <c r="I2327" s="4" t="n">
        <f aca="false">F2327*G2327</f>
        <v>1259.82</v>
      </c>
      <c r="J2327" s="4" t="n">
        <f aca="false">F2327*H2327</f>
        <v>591.84</v>
      </c>
      <c r="K2327" s="4" t="n">
        <f aca="false">I2327-J2327</f>
        <v>667.98</v>
      </c>
      <c r="L2327" s="5" t="n">
        <f aca="false">IFERROR(K2327/I2327,0)</f>
        <v>0.530218602657522</v>
      </c>
    </row>
    <row r="2328" customFormat="false" ht="15" hidden="false" customHeight="false" outlineLevel="0" collapsed="false">
      <c r="A2328" s="2" t="s">
        <v>50</v>
      </c>
      <c r="B2328" s="2" t="s">
        <v>51</v>
      </c>
      <c r="C2328" s="2" t="s">
        <v>14</v>
      </c>
      <c r="D2328" s="2" t="s">
        <v>16</v>
      </c>
      <c r="E2328" s="3" t="n">
        <v>46204</v>
      </c>
      <c r="F2328" s="2" t="n">
        <v>13</v>
      </c>
      <c r="G2328" s="4" t="n">
        <v>19.99</v>
      </c>
      <c r="H2328" s="4" t="n">
        <v>9.24</v>
      </c>
      <c r="I2328" s="4" t="n">
        <f aca="false">F2328*G2328</f>
        <v>259.87</v>
      </c>
      <c r="J2328" s="4" t="n">
        <f aca="false">F2328*H2328</f>
        <v>120.12</v>
      </c>
      <c r="K2328" s="4" t="n">
        <f aca="false">I2328-J2328</f>
        <v>139.75</v>
      </c>
      <c r="L2328" s="5" t="n">
        <f aca="false">IFERROR(K2328/I2328,0)</f>
        <v>0.537768884442221</v>
      </c>
    </row>
    <row r="2329" customFormat="false" ht="15" hidden="false" customHeight="false" outlineLevel="0" collapsed="false">
      <c r="A2329" s="2" t="s">
        <v>50</v>
      </c>
      <c r="B2329" s="2" t="s">
        <v>51</v>
      </c>
      <c r="C2329" s="2" t="s">
        <v>14</v>
      </c>
      <c r="D2329" s="2" t="s">
        <v>17</v>
      </c>
      <c r="E2329" s="3" t="n">
        <v>46204</v>
      </c>
      <c r="F2329" s="2" t="n">
        <v>7</v>
      </c>
      <c r="G2329" s="4" t="n">
        <v>79.99</v>
      </c>
      <c r="H2329" s="4" t="n">
        <v>39.86</v>
      </c>
      <c r="I2329" s="4" t="n">
        <f aca="false">F2329*G2329</f>
        <v>559.93</v>
      </c>
      <c r="J2329" s="4" t="n">
        <f aca="false">F2329*H2329</f>
        <v>279.02</v>
      </c>
      <c r="K2329" s="4" t="n">
        <f aca="false">I2329-J2329</f>
        <v>280.91</v>
      </c>
      <c r="L2329" s="5" t="n">
        <f aca="false">IFERROR(K2329/I2329,0)</f>
        <v>0.50168771096387</v>
      </c>
    </row>
    <row r="2330" customFormat="false" ht="15" hidden="false" customHeight="false" outlineLevel="0" collapsed="false">
      <c r="A2330" s="2" t="s">
        <v>50</v>
      </c>
      <c r="B2330" s="2" t="s">
        <v>51</v>
      </c>
      <c r="C2330" s="2" t="s">
        <v>14</v>
      </c>
      <c r="D2330" s="2" t="s">
        <v>18</v>
      </c>
      <c r="E2330" s="3" t="n">
        <v>46204</v>
      </c>
      <c r="F2330" s="2" t="n">
        <v>13</v>
      </c>
      <c r="G2330" s="4" t="n">
        <v>34.99</v>
      </c>
      <c r="H2330" s="4" t="n">
        <v>14.89</v>
      </c>
      <c r="I2330" s="4" t="n">
        <f aca="false">F2330*G2330</f>
        <v>454.87</v>
      </c>
      <c r="J2330" s="4" t="n">
        <f aca="false">F2330*H2330</f>
        <v>193.57</v>
      </c>
      <c r="K2330" s="4" t="n">
        <f aca="false">I2330-J2330</f>
        <v>261.3</v>
      </c>
      <c r="L2330" s="5" t="n">
        <f aca="false">IFERROR(K2330/I2330,0)</f>
        <v>0.574449842812232</v>
      </c>
    </row>
    <row r="2331" customFormat="false" ht="15" hidden="false" customHeight="false" outlineLevel="0" collapsed="false">
      <c r="A2331" s="2" t="s">
        <v>50</v>
      </c>
      <c r="B2331" s="2" t="s">
        <v>51</v>
      </c>
      <c r="C2331" s="2" t="s">
        <v>14</v>
      </c>
      <c r="D2331" s="2" t="s">
        <v>19</v>
      </c>
      <c r="E2331" s="3" t="n">
        <v>46204</v>
      </c>
      <c r="F2331" s="2" t="n">
        <v>29</v>
      </c>
      <c r="G2331" s="4" t="n">
        <v>54.99</v>
      </c>
      <c r="H2331" s="4" t="n">
        <v>24.92</v>
      </c>
      <c r="I2331" s="4" t="n">
        <f aca="false">F2331*G2331</f>
        <v>1594.71</v>
      </c>
      <c r="J2331" s="4" t="n">
        <f aca="false">F2331*H2331</f>
        <v>722.68</v>
      </c>
      <c r="K2331" s="4" t="n">
        <f aca="false">I2331-J2331</f>
        <v>872.03</v>
      </c>
      <c r="L2331" s="5" t="n">
        <f aca="false">IFERROR(K2331/I2331,0)</f>
        <v>0.546826695762866</v>
      </c>
    </row>
    <row r="2332" customFormat="false" ht="15" hidden="false" customHeight="false" outlineLevel="0" collapsed="false">
      <c r="A2332" s="2" t="s">
        <v>50</v>
      </c>
      <c r="B2332" s="2" t="s">
        <v>51</v>
      </c>
      <c r="C2332" s="2" t="s">
        <v>20</v>
      </c>
      <c r="D2332" s="2" t="s">
        <v>21</v>
      </c>
      <c r="E2332" s="3" t="n">
        <v>46204</v>
      </c>
      <c r="F2332" s="2" t="n">
        <v>13</v>
      </c>
      <c r="G2332" s="4" t="n">
        <v>44.99</v>
      </c>
      <c r="H2332" s="4" t="n">
        <v>20</v>
      </c>
      <c r="I2332" s="4" t="n">
        <f aca="false">F2332*G2332</f>
        <v>584.87</v>
      </c>
      <c r="J2332" s="4" t="n">
        <f aca="false">F2332*H2332</f>
        <v>260</v>
      </c>
      <c r="K2332" s="4" t="n">
        <f aca="false">I2332-J2332</f>
        <v>324.87</v>
      </c>
      <c r="L2332" s="5" t="n">
        <f aca="false">IFERROR(K2332/I2332,0)</f>
        <v>0.555456768170705</v>
      </c>
    </row>
    <row r="2333" customFormat="false" ht="15" hidden="false" customHeight="false" outlineLevel="0" collapsed="false">
      <c r="A2333" s="2" t="s">
        <v>50</v>
      </c>
      <c r="B2333" s="2" t="s">
        <v>51</v>
      </c>
      <c r="C2333" s="2" t="s">
        <v>20</v>
      </c>
      <c r="D2333" s="2" t="s">
        <v>22</v>
      </c>
      <c r="E2333" s="3" t="n">
        <v>46204</v>
      </c>
      <c r="F2333" s="2" t="n">
        <v>17</v>
      </c>
      <c r="G2333" s="4" t="n">
        <v>14.99</v>
      </c>
      <c r="H2333" s="4" t="n">
        <v>5.76</v>
      </c>
      <c r="I2333" s="4" t="n">
        <f aca="false">F2333*G2333</f>
        <v>254.83</v>
      </c>
      <c r="J2333" s="4" t="n">
        <f aca="false">F2333*H2333</f>
        <v>97.92</v>
      </c>
      <c r="K2333" s="4" t="n">
        <f aca="false">I2333-J2333</f>
        <v>156.91</v>
      </c>
      <c r="L2333" s="5" t="n">
        <f aca="false">IFERROR(K2333/I2333,0)</f>
        <v>0.61574382921948</v>
      </c>
    </row>
    <row r="2334" customFormat="false" ht="15" hidden="false" customHeight="false" outlineLevel="0" collapsed="false">
      <c r="A2334" s="2" t="s">
        <v>50</v>
      </c>
      <c r="B2334" s="2" t="s">
        <v>51</v>
      </c>
      <c r="C2334" s="2" t="s">
        <v>20</v>
      </c>
      <c r="D2334" s="2" t="s">
        <v>23</v>
      </c>
      <c r="E2334" s="3" t="n">
        <v>46204</v>
      </c>
      <c r="F2334" s="2" t="n">
        <v>10</v>
      </c>
      <c r="G2334" s="4" t="n">
        <v>39.99</v>
      </c>
      <c r="H2334" s="4" t="n">
        <v>17.11</v>
      </c>
      <c r="I2334" s="4" t="n">
        <f aca="false">F2334*G2334</f>
        <v>399.9</v>
      </c>
      <c r="J2334" s="4" t="n">
        <f aca="false">F2334*H2334</f>
        <v>171.1</v>
      </c>
      <c r="K2334" s="4" t="n">
        <f aca="false">I2334-J2334</f>
        <v>228.8</v>
      </c>
      <c r="L2334" s="5" t="n">
        <f aca="false">IFERROR(K2334/I2334,0)</f>
        <v>0.57214303575894</v>
      </c>
    </row>
    <row r="2335" customFormat="false" ht="15" hidden="false" customHeight="false" outlineLevel="0" collapsed="false">
      <c r="A2335" s="2" t="s">
        <v>50</v>
      </c>
      <c r="B2335" s="2" t="s">
        <v>51</v>
      </c>
      <c r="C2335" s="2" t="s">
        <v>20</v>
      </c>
      <c r="D2335" s="2" t="s">
        <v>24</v>
      </c>
      <c r="E2335" s="3" t="n">
        <v>46204</v>
      </c>
      <c r="F2335" s="2" t="n">
        <v>12</v>
      </c>
      <c r="G2335" s="4" t="n">
        <v>18.99</v>
      </c>
      <c r="H2335" s="4" t="n">
        <v>7.44</v>
      </c>
      <c r="I2335" s="4" t="n">
        <f aca="false">F2335*G2335</f>
        <v>227.88</v>
      </c>
      <c r="J2335" s="4" t="n">
        <f aca="false">F2335*H2335</f>
        <v>89.28</v>
      </c>
      <c r="K2335" s="4" t="n">
        <f aca="false">I2335-J2335</f>
        <v>138.6</v>
      </c>
      <c r="L2335" s="5" t="n">
        <f aca="false">IFERROR(K2335/I2335,0)</f>
        <v>0.608214849921011</v>
      </c>
    </row>
    <row r="2336" customFormat="false" ht="15" hidden="false" customHeight="false" outlineLevel="0" collapsed="false">
      <c r="A2336" s="2" t="s">
        <v>50</v>
      </c>
      <c r="B2336" s="2" t="s">
        <v>51</v>
      </c>
      <c r="C2336" s="2" t="s">
        <v>20</v>
      </c>
      <c r="D2336" s="2" t="s">
        <v>25</v>
      </c>
      <c r="E2336" s="3" t="n">
        <v>46204</v>
      </c>
      <c r="F2336" s="2" t="n">
        <v>15</v>
      </c>
      <c r="G2336" s="4" t="n">
        <v>42.99</v>
      </c>
      <c r="H2336" s="4" t="n">
        <v>15.89</v>
      </c>
      <c r="I2336" s="4" t="n">
        <f aca="false">F2336*G2336</f>
        <v>644.85</v>
      </c>
      <c r="J2336" s="4" t="n">
        <f aca="false">F2336*H2336</f>
        <v>238.35</v>
      </c>
      <c r="K2336" s="4" t="n">
        <f aca="false">I2336-J2336</f>
        <v>406.5</v>
      </c>
      <c r="L2336" s="5" t="n">
        <f aca="false">IFERROR(K2336/I2336,0)</f>
        <v>0.630379157943708</v>
      </c>
    </row>
    <row r="2337" customFormat="false" ht="15" hidden="false" customHeight="false" outlineLevel="0" collapsed="false">
      <c r="A2337" s="2" t="s">
        <v>50</v>
      </c>
      <c r="B2337" s="2" t="s">
        <v>51</v>
      </c>
      <c r="C2337" s="2" t="s">
        <v>26</v>
      </c>
      <c r="D2337" s="2" t="s">
        <v>27</v>
      </c>
      <c r="E2337" s="3" t="n">
        <v>46204</v>
      </c>
      <c r="F2337" s="2" t="n">
        <v>27</v>
      </c>
      <c r="G2337" s="4" t="n">
        <v>44.99</v>
      </c>
      <c r="H2337" s="4" t="n">
        <v>27.79</v>
      </c>
      <c r="I2337" s="4" t="n">
        <f aca="false">F2337*G2337</f>
        <v>1214.73</v>
      </c>
      <c r="J2337" s="4" t="n">
        <f aca="false">F2337*H2337</f>
        <v>750.33</v>
      </c>
      <c r="K2337" s="4" t="n">
        <f aca="false">I2337-J2337</f>
        <v>464.4</v>
      </c>
      <c r="L2337" s="5" t="n">
        <f aca="false">IFERROR(K2337/I2337,0)</f>
        <v>0.382307179373194</v>
      </c>
    </row>
    <row r="2338" customFormat="false" ht="15" hidden="false" customHeight="false" outlineLevel="0" collapsed="false">
      <c r="A2338" s="2" t="s">
        <v>50</v>
      </c>
      <c r="B2338" s="2" t="s">
        <v>51</v>
      </c>
      <c r="C2338" s="2" t="s">
        <v>26</v>
      </c>
      <c r="D2338" s="2" t="s">
        <v>28</v>
      </c>
      <c r="E2338" s="3" t="n">
        <v>46204</v>
      </c>
      <c r="F2338" s="2" t="n">
        <v>10</v>
      </c>
      <c r="G2338" s="4" t="n">
        <v>34.99</v>
      </c>
      <c r="H2338" s="4" t="n">
        <v>21.93</v>
      </c>
      <c r="I2338" s="4" t="n">
        <f aca="false">F2338*G2338</f>
        <v>349.9</v>
      </c>
      <c r="J2338" s="4" t="n">
        <f aca="false">F2338*H2338</f>
        <v>219.3</v>
      </c>
      <c r="K2338" s="4" t="n">
        <f aca="false">I2338-J2338</f>
        <v>130.6</v>
      </c>
      <c r="L2338" s="5" t="n">
        <f aca="false">IFERROR(K2338/I2338,0)</f>
        <v>0.373249499857102</v>
      </c>
    </row>
    <row r="2339" customFormat="false" ht="15" hidden="false" customHeight="false" outlineLevel="0" collapsed="false">
      <c r="A2339" s="2" t="s">
        <v>50</v>
      </c>
      <c r="B2339" s="2" t="s">
        <v>51</v>
      </c>
      <c r="C2339" s="2" t="s">
        <v>26</v>
      </c>
      <c r="D2339" s="2" t="s">
        <v>29</v>
      </c>
      <c r="E2339" s="3" t="n">
        <v>46204</v>
      </c>
      <c r="F2339" s="2" t="n">
        <v>16</v>
      </c>
      <c r="G2339" s="4" t="n">
        <v>119.99</v>
      </c>
      <c r="H2339" s="4" t="n">
        <v>79.7</v>
      </c>
      <c r="I2339" s="4" t="n">
        <f aca="false">F2339*G2339</f>
        <v>1919.84</v>
      </c>
      <c r="J2339" s="4" t="n">
        <f aca="false">F2339*H2339</f>
        <v>1275.2</v>
      </c>
      <c r="K2339" s="4" t="n">
        <f aca="false">I2339-J2339</f>
        <v>644.64</v>
      </c>
      <c r="L2339" s="5" t="n">
        <f aca="false">IFERROR(K2339/I2339,0)</f>
        <v>0.335777981498458</v>
      </c>
    </row>
    <row r="2340" customFormat="false" ht="15" hidden="false" customHeight="false" outlineLevel="0" collapsed="false">
      <c r="A2340" s="2" t="s">
        <v>50</v>
      </c>
      <c r="B2340" s="2" t="s">
        <v>51</v>
      </c>
      <c r="C2340" s="2" t="s">
        <v>26</v>
      </c>
      <c r="D2340" s="2" t="s">
        <v>30</v>
      </c>
      <c r="E2340" s="3" t="n">
        <v>46204</v>
      </c>
      <c r="F2340" s="2" t="n">
        <v>21</v>
      </c>
      <c r="G2340" s="4" t="n">
        <v>24.99</v>
      </c>
      <c r="H2340" s="4" t="n">
        <v>15.28</v>
      </c>
      <c r="I2340" s="4" t="n">
        <f aca="false">F2340*G2340</f>
        <v>524.79</v>
      </c>
      <c r="J2340" s="4" t="n">
        <f aca="false">F2340*H2340</f>
        <v>320.88</v>
      </c>
      <c r="K2340" s="4" t="n">
        <f aca="false">I2340-J2340</f>
        <v>203.91</v>
      </c>
      <c r="L2340" s="5" t="n">
        <f aca="false">IFERROR(K2340/I2340,0)</f>
        <v>0.388555422168868</v>
      </c>
    </row>
    <row r="2341" customFormat="false" ht="15" hidden="false" customHeight="false" outlineLevel="0" collapsed="false">
      <c r="A2341" s="2" t="s">
        <v>50</v>
      </c>
      <c r="B2341" s="2" t="s">
        <v>51</v>
      </c>
      <c r="C2341" s="2" t="s">
        <v>26</v>
      </c>
      <c r="D2341" s="2" t="s">
        <v>31</v>
      </c>
      <c r="E2341" s="3" t="n">
        <v>46204</v>
      </c>
      <c r="F2341" s="2" t="n">
        <v>15</v>
      </c>
      <c r="G2341" s="4" t="n">
        <v>59.99</v>
      </c>
      <c r="H2341" s="4" t="n">
        <v>39.68</v>
      </c>
      <c r="I2341" s="4" t="n">
        <f aca="false">F2341*G2341</f>
        <v>899.85</v>
      </c>
      <c r="J2341" s="4" t="n">
        <f aca="false">F2341*H2341</f>
        <v>595.2</v>
      </c>
      <c r="K2341" s="4" t="n">
        <f aca="false">I2341-J2341</f>
        <v>304.65</v>
      </c>
      <c r="L2341" s="5" t="n">
        <f aca="false">IFERROR(K2341/I2341,0)</f>
        <v>0.338556426071012</v>
      </c>
    </row>
    <row r="2342" customFormat="false" ht="15" hidden="false" customHeight="false" outlineLevel="0" collapsed="false">
      <c r="A2342" s="2" t="s">
        <v>50</v>
      </c>
      <c r="B2342" s="2" t="s">
        <v>51</v>
      </c>
      <c r="C2342" s="2" t="s">
        <v>32</v>
      </c>
      <c r="D2342" s="2" t="s">
        <v>33</v>
      </c>
      <c r="E2342" s="3" t="n">
        <v>46204</v>
      </c>
      <c r="F2342" s="2" t="n">
        <v>18</v>
      </c>
      <c r="G2342" s="4" t="n">
        <v>49.99</v>
      </c>
      <c r="H2342" s="4" t="n">
        <v>35.13</v>
      </c>
      <c r="I2342" s="4" t="n">
        <f aca="false">F2342*G2342</f>
        <v>899.82</v>
      </c>
      <c r="J2342" s="4" t="n">
        <f aca="false">F2342*H2342</f>
        <v>632.34</v>
      </c>
      <c r="K2342" s="4" t="n">
        <f aca="false">I2342-J2342</f>
        <v>267.48</v>
      </c>
      <c r="L2342" s="5" t="n">
        <f aca="false">IFERROR(K2342/I2342,0)</f>
        <v>0.297259451890378</v>
      </c>
    </row>
    <row r="2343" customFormat="false" ht="15" hidden="false" customHeight="false" outlineLevel="0" collapsed="false">
      <c r="A2343" s="2" t="s">
        <v>50</v>
      </c>
      <c r="B2343" s="2" t="s">
        <v>51</v>
      </c>
      <c r="C2343" s="2" t="s">
        <v>32</v>
      </c>
      <c r="D2343" s="2" t="s">
        <v>34</v>
      </c>
      <c r="E2343" s="3" t="n">
        <v>46204</v>
      </c>
      <c r="F2343" s="2" t="n">
        <v>11</v>
      </c>
      <c r="G2343" s="4" t="n">
        <v>27.99</v>
      </c>
      <c r="H2343" s="4" t="n">
        <v>20.06</v>
      </c>
      <c r="I2343" s="4" t="n">
        <f aca="false">F2343*G2343</f>
        <v>307.89</v>
      </c>
      <c r="J2343" s="4" t="n">
        <f aca="false">F2343*H2343</f>
        <v>220.66</v>
      </c>
      <c r="K2343" s="4" t="n">
        <f aca="false">I2343-J2343</f>
        <v>87.23</v>
      </c>
      <c r="L2343" s="5" t="n">
        <f aca="false">IFERROR(K2343/I2343,0)</f>
        <v>0.283315469810647</v>
      </c>
    </row>
    <row r="2344" customFormat="false" ht="15" hidden="false" customHeight="false" outlineLevel="0" collapsed="false">
      <c r="A2344" s="2" t="s">
        <v>50</v>
      </c>
      <c r="B2344" s="2" t="s">
        <v>51</v>
      </c>
      <c r="C2344" s="2" t="s">
        <v>32</v>
      </c>
      <c r="D2344" s="2" t="s">
        <v>35</v>
      </c>
      <c r="E2344" s="3" t="n">
        <v>46204</v>
      </c>
      <c r="F2344" s="2" t="n">
        <v>12</v>
      </c>
      <c r="G2344" s="4" t="n">
        <v>64.99</v>
      </c>
      <c r="H2344" s="4" t="n">
        <v>46.48</v>
      </c>
      <c r="I2344" s="4" t="n">
        <f aca="false">F2344*G2344</f>
        <v>779.88</v>
      </c>
      <c r="J2344" s="4" t="n">
        <f aca="false">F2344*H2344</f>
        <v>557.76</v>
      </c>
      <c r="K2344" s="4" t="n">
        <f aca="false">I2344-J2344</f>
        <v>222.12</v>
      </c>
      <c r="L2344" s="5" t="n">
        <f aca="false">IFERROR(K2344/I2344,0)</f>
        <v>0.284813048161255</v>
      </c>
    </row>
    <row r="2345" customFormat="false" ht="15" hidden="false" customHeight="false" outlineLevel="0" collapsed="false">
      <c r="A2345" s="2" t="s">
        <v>50</v>
      </c>
      <c r="B2345" s="2" t="s">
        <v>51</v>
      </c>
      <c r="C2345" s="2" t="s">
        <v>32</v>
      </c>
      <c r="D2345" s="2" t="s">
        <v>36</v>
      </c>
      <c r="E2345" s="3" t="n">
        <v>46204</v>
      </c>
      <c r="F2345" s="2" t="n">
        <v>21</v>
      </c>
      <c r="G2345" s="4" t="n">
        <v>22.99</v>
      </c>
      <c r="H2345" s="4" t="n">
        <v>16.33</v>
      </c>
      <c r="I2345" s="4" t="n">
        <f aca="false">F2345*G2345</f>
        <v>482.79</v>
      </c>
      <c r="J2345" s="4" t="n">
        <f aca="false">F2345*H2345</f>
        <v>342.93</v>
      </c>
      <c r="K2345" s="4" t="n">
        <f aca="false">I2345-J2345</f>
        <v>139.86</v>
      </c>
      <c r="L2345" s="5" t="n">
        <f aca="false">IFERROR(K2345/I2345,0)</f>
        <v>0.289691170073945</v>
      </c>
    </row>
    <row r="2346" customFormat="false" ht="15" hidden="false" customHeight="false" outlineLevel="0" collapsed="false">
      <c r="A2346" s="2" t="s">
        <v>50</v>
      </c>
      <c r="B2346" s="2" t="s">
        <v>51</v>
      </c>
      <c r="C2346" s="2" t="s">
        <v>32</v>
      </c>
      <c r="D2346" s="2" t="s">
        <v>37</v>
      </c>
      <c r="E2346" s="3" t="n">
        <v>46204</v>
      </c>
      <c r="F2346" s="2" t="n">
        <v>26</v>
      </c>
      <c r="G2346" s="4" t="n">
        <v>29.99</v>
      </c>
      <c r="H2346" s="4" t="n">
        <v>20.44</v>
      </c>
      <c r="I2346" s="4" t="n">
        <f aca="false">F2346*G2346</f>
        <v>779.74</v>
      </c>
      <c r="J2346" s="4" t="n">
        <f aca="false">F2346*H2346</f>
        <v>531.44</v>
      </c>
      <c r="K2346" s="4" t="n">
        <f aca="false">I2346-J2346</f>
        <v>248.3</v>
      </c>
      <c r="L2346" s="5" t="n">
        <f aca="false">IFERROR(K2346/I2346,0)</f>
        <v>0.318439479826609</v>
      </c>
    </row>
    <row r="2347" customFormat="false" ht="15" hidden="false" customHeight="false" outlineLevel="0" collapsed="false">
      <c r="A2347" s="2" t="s">
        <v>50</v>
      </c>
      <c r="B2347" s="2" t="s">
        <v>51</v>
      </c>
      <c r="C2347" s="2" t="s">
        <v>38</v>
      </c>
      <c r="D2347" s="2" t="s">
        <v>39</v>
      </c>
      <c r="E2347" s="3" t="n">
        <v>46204</v>
      </c>
      <c r="F2347" s="2" t="n">
        <v>4</v>
      </c>
      <c r="G2347" s="4" t="n">
        <v>129.99</v>
      </c>
      <c r="H2347" s="4" t="n">
        <v>73.26</v>
      </c>
      <c r="I2347" s="4" t="n">
        <f aca="false">F2347*G2347</f>
        <v>519.96</v>
      </c>
      <c r="J2347" s="4" t="n">
        <f aca="false">F2347*H2347</f>
        <v>293.04</v>
      </c>
      <c r="K2347" s="4" t="n">
        <f aca="false">I2347-J2347</f>
        <v>226.92</v>
      </c>
      <c r="L2347" s="5" t="n">
        <f aca="false">IFERROR(K2347/I2347,0)</f>
        <v>0.436418186014309</v>
      </c>
    </row>
    <row r="2348" customFormat="false" ht="15" hidden="false" customHeight="false" outlineLevel="0" collapsed="false">
      <c r="A2348" s="2" t="s">
        <v>50</v>
      </c>
      <c r="B2348" s="2" t="s">
        <v>51</v>
      </c>
      <c r="C2348" s="2" t="s">
        <v>38</v>
      </c>
      <c r="D2348" s="2" t="s">
        <v>40</v>
      </c>
      <c r="E2348" s="3" t="n">
        <v>46204</v>
      </c>
      <c r="F2348" s="2" t="n">
        <v>4</v>
      </c>
      <c r="G2348" s="4" t="n">
        <v>74.99</v>
      </c>
      <c r="H2348" s="4" t="n">
        <v>41.78</v>
      </c>
      <c r="I2348" s="4" t="n">
        <f aca="false">F2348*G2348</f>
        <v>299.96</v>
      </c>
      <c r="J2348" s="4" t="n">
        <f aca="false">F2348*H2348</f>
        <v>167.12</v>
      </c>
      <c r="K2348" s="4" t="n">
        <f aca="false">I2348-J2348</f>
        <v>132.84</v>
      </c>
      <c r="L2348" s="5" t="n">
        <f aca="false">IFERROR(K2348/I2348,0)</f>
        <v>0.44285904787305</v>
      </c>
    </row>
    <row r="2349" customFormat="false" ht="15" hidden="false" customHeight="false" outlineLevel="0" collapsed="false">
      <c r="A2349" s="2" t="s">
        <v>50</v>
      </c>
      <c r="B2349" s="2" t="s">
        <v>51</v>
      </c>
      <c r="C2349" s="2" t="s">
        <v>38</v>
      </c>
      <c r="D2349" s="2" t="s">
        <v>41</v>
      </c>
      <c r="E2349" s="3" t="n">
        <v>46204</v>
      </c>
      <c r="F2349" s="2" t="n">
        <v>3</v>
      </c>
      <c r="G2349" s="4" t="n">
        <v>19.99</v>
      </c>
      <c r="H2349" s="4" t="n">
        <v>9.42</v>
      </c>
      <c r="I2349" s="4" t="n">
        <f aca="false">F2349*G2349</f>
        <v>59.97</v>
      </c>
      <c r="J2349" s="4" t="n">
        <f aca="false">F2349*H2349</f>
        <v>28.26</v>
      </c>
      <c r="K2349" s="4" t="n">
        <f aca="false">I2349-J2349</f>
        <v>31.71</v>
      </c>
      <c r="L2349" s="5" t="n">
        <f aca="false">IFERROR(K2349/I2349,0)</f>
        <v>0.528764382191096</v>
      </c>
    </row>
    <row r="2350" customFormat="false" ht="15" hidden="false" customHeight="false" outlineLevel="0" collapsed="false">
      <c r="A2350" s="2" t="s">
        <v>50</v>
      </c>
      <c r="B2350" s="2" t="s">
        <v>51</v>
      </c>
      <c r="C2350" s="2" t="s">
        <v>38</v>
      </c>
      <c r="D2350" s="2" t="s">
        <v>42</v>
      </c>
      <c r="E2350" s="3" t="n">
        <v>46204</v>
      </c>
      <c r="F2350" s="2" t="n">
        <v>3</v>
      </c>
      <c r="G2350" s="4" t="n">
        <v>16.99</v>
      </c>
      <c r="H2350" s="4" t="n">
        <v>8.63</v>
      </c>
      <c r="I2350" s="4" t="n">
        <f aca="false">F2350*G2350</f>
        <v>50.97</v>
      </c>
      <c r="J2350" s="4" t="n">
        <f aca="false">F2350*H2350</f>
        <v>25.89</v>
      </c>
      <c r="K2350" s="4" t="n">
        <f aca="false">I2350-J2350</f>
        <v>25.08</v>
      </c>
      <c r="L2350" s="5" t="n">
        <f aca="false">IFERROR(K2350/I2350,0)</f>
        <v>0.492054149499706</v>
      </c>
    </row>
    <row r="2351" customFormat="false" ht="15" hidden="false" customHeight="false" outlineLevel="0" collapsed="false">
      <c r="A2351" s="2" t="s">
        <v>50</v>
      </c>
      <c r="B2351" s="2" t="s">
        <v>51</v>
      </c>
      <c r="C2351" s="2" t="s">
        <v>38</v>
      </c>
      <c r="D2351" s="2" t="s">
        <v>43</v>
      </c>
      <c r="E2351" s="3" t="n">
        <v>46204</v>
      </c>
      <c r="F2351" s="2" t="n">
        <v>3</v>
      </c>
      <c r="G2351" s="4" t="n">
        <v>24.99</v>
      </c>
      <c r="H2351" s="4" t="n">
        <v>12.87</v>
      </c>
      <c r="I2351" s="4" t="n">
        <f aca="false">F2351*G2351</f>
        <v>74.97</v>
      </c>
      <c r="J2351" s="4" t="n">
        <f aca="false">F2351*H2351</f>
        <v>38.61</v>
      </c>
      <c r="K2351" s="4" t="n">
        <f aca="false">I2351-J2351</f>
        <v>36.36</v>
      </c>
      <c r="L2351" s="5" t="n">
        <f aca="false">IFERROR(K2351/I2351,0)</f>
        <v>0.48499399759904</v>
      </c>
    </row>
    <row r="2352" customFormat="false" ht="15" hidden="false" customHeight="false" outlineLevel="0" collapsed="false">
      <c r="A2352" s="2" t="s">
        <v>52</v>
      </c>
      <c r="B2352" s="2" t="s">
        <v>53</v>
      </c>
      <c r="C2352" s="2" t="s">
        <v>14</v>
      </c>
      <c r="D2352" s="2" t="s">
        <v>15</v>
      </c>
      <c r="E2352" s="3" t="n">
        <v>46204</v>
      </c>
      <c r="F2352" s="2" t="n">
        <v>12</v>
      </c>
      <c r="G2352" s="4" t="n">
        <v>69.99</v>
      </c>
      <c r="H2352" s="4" t="n">
        <v>34.41</v>
      </c>
      <c r="I2352" s="4" t="n">
        <f aca="false">F2352*G2352</f>
        <v>839.88</v>
      </c>
      <c r="J2352" s="4" t="n">
        <f aca="false">F2352*H2352</f>
        <v>412.92</v>
      </c>
      <c r="K2352" s="4" t="n">
        <f aca="false">I2352-J2352</f>
        <v>426.96</v>
      </c>
      <c r="L2352" s="5" t="n">
        <f aca="false">IFERROR(K2352/I2352,0)</f>
        <v>0.508358336905272</v>
      </c>
    </row>
    <row r="2353" customFormat="false" ht="15" hidden="false" customHeight="false" outlineLevel="0" collapsed="false">
      <c r="A2353" s="2" t="s">
        <v>52</v>
      </c>
      <c r="B2353" s="2" t="s">
        <v>53</v>
      </c>
      <c r="C2353" s="2" t="s">
        <v>14</v>
      </c>
      <c r="D2353" s="2" t="s">
        <v>16</v>
      </c>
      <c r="E2353" s="3" t="n">
        <v>46204</v>
      </c>
      <c r="F2353" s="2" t="n">
        <v>26</v>
      </c>
      <c r="G2353" s="4" t="n">
        <v>19.99</v>
      </c>
      <c r="H2353" s="4" t="n">
        <v>8.84</v>
      </c>
      <c r="I2353" s="4" t="n">
        <f aca="false">F2353*G2353</f>
        <v>519.74</v>
      </c>
      <c r="J2353" s="4" t="n">
        <f aca="false">F2353*H2353</f>
        <v>229.84</v>
      </c>
      <c r="K2353" s="4" t="n">
        <f aca="false">I2353-J2353</f>
        <v>289.9</v>
      </c>
      <c r="L2353" s="5" t="n">
        <f aca="false">IFERROR(K2353/I2353,0)</f>
        <v>0.557778889444722</v>
      </c>
    </row>
    <row r="2354" customFormat="false" ht="15" hidden="false" customHeight="false" outlineLevel="0" collapsed="false">
      <c r="A2354" s="2" t="s">
        <v>52</v>
      </c>
      <c r="B2354" s="2" t="s">
        <v>53</v>
      </c>
      <c r="C2354" s="2" t="s">
        <v>14</v>
      </c>
      <c r="D2354" s="2" t="s">
        <v>17</v>
      </c>
      <c r="E2354" s="3" t="n">
        <v>46204</v>
      </c>
      <c r="F2354" s="2" t="n">
        <v>22</v>
      </c>
      <c r="G2354" s="4" t="n">
        <v>79.99</v>
      </c>
      <c r="H2354" s="4" t="n">
        <v>40.29</v>
      </c>
      <c r="I2354" s="4" t="n">
        <f aca="false">F2354*G2354</f>
        <v>1759.78</v>
      </c>
      <c r="J2354" s="4" t="n">
        <f aca="false">F2354*H2354</f>
        <v>886.38</v>
      </c>
      <c r="K2354" s="4" t="n">
        <f aca="false">I2354-J2354</f>
        <v>873.4</v>
      </c>
      <c r="L2354" s="5" t="n">
        <f aca="false">IFERROR(K2354/I2354,0)</f>
        <v>0.496312039004876</v>
      </c>
    </row>
    <row r="2355" customFormat="false" ht="15" hidden="false" customHeight="false" outlineLevel="0" collapsed="false">
      <c r="A2355" s="2" t="s">
        <v>52</v>
      </c>
      <c r="B2355" s="2" t="s">
        <v>53</v>
      </c>
      <c r="C2355" s="2" t="s">
        <v>14</v>
      </c>
      <c r="D2355" s="2" t="s">
        <v>18</v>
      </c>
      <c r="E2355" s="3" t="n">
        <v>46204</v>
      </c>
      <c r="F2355" s="2" t="n">
        <v>9</v>
      </c>
      <c r="G2355" s="4" t="n">
        <v>34.99</v>
      </c>
      <c r="H2355" s="4" t="n">
        <v>14.88</v>
      </c>
      <c r="I2355" s="4" t="n">
        <f aca="false">F2355*G2355</f>
        <v>314.91</v>
      </c>
      <c r="J2355" s="4" t="n">
        <f aca="false">F2355*H2355</f>
        <v>133.92</v>
      </c>
      <c r="K2355" s="4" t="n">
        <f aca="false">I2355-J2355</f>
        <v>180.99</v>
      </c>
      <c r="L2355" s="5" t="n">
        <f aca="false">IFERROR(K2355/I2355,0)</f>
        <v>0.57473563875393</v>
      </c>
    </row>
    <row r="2356" customFormat="false" ht="15" hidden="false" customHeight="false" outlineLevel="0" collapsed="false">
      <c r="A2356" s="2" t="s">
        <v>52</v>
      </c>
      <c r="B2356" s="2" t="s">
        <v>53</v>
      </c>
      <c r="C2356" s="2" t="s">
        <v>14</v>
      </c>
      <c r="D2356" s="2" t="s">
        <v>19</v>
      </c>
      <c r="E2356" s="3" t="n">
        <v>46204</v>
      </c>
      <c r="F2356" s="2" t="n">
        <v>12</v>
      </c>
      <c r="G2356" s="4" t="n">
        <v>54.99</v>
      </c>
      <c r="H2356" s="4" t="n">
        <v>24.79</v>
      </c>
      <c r="I2356" s="4" t="n">
        <f aca="false">F2356*G2356</f>
        <v>659.88</v>
      </c>
      <c r="J2356" s="4" t="n">
        <f aca="false">F2356*H2356</f>
        <v>297.48</v>
      </c>
      <c r="K2356" s="4" t="n">
        <f aca="false">I2356-J2356</f>
        <v>362.4</v>
      </c>
      <c r="L2356" s="5" t="n">
        <f aca="false">IFERROR(K2356/I2356,0)</f>
        <v>0.549190761956719</v>
      </c>
    </row>
    <row r="2357" customFormat="false" ht="15" hidden="false" customHeight="false" outlineLevel="0" collapsed="false">
      <c r="A2357" s="2" t="s">
        <v>52</v>
      </c>
      <c r="B2357" s="2" t="s">
        <v>53</v>
      </c>
      <c r="C2357" s="2" t="s">
        <v>20</v>
      </c>
      <c r="D2357" s="2" t="s">
        <v>21</v>
      </c>
      <c r="E2357" s="3" t="n">
        <v>46204</v>
      </c>
      <c r="F2357" s="2" t="n">
        <v>9</v>
      </c>
      <c r="G2357" s="4" t="n">
        <v>44.99</v>
      </c>
      <c r="H2357" s="4" t="n">
        <v>20.04</v>
      </c>
      <c r="I2357" s="4" t="n">
        <f aca="false">F2357*G2357</f>
        <v>404.91</v>
      </c>
      <c r="J2357" s="4" t="n">
        <f aca="false">F2357*H2357</f>
        <v>180.36</v>
      </c>
      <c r="K2357" s="4" t="n">
        <f aca="false">I2357-J2357</f>
        <v>224.55</v>
      </c>
      <c r="L2357" s="5" t="n">
        <f aca="false">IFERROR(K2357/I2357,0)</f>
        <v>0.554567681707046</v>
      </c>
    </row>
    <row r="2358" customFormat="false" ht="15" hidden="false" customHeight="false" outlineLevel="0" collapsed="false">
      <c r="A2358" s="2" t="s">
        <v>52</v>
      </c>
      <c r="B2358" s="2" t="s">
        <v>53</v>
      </c>
      <c r="C2358" s="2" t="s">
        <v>20</v>
      </c>
      <c r="D2358" s="2" t="s">
        <v>22</v>
      </c>
      <c r="E2358" s="3" t="n">
        <v>46204</v>
      </c>
      <c r="F2358" s="2" t="n">
        <v>14</v>
      </c>
      <c r="G2358" s="4" t="n">
        <v>14.99</v>
      </c>
      <c r="H2358" s="4" t="n">
        <v>5.65</v>
      </c>
      <c r="I2358" s="4" t="n">
        <f aca="false">F2358*G2358</f>
        <v>209.86</v>
      </c>
      <c r="J2358" s="4" t="n">
        <f aca="false">F2358*H2358</f>
        <v>79.1</v>
      </c>
      <c r="K2358" s="4" t="n">
        <f aca="false">I2358-J2358</f>
        <v>130.76</v>
      </c>
      <c r="L2358" s="5" t="n">
        <f aca="false">IFERROR(K2358/I2358,0)</f>
        <v>0.623082054703135</v>
      </c>
    </row>
    <row r="2359" customFormat="false" ht="15" hidden="false" customHeight="false" outlineLevel="0" collapsed="false">
      <c r="A2359" s="2" t="s">
        <v>52</v>
      </c>
      <c r="B2359" s="2" t="s">
        <v>53</v>
      </c>
      <c r="C2359" s="2" t="s">
        <v>20</v>
      </c>
      <c r="D2359" s="2" t="s">
        <v>23</v>
      </c>
      <c r="E2359" s="3" t="n">
        <v>46204</v>
      </c>
      <c r="F2359" s="2" t="n">
        <v>16</v>
      </c>
      <c r="G2359" s="4" t="n">
        <v>39.99</v>
      </c>
      <c r="H2359" s="4" t="n">
        <v>16.32</v>
      </c>
      <c r="I2359" s="4" t="n">
        <f aca="false">F2359*G2359</f>
        <v>639.84</v>
      </c>
      <c r="J2359" s="4" t="n">
        <f aca="false">F2359*H2359</f>
        <v>261.12</v>
      </c>
      <c r="K2359" s="4" t="n">
        <f aca="false">I2359-J2359</f>
        <v>378.72</v>
      </c>
      <c r="L2359" s="5" t="n">
        <f aca="false">IFERROR(K2359/I2359,0)</f>
        <v>0.591897974493624</v>
      </c>
    </row>
    <row r="2360" customFormat="false" ht="15" hidden="false" customHeight="false" outlineLevel="0" collapsed="false">
      <c r="A2360" s="2" t="s">
        <v>52</v>
      </c>
      <c r="B2360" s="2" t="s">
        <v>53</v>
      </c>
      <c r="C2360" s="2" t="s">
        <v>20</v>
      </c>
      <c r="D2360" s="2" t="s">
        <v>24</v>
      </c>
      <c r="E2360" s="3" t="n">
        <v>46204</v>
      </c>
      <c r="F2360" s="2" t="n">
        <v>10</v>
      </c>
      <c r="G2360" s="4" t="n">
        <v>18.99</v>
      </c>
      <c r="H2360" s="4" t="n">
        <v>7.71</v>
      </c>
      <c r="I2360" s="4" t="n">
        <f aca="false">F2360*G2360</f>
        <v>189.9</v>
      </c>
      <c r="J2360" s="4" t="n">
        <f aca="false">F2360*H2360</f>
        <v>77.1</v>
      </c>
      <c r="K2360" s="4" t="n">
        <f aca="false">I2360-J2360</f>
        <v>112.8</v>
      </c>
      <c r="L2360" s="5" t="n">
        <f aca="false">IFERROR(K2360/I2360,0)</f>
        <v>0.593996840442338</v>
      </c>
    </row>
    <row r="2361" customFormat="false" ht="15" hidden="false" customHeight="false" outlineLevel="0" collapsed="false">
      <c r="A2361" s="2" t="s">
        <v>52</v>
      </c>
      <c r="B2361" s="2" t="s">
        <v>53</v>
      </c>
      <c r="C2361" s="2" t="s">
        <v>20</v>
      </c>
      <c r="D2361" s="2" t="s">
        <v>25</v>
      </c>
      <c r="E2361" s="3" t="n">
        <v>46204</v>
      </c>
      <c r="F2361" s="2" t="n">
        <v>20</v>
      </c>
      <c r="G2361" s="4" t="n">
        <v>42.99</v>
      </c>
      <c r="H2361" s="4" t="n">
        <v>16.36</v>
      </c>
      <c r="I2361" s="4" t="n">
        <f aca="false">F2361*G2361</f>
        <v>859.8</v>
      </c>
      <c r="J2361" s="4" t="n">
        <f aca="false">F2361*H2361</f>
        <v>327.2</v>
      </c>
      <c r="K2361" s="4" t="n">
        <f aca="false">I2361-J2361</f>
        <v>532.6</v>
      </c>
      <c r="L2361" s="5" t="n">
        <f aca="false">IFERROR(K2361/I2361,0)</f>
        <v>0.61944638287974</v>
      </c>
    </row>
    <row r="2362" customFormat="false" ht="15" hidden="false" customHeight="false" outlineLevel="0" collapsed="false">
      <c r="A2362" s="2" t="s">
        <v>52</v>
      </c>
      <c r="B2362" s="2" t="s">
        <v>53</v>
      </c>
      <c r="C2362" s="2" t="s">
        <v>26</v>
      </c>
      <c r="D2362" s="2" t="s">
        <v>27</v>
      </c>
      <c r="E2362" s="3" t="n">
        <v>46204</v>
      </c>
      <c r="F2362" s="2" t="n">
        <v>14</v>
      </c>
      <c r="G2362" s="4" t="n">
        <v>44.99</v>
      </c>
      <c r="H2362" s="4" t="n">
        <v>28.35</v>
      </c>
      <c r="I2362" s="4" t="n">
        <f aca="false">F2362*G2362</f>
        <v>629.86</v>
      </c>
      <c r="J2362" s="4" t="n">
        <f aca="false">F2362*H2362</f>
        <v>396.9</v>
      </c>
      <c r="K2362" s="4" t="n">
        <f aca="false">I2362-J2362</f>
        <v>232.96</v>
      </c>
      <c r="L2362" s="5" t="n">
        <f aca="false">IFERROR(K2362/I2362,0)</f>
        <v>0.369859968881974</v>
      </c>
    </row>
    <row r="2363" customFormat="false" ht="15" hidden="false" customHeight="false" outlineLevel="0" collapsed="false">
      <c r="A2363" s="2" t="s">
        <v>52</v>
      </c>
      <c r="B2363" s="2" t="s">
        <v>53</v>
      </c>
      <c r="C2363" s="2" t="s">
        <v>26</v>
      </c>
      <c r="D2363" s="2" t="s">
        <v>28</v>
      </c>
      <c r="E2363" s="3" t="n">
        <v>46204</v>
      </c>
      <c r="F2363" s="2" t="n">
        <v>16</v>
      </c>
      <c r="G2363" s="4" t="n">
        <v>34.99</v>
      </c>
      <c r="H2363" s="4" t="n">
        <v>22.71</v>
      </c>
      <c r="I2363" s="4" t="n">
        <f aca="false">F2363*G2363</f>
        <v>559.84</v>
      </c>
      <c r="J2363" s="4" t="n">
        <f aca="false">F2363*H2363</f>
        <v>363.36</v>
      </c>
      <c r="K2363" s="4" t="n">
        <f aca="false">I2363-J2363</f>
        <v>196.48</v>
      </c>
      <c r="L2363" s="5" t="n">
        <f aca="false">IFERROR(K2363/I2363,0)</f>
        <v>0.350957416404687</v>
      </c>
    </row>
    <row r="2364" customFormat="false" ht="15" hidden="false" customHeight="false" outlineLevel="0" collapsed="false">
      <c r="A2364" s="2" t="s">
        <v>52</v>
      </c>
      <c r="B2364" s="2" t="s">
        <v>53</v>
      </c>
      <c r="C2364" s="2" t="s">
        <v>26</v>
      </c>
      <c r="D2364" s="2" t="s">
        <v>29</v>
      </c>
      <c r="E2364" s="3" t="n">
        <v>46204</v>
      </c>
      <c r="F2364" s="2" t="n">
        <v>14</v>
      </c>
      <c r="G2364" s="4" t="n">
        <v>119.99</v>
      </c>
      <c r="H2364" s="4" t="n">
        <v>82.98</v>
      </c>
      <c r="I2364" s="4" t="n">
        <f aca="false">F2364*G2364</f>
        <v>1679.86</v>
      </c>
      <c r="J2364" s="4" t="n">
        <f aca="false">F2364*H2364</f>
        <v>1161.72</v>
      </c>
      <c r="K2364" s="4" t="n">
        <f aca="false">I2364-J2364</f>
        <v>518.14</v>
      </c>
      <c r="L2364" s="5" t="n">
        <f aca="false">IFERROR(K2364/I2364,0)</f>
        <v>0.308442370197516</v>
      </c>
    </row>
    <row r="2365" customFormat="false" ht="15" hidden="false" customHeight="false" outlineLevel="0" collapsed="false">
      <c r="A2365" s="2" t="s">
        <v>52</v>
      </c>
      <c r="B2365" s="2" t="s">
        <v>53</v>
      </c>
      <c r="C2365" s="2" t="s">
        <v>26</v>
      </c>
      <c r="D2365" s="2" t="s">
        <v>30</v>
      </c>
      <c r="E2365" s="3" t="n">
        <v>46204</v>
      </c>
      <c r="F2365" s="2" t="n">
        <v>24</v>
      </c>
      <c r="G2365" s="4" t="n">
        <v>24.99</v>
      </c>
      <c r="H2365" s="4" t="n">
        <v>14.85</v>
      </c>
      <c r="I2365" s="4" t="n">
        <f aca="false">F2365*G2365</f>
        <v>599.76</v>
      </c>
      <c r="J2365" s="4" t="n">
        <f aca="false">F2365*H2365</f>
        <v>356.4</v>
      </c>
      <c r="K2365" s="4" t="n">
        <f aca="false">I2365-J2365</f>
        <v>243.36</v>
      </c>
      <c r="L2365" s="5" t="n">
        <f aca="false">IFERROR(K2365/I2365,0)</f>
        <v>0.405762304921969</v>
      </c>
    </row>
    <row r="2366" customFormat="false" ht="15" hidden="false" customHeight="false" outlineLevel="0" collapsed="false">
      <c r="A2366" s="2" t="s">
        <v>52</v>
      </c>
      <c r="B2366" s="2" t="s">
        <v>53</v>
      </c>
      <c r="C2366" s="2" t="s">
        <v>26</v>
      </c>
      <c r="D2366" s="2" t="s">
        <v>31</v>
      </c>
      <c r="E2366" s="3" t="n">
        <v>46204</v>
      </c>
      <c r="F2366" s="2" t="n">
        <v>16</v>
      </c>
      <c r="G2366" s="4" t="n">
        <v>59.99</v>
      </c>
      <c r="H2366" s="4" t="n">
        <v>39</v>
      </c>
      <c r="I2366" s="4" t="n">
        <f aca="false">F2366*G2366</f>
        <v>959.84</v>
      </c>
      <c r="J2366" s="4" t="n">
        <f aca="false">F2366*H2366</f>
        <v>624</v>
      </c>
      <c r="K2366" s="4" t="n">
        <f aca="false">I2366-J2366</f>
        <v>335.84</v>
      </c>
      <c r="L2366" s="5" t="n">
        <f aca="false">IFERROR(K2366/I2366,0)</f>
        <v>0.349891648608101</v>
      </c>
    </row>
    <row r="2367" customFormat="false" ht="15" hidden="false" customHeight="false" outlineLevel="0" collapsed="false">
      <c r="A2367" s="2" t="s">
        <v>52</v>
      </c>
      <c r="B2367" s="2" t="s">
        <v>53</v>
      </c>
      <c r="C2367" s="2" t="s">
        <v>32</v>
      </c>
      <c r="D2367" s="2" t="s">
        <v>33</v>
      </c>
      <c r="E2367" s="3" t="n">
        <v>46204</v>
      </c>
      <c r="F2367" s="2" t="n">
        <v>25</v>
      </c>
      <c r="G2367" s="4" t="n">
        <v>49.99</v>
      </c>
      <c r="H2367" s="4" t="n">
        <v>36.54</v>
      </c>
      <c r="I2367" s="4" t="n">
        <f aca="false">F2367*G2367</f>
        <v>1249.75</v>
      </c>
      <c r="J2367" s="4" t="n">
        <f aca="false">F2367*H2367</f>
        <v>913.5</v>
      </c>
      <c r="K2367" s="4" t="n">
        <f aca="false">I2367-J2367</f>
        <v>336.25</v>
      </c>
      <c r="L2367" s="5" t="n">
        <f aca="false">IFERROR(K2367/I2367,0)</f>
        <v>0.269053810762152</v>
      </c>
    </row>
    <row r="2368" customFormat="false" ht="15" hidden="false" customHeight="false" outlineLevel="0" collapsed="false">
      <c r="A2368" s="2" t="s">
        <v>52</v>
      </c>
      <c r="B2368" s="2" t="s">
        <v>53</v>
      </c>
      <c r="C2368" s="2" t="s">
        <v>32</v>
      </c>
      <c r="D2368" s="2" t="s">
        <v>34</v>
      </c>
      <c r="E2368" s="3" t="n">
        <v>46204</v>
      </c>
      <c r="F2368" s="2" t="n">
        <v>7</v>
      </c>
      <c r="G2368" s="4" t="n">
        <v>27.99</v>
      </c>
      <c r="H2368" s="4" t="n">
        <v>19.45</v>
      </c>
      <c r="I2368" s="4" t="n">
        <f aca="false">F2368*G2368</f>
        <v>195.93</v>
      </c>
      <c r="J2368" s="4" t="n">
        <f aca="false">F2368*H2368</f>
        <v>136.15</v>
      </c>
      <c r="K2368" s="4" t="n">
        <f aca="false">I2368-J2368</f>
        <v>59.78</v>
      </c>
      <c r="L2368" s="5" t="n">
        <f aca="false">IFERROR(K2368/I2368,0)</f>
        <v>0.305108967488389</v>
      </c>
    </row>
    <row r="2369" customFormat="false" ht="15" hidden="false" customHeight="false" outlineLevel="0" collapsed="false">
      <c r="A2369" s="2" t="s">
        <v>52</v>
      </c>
      <c r="B2369" s="2" t="s">
        <v>53</v>
      </c>
      <c r="C2369" s="2" t="s">
        <v>32</v>
      </c>
      <c r="D2369" s="2" t="s">
        <v>35</v>
      </c>
      <c r="E2369" s="3" t="n">
        <v>46204</v>
      </c>
      <c r="F2369" s="2" t="n">
        <v>13</v>
      </c>
      <c r="G2369" s="4" t="n">
        <v>64.99</v>
      </c>
      <c r="H2369" s="4" t="n">
        <v>44.39</v>
      </c>
      <c r="I2369" s="4" t="n">
        <f aca="false">F2369*G2369</f>
        <v>844.87</v>
      </c>
      <c r="J2369" s="4" t="n">
        <f aca="false">F2369*H2369</f>
        <v>577.07</v>
      </c>
      <c r="K2369" s="4" t="n">
        <f aca="false">I2369-J2369</f>
        <v>267.8</v>
      </c>
      <c r="L2369" s="5" t="n">
        <f aca="false">IFERROR(K2369/I2369,0)</f>
        <v>0.316971841821819</v>
      </c>
    </row>
    <row r="2370" customFormat="false" ht="15" hidden="false" customHeight="false" outlineLevel="0" collapsed="false">
      <c r="A2370" s="2" t="s">
        <v>52</v>
      </c>
      <c r="B2370" s="2" t="s">
        <v>53</v>
      </c>
      <c r="C2370" s="2" t="s">
        <v>32</v>
      </c>
      <c r="D2370" s="2" t="s">
        <v>36</v>
      </c>
      <c r="E2370" s="3" t="n">
        <v>46204</v>
      </c>
      <c r="F2370" s="2" t="n">
        <v>13</v>
      </c>
      <c r="G2370" s="4" t="n">
        <v>22.99</v>
      </c>
      <c r="H2370" s="4" t="n">
        <v>16.31</v>
      </c>
      <c r="I2370" s="4" t="n">
        <f aca="false">F2370*G2370</f>
        <v>298.87</v>
      </c>
      <c r="J2370" s="4" t="n">
        <f aca="false">F2370*H2370</f>
        <v>212.03</v>
      </c>
      <c r="K2370" s="4" t="n">
        <f aca="false">I2370-J2370</f>
        <v>86.84</v>
      </c>
      <c r="L2370" s="5" t="n">
        <f aca="false">IFERROR(K2370/I2370,0)</f>
        <v>0.290561113527621</v>
      </c>
    </row>
    <row r="2371" customFormat="false" ht="15" hidden="false" customHeight="false" outlineLevel="0" collapsed="false">
      <c r="A2371" s="2" t="s">
        <v>52</v>
      </c>
      <c r="B2371" s="2" t="s">
        <v>53</v>
      </c>
      <c r="C2371" s="2" t="s">
        <v>32</v>
      </c>
      <c r="D2371" s="2" t="s">
        <v>37</v>
      </c>
      <c r="E2371" s="3" t="n">
        <v>46204</v>
      </c>
      <c r="F2371" s="2" t="n">
        <v>10</v>
      </c>
      <c r="G2371" s="4" t="n">
        <v>29.99</v>
      </c>
      <c r="H2371" s="4" t="n">
        <v>20.28</v>
      </c>
      <c r="I2371" s="4" t="n">
        <f aca="false">F2371*G2371</f>
        <v>299.9</v>
      </c>
      <c r="J2371" s="4" t="n">
        <f aca="false">F2371*H2371</f>
        <v>202.8</v>
      </c>
      <c r="K2371" s="4" t="n">
        <f aca="false">I2371-J2371</f>
        <v>97.1</v>
      </c>
      <c r="L2371" s="5" t="n">
        <f aca="false">IFERROR(K2371/I2371,0)</f>
        <v>0.32377459153051</v>
      </c>
    </row>
    <row r="2372" customFormat="false" ht="15" hidden="false" customHeight="false" outlineLevel="0" collapsed="false">
      <c r="A2372" s="2" t="s">
        <v>52</v>
      </c>
      <c r="B2372" s="2" t="s">
        <v>53</v>
      </c>
      <c r="C2372" s="2" t="s">
        <v>38</v>
      </c>
      <c r="D2372" s="2" t="s">
        <v>39</v>
      </c>
      <c r="E2372" s="3" t="n">
        <v>46204</v>
      </c>
      <c r="F2372" s="2" t="n">
        <v>22</v>
      </c>
      <c r="G2372" s="4" t="n">
        <v>129.99</v>
      </c>
      <c r="H2372" s="4" t="n">
        <v>76.86</v>
      </c>
      <c r="I2372" s="4" t="n">
        <f aca="false">F2372*G2372</f>
        <v>2859.78</v>
      </c>
      <c r="J2372" s="4" t="n">
        <f aca="false">F2372*H2372</f>
        <v>1690.92</v>
      </c>
      <c r="K2372" s="4" t="n">
        <f aca="false">I2372-J2372</f>
        <v>1168.86</v>
      </c>
      <c r="L2372" s="5" t="n">
        <f aca="false">IFERROR(K2372/I2372,0)</f>
        <v>0.408723747980614</v>
      </c>
    </row>
    <row r="2373" customFormat="false" ht="15" hidden="false" customHeight="false" outlineLevel="0" collapsed="false">
      <c r="A2373" s="2" t="s">
        <v>52</v>
      </c>
      <c r="B2373" s="2" t="s">
        <v>53</v>
      </c>
      <c r="C2373" s="2" t="s">
        <v>38</v>
      </c>
      <c r="D2373" s="2" t="s">
        <v>40</v>
      </c>
      <c r="E2373" s="3" t="n">
        <v>46204</v>
      </c>
      <c r="F2373" s="2" t="n">
        <v>17</v>
      </c>
      <c r="G2373" s="4" t="n">
        <v>74.99</v>
      </c>
      <c r="H2373" s="4" t="n">
        <v>41.82</v>
      </c>
      <c r="I2373" s="4" t="n">
        <f aca="false">F2373*G2373</f>
        <v>1274.83</v>
      </c>
      <c r="J2373" s="4" t="n">
        <f aca="false">F2373*H2373</f>
        <v>710.94</v>
      </c>
      <c r="K2373" s="4" t="n">
        <f aca="false">I2373-J2373</f>
        <v>563.89</v>
      </c>
      <c r="L2373" s="5" t="n">
        <f aca="false">IFERROR(K2373/I2373,0)</f>
        <v>0.442325643419122</v>
      </c>
    </row>
    <row r="2374" customFormat="false" ht="15" hidden="false" customHeight="false" outlineLevel="0" collapsed="false">
      <c r="A2374" s="2" t="s">
        <v>52</v>
      </c>
      <c r="B2374" s="2" t="s">
        <v>53</v>
      </c>
      <c r="C2374" s="2" t="s">
        <v>38</v>
      </c>
      <c r="D2374" s="2" t="s">
        <v>41</v>
      </c>
      <c r="E2374" s="3" t="n">
        <v>46204</v>
      </c>
      <c r="F2374" s="2" t="n">
        <v>17</v>
      </c>
      <c r="G2374" s="4" t="n">
        <v>19.99</v>
      </c>
      <c r="H2374" s="4" t="n">
        <v>9.84</v>
      </c>
      <c r="I2374" s="4" t="n">
        <f aca="false">F2374*G2374</f>
        <v>339.83</v>
      </c>
      <c r="J2374" s="4" t="n">
        <f aca="false">F2374*H2374</f>
        <v>167.28</v>
      </c>
      <c r="K2374" s="4" t="n">
        <f aca="false">I2374-J2374</f>
        <v>172.55</v>
      </c>
      <c r="L2374" s="5" t="n">
        <f aca="false">IFERROR(K2374/I2374,0)</f>
        <v>0.507753876938469</v>
      </c>
    </row>
    <row r="2375" customFormat="false" ht="15" hidden="false" customHeight="false" outlineLevel="0" collapsed="false">
      <c r="A2375" s="2" t="s">
        <v>52</v>
      </c>
      <c r="B2375" s="2" t="s">
        <v>53</v>
      </c>
      <c r="C2375" s="2" t="s">
        <v>38</v>
      </c>
      <c r="D2375" s="2" t="s">
        <v>42</v>
      </c>
      <c r="E2375" s="3" t="n">
        <v>46204</v>
      </c>
      <c r="F2375" s="2" t="n">
        <v>21</v>
      </c>
      <c r="G2375" s="4" t="n">
        <v>16.99</v>
      </c>
      <c r="H2375" s="4" t="n">
        <v>8.62</v>
      </c>
      <c r="I2375" s="4" t="n">
        <f aca="false">F2375*G2375</f>
        <v>356.79</v>
      </c>
      <c r="J2375" s="4" t="n">
        <f aca="false">F2375*H2375</f>
        <v>181.02</v>
      </c>
      <c r="K2375" s="4" t="n">
        <f aca="false">I2375-J2375</f>
        <v>175.77</v>
      </c>
      <c r="L2375" s="5" t="n">
        <f aca="false">IFERROR(K2375/I2375,0)</f>
        <v>0.492642731018246</v>
      </c>
    </row>
    <row r="2376" customFormat="false" ht="15" hidden="false" customHeight="false" outlineLevel="0" collapsed="false">
      <c r="A2376" s="2" t="s">
        <v>52</v>
      </c>
      <c r="B2376" s="2" t="s">
        <v>53</v>
      </c>
      <c r="C2376" s="2" t="s">
        <v>38</v>
      </c>
      <c r="D2376" s="2" t="s">
        <v>43</v>
      </c>
      <c r="E2376" s="3" t="n">
        <v>46204</v>
      </c>
      <c r="F2376" s="2" t="n">
        <v>14</v>
      </c>
      <c r="G2376" s="4" t="n">
        <v>24.99</v>
      </c>
      <c r="H2376" s="4" t="n">
        <v>13.06</v>
      </c>
      <c r="I2376" s="4" t="n">
        <f aca="false">F2376*G2376</f>
        <v>349.86</v>
      </c>
      <c r="J2376" s="4" t="n">
        <f aca="false">F2376*H2376</f>
        <v>182.84</v>
      </c>
      <c r="K2376" s="4" t="n">
        <f aca="false">I2376-J2376</f>
        <v>167.02</v>
      </c>
      <c r="L2376" s="5" t="n">
        <f aca="false">IFERROR(K2376/I2376,0)</f>
        <v>0.477390956382553</v>
      </c>
    </row>
    <row r="2377" customFormat="false" ht="15" hidden="false" customHeight="false" outlineLevel="0" collapsed="false">
      <c r="A2377" s="2" t="s">
        <v>52</v>
      </c>
      <c r="B2377" s="2" t="s">
        <v>54</v>
      </c>
      <c r="C2377" s="2" t="s">
        <v>14</v>
      </c>
      <c r="D2377" s="2" t="s">
        <v>15</v>
      </c>
      <c r="E2377" s="3" t="n">
        <v>46204</v>
      </c>
      <c r="F2377" s="2" t="n">
        <v>14</v>
      </c>
      <c r="G2377" s="4" t="n">
        <v>69.99</v>
      </c>
      <c r="H2377" s="4" t="n">
        <v>34.2</v>
      </c>
      <c r="I2377" s="4" t="n">
        <f aca="false">F2377*G2377</f>
        <v>979.86</v>
      </c>
      <c r="J2377" s="4" t="n">
        <f aca="false">F2377*H2377</f>
        <v>478.8</v>
      </c>
      <c r="K2377" s="4" t="n">
        <f aca="false">I2377-J2377</f>
        <v>501.06</v>
      </c>
      <c r="L2377" s="5" t="n">
        <f aca="false">IFERROR(K2377/I2377,0)</f>
        <v>0.511358765537934</v>
      </c>
    </row>
    <row r="2378" customFormat="false" ht="15" hidden="false" customHeight="false" outlineLevel="0" collapsed="false">
      <c r="A2378" s="2" t="s">
        <v>52</v>
      </c>
      <c r="B2378" s="2" t="s">
        <v>54</v>
      </c>
      <c r="C2378" s="2" t="s">
        <v>14</v>
      </c>
      <c r="D2378" s="2" t="s">
        <v>16</v>
      </c>
      <c r="E2378" s="3" t="n">
        <v>46204</v>
      </c>
      <c r="F2378" s="2" t="n">
        <v>18</v>
      </c>
      <c r="G2378" s="4" t="n">
        <v>19.99</v>
      </c>
      <c r="H2378" s="4" t="n">
        <v>8.82</v>
      </c>
      <c r="I2378" s="4" t="n">
        <f aca="false">F2378*G2378</f>
        <v>359.82</v>
      </c>
      <c r="J2378" s="4" t="n">
        <f aca="false">F2378*H2378</f>
        <v>158.76</v>
      </c>
      <c r="K2378" s="4" t="n">
        <f aca="false">I2378-J2378</f>
        <v>201.06</v>
      </c>
      <c r="L2378" s="5" t="n">
        <f aca="false">IFERROR(K2378/I2378,0)</f>
        <v>0.558779389694847</v>
      </c>
    </row>
    <row r="2379" customFormat="false" ht="15" hidden="false" customHeight="false" outlineLevel="0" collapsed="false">
      <c r="A2379" s="2" t="s">
        <v>52</v>
      </c>
      <c r="B2379" s="2" t="s">
        <v>54</v>
      </c>
      <c r="C2379" s="2" t="s">
        <v>14</v>
      </c>
      <c r="D2379" s="2" t="s">
        <v>17</v>
      </c>
      <c r="E2379" s="3" t="n">
        <v>46204</v>
      </c>
      <c r="F2379" s="2" t="n">
        <v>21</v>
      </c>
      <c r="G2379" s="4" t="n">
        <v>79.99</v>
      </c>
      <c r="H2379" s="4" t="n">
        <v>40.07</v>
      </c>
      <c r="I2379" s="4" t="n">
        <f aca="false">F2379*G2379</f>
        <v>1679.79</v>
      </c>
      <c r="J2379" s="4" t="n">
        <f aca="false">F2379*H2379</f>
        <v>841.47</v>
      </c>
      <c r="K2379" s="4" t="n">
        <f aca="false">I2379-J2379</f>
        <v>838.32</v>
      </c>
      <c r="L2379" s="5" t="n">
        <f aca="false">IFERROR(K2379/I2379,0)</f>
        <v>0.49906238279785</v>
      </c>
    </row>
    <row r="2380" customFormat="false" ht="15" hidden="false" customHeight="false" outlineLevel="0" collapsed="false">
      <c r="A2380" s="2" t="s">
        <v>52</v>
      </c>
      <c r="B2380" s="2" t="s">
        <v>54</v>
      </c>
      <c r="C2380" s="2" t="s">
        <v>14</v>
      </c>
      <c r="D2380" s="2" t="s">
        <v>18</v>
      </c>
      <c r="E2380" s="3" t="n">
        <v>46204</v>
      </c>
      <c r="F2380" s="2" t="n">
        <v>16</v>
      </c>
      <c r="G2380" s="4" t="n">
        <v>34.99</v>
      </c>
      <c r="H2380" s="4" t="n">
        <v>14.51</v>
      </c>
      <c r="I2380" s="4" t="n">
        <f aca="false">F2380*G2380</f>
        <v>559.84</v>
      </c>
      <c r="J2380" s="4" t="n">
        <f aca="false">F2380*H2380</f>
        <v>232.16</v>
      </c>
      <c r="K2380" s="4" t="n">
        <f aca="false">I2380-J2380</f>
        <v>327.68</v>
      </c>
      <c r="L2380" s="5" t="n">
        <f aca="false">IFERROR(K2380/I2380,0)</f>
        <v>0.585310088596742</v>
      </c>
    </row>
    <row r="2381" customFormat="false" ht="15" hidden="false" customHeight="false" outlineLevel="0" collapsed="false">
      <c r="A2381" s="2" t="s">
        <v>52</v>
      </c>
      <c r="B2381" s="2" t="s">
        <v>54</v>
      </c>
      <c r="C2381" s="2" t="s">
        <v>14</v>
      </c>
      <c r="D2381" s="2" t="s">
        <v>19</v>
      </c>
      <c r="E2381" s="3" t="n">
        <v>46204</v>
      </c>
      <c r="F2381" s="2" t="n">
        <v>11</v>
      </c>
      <c r="G2381" s="4" t="n">
        <v>54.99</v>
      </c>
      <c r="H2381" s="4" t="n">
        <v>24.62</v>
      </c>
      <c r="I2381" s="4" t="n">
        <f aca="false">F2381*G2381</f>
        <v>604.89</v>
      </c>
      <c r="J2381" s="4" t="n">
        <f aca="false">F2381*H2381</f>
        <v>270.82</v>
      </c>
      <c r="K2381" s="4" t="n">
        <f aca="false">I2381-J2381</f>
        <v>334.07</v>
      </c>
      <c r="L2381" s="5" t="n">
        <f aca="false">IFERROR(K2381/I2381,0)</f>
        <v>0.552282233133297</v>
      </c>
    </row>
    <row r="2382" customFormat="false" ht="15" hidden="false" customHeight="false" outlineLevel="0" collapsed="false">
      <c r="A2382" s="2" t="s">
        <v>52</v>
      </c>
      <c r="B2382" s="2" t="s">
        <v>54</v>
      </c>
      <c r="C2382" s="2" t="s">
        <v>20</v>
      </c>
      <c r="D2382" s="2" t="s">
        <v>21</v>
      </c>
      <c r="E2382" s="3" t="n">
        <v>46204</v>
      </c>
      <c r="F2382" s="2" t="n">
        <v>17</v>
      </c>
      <c r="G2382" s="4" t="n">
        <v>44.99</v>
      </c>
      <c r="H2382" s="4" t="n">
        <v>19.85</v>
      </c>
      <c r="I2382" s="4" t="n">
        <f aca="false">F2382*G2382</f>
        <v>764.83</v>
      </c>
      <c r="J2382" s="4" t="n">
        <f aca="false">F2382*H2382</f>
        <v>337.45</v>
      </c>
      <c r="K2382" s="4" t="n">
        <f aca="false">I2382-J2382</f>
        <v>427.38</v>
      </c>
      <c r="L2382" s="5" t="n">
        <f aca="false">IFERROR(K2382/I2382,0)</f>
        <v>0.558790842409424</v>
      </c>
    </row>
    <row r="2383" customFormat="false" ht="15" hidden="false" customHeight="false" outlineLevel="0" collapsed="false">
      <c r="A2383" s="2" t="s">
        <v>52</v>
      </c>
      <c r="B2383" s="2" t="s">
        <v>54</v>
      </c>
      <c r="C2383" s="2" t="s">
        <v>20</v>
      </c>
      <c r="D2383" s="2" t="s">
        <v>22</v>
      </c>
      <c r="E2383" s="3" t="n">
        <v>46204</v>
      </c>
      <c r="F2383" s="2" t="n">
        <v>18</v>
      </c>
      <c r="G2383" s="4" t="n">
        <v>14.99</v>
      </c>
      <c r="H2383" s="4" t="n">
        <v>5.78</v>
      </c>
      <c r="I2383" s="4" t="n">
        <f aca="false">F2383*G2383</f>
        <v>269.82</v>
      </c>
      <c r="J2383" s="4" t="n">
        <f aca="false">F2383*H2383</f>
        <v>104.04</v>
      </c>
      <c r="K2383" s="4" t="n">
        <f aca="false">I2383-J2383</f>
        <v>165.78</v>
      </c>
      <c r="L2383" s="5" t="n">
        <f aca="false">IFERROR(K2383/I2383,0)</f>
        <v>0.614409606404269</v>
      </c>
    </row>
    <row r="2384" customFormat="false" ht="15" hidden="false" customHeight="false" outlineLevel="0" collapsed="false">
      <c r="A2384" s="2" t="s">
        <v>52</v>
      </c>
      <c r="B2384" s="2" t="s">
        <v>54</v>
      </c>
      <c r="C2384" s="2" t="s">
        <v>20</v>
      </c>
      <c r="D2384" s="2" t="s">
        <v>23</v>
      </c>
      <c r="E2384" s="3" t="n">
        <v>46204</v>
      </c>
      <c r="F2384" s="2" t="n">
        <v>28</v>
      </c>
      <c r="G2384" s="4" t="n">
        <v>39.99</v>
      </c>
      <c r="H2384" s="4" t="n">
        <v>16.72</v>
      </c>
      <c r="I2384" s="4" t="n">
        <f aca="false">F2384*G2384</f>
        <v>1119.72</v>
      </c>
      <c r="J2384" s="4" t="n">
        <f aca="false">F2384*H2384</f>
        <v>468.16</v>
      </c>
      <c r="K2384" s="4" t="n">
        <f aca="false">I2384-J2384</f>
        <v>651.56</v>
      </c>
      <c r="L2384" s="5" t="n">
        <f aca="false">IFERROR(K2384/I2384,0)</f>
        <v>0.581895473868467</v>
      </c>
    </row>
    <row r="2385" customFormat="false" ht="15" hidden="false" customHeight="false" outlineLevel="0" collapsed="false">
      <c r="A2385" s="2" t="s">
        <v>52</v>
      </c>
      <c r="B2385" s="2" t="s">
        <v>54</v>
      </c>
      <c r="C2385" s="2" t="s">
        <v>20</v>
      </c>
      <c r="D2385" s="2" t="s">
        <v>24</v>
      </c>
      <c r="E2385" s="3" t="n">
        <v>46204</v>
      </c>
      <c r="F2385" s="2" t="n">
        <v>19</v>
      </c>
      <c r="G2385" s="4" t="n">
        <v>18.99</v>
      </c>
      <c r="H2385" s="4" t="n">
        <v>7.55</v>
      </c>
      <c r="I2385" s="4" t="n">
        <f aca="false">F2385*G2385</f>
        <v>360.81</v>
      </c>
      <c r="J2385" s="4" t="n">
        <f aca="false">F2385*H2385</f>
        <v>143.45</v>
      </c>
      <c r="K2385" s="4" t="n">
        <f aca="false">I2385-J2385</f>
        <v>217.36</v>
      </c>
      <c r="L2385" s="5" t="n">
        <f aca="false">IFERROR(K2385/I2385,0)</f>
        <v>0.602422327540811</v>
      </c>
    </row>
    <row r="2386" customFormat="false" ht="15" hidden="false" customHeight="false" outlineLevel="0" collapsed="false">
      <c r="A2386" s="2" t="s">
        <v>52</v>
      </c>
      <c r="B2386" s="2" t="s">
        <v>54</v>
      </c>
      <c r="C2386" s="2" t="s">
        <v>20</v>
      </c>
      <c r="D2386" s="2" t="s">
        <v>25</v>
      </c>
      <c r="E2386" s="3" t="n">
        <v>46204</v>
      </c>
      <c r="F2386" s="2" t="n">
        <v>17</v>
      </c>
      <c r="G2386" s="4" t="n">
        <v>42.99</v>
      </c>
      <c r="H2386" s="4" t="n">
        <v>16</v>
      </c>
      <c r="I2386" s="4" t="n">
        <f aca="false">F2386*G2386</f>
        <v>730.83</v>
      </c>
      <c r="J2386" s="4" t="n">
        <f aca="false">F2386*H2386</f>
        <v>272</v>
      </c>
      <c r="K2386" s="4" t="n">
        <f aca="false">I2386-J2386</f>
        <v>458.83</v>
      </c>
      <c r="L2386" s="5" t="n">
        <f aca="false">IFERROR(K2386/I2386,0)</f>
        <v>0.627820423354269</v>
      </c>
    </row>
    <row r="2387" customFormat="false" ht="15" hidden="false" customHeight="false" outlineLevel="0" collapsed="false">
      <c r="A2387" s="2" t="s">
        <v>52</v>
      </c>
      <c r="B2387" s="2" t="s">
        <v>54</v>
      </c>
      <c r="C2387" s="2" t="s">
        <v>26</v>
      </c>
      <c r="D2387" s="2" t="s">
        <v>27</v>
      </c>
      <c r="E2387" s="3" t="n">
        <v>46204</v>
      </c>
      <c r="F2387" s="2" t="n">
        <v>10</v>
      </c>
      <c r="G2387" s="4" t="n">
        <v>44.99</v>
      </c>
      <c r="H2387" s="4" t="n">
        <v>27.84</v>
      </c>
      <c r="I2387" s="4" t="n">
        <f aca="false">F2387*G2387</f>
        <v>449.9</v>
      </c>
      <c r="J2387" s="4" t="n">
        <f aca="false">F2387*H2387</f>
        <v>278.4</v>
      </c>
      <c r="K2387" s="4" t="n">
        <f aca="false">I2387-J2387</f>
        <v>171.5</v>
      </c>
      <c r="L2387" s="5" t="n">
        <f aca="false">IFERROR(K2387/I2387,0)</f>
        <v>0.381195821293621</v>
      </c>
    </row>
    <row r="2388" customFormat="false" ht="15" hidden="false" customHeight="false" outlineLevel="0" collapsed="false">
      <c r="A2388" s="2" t="s">
        <v>52</v>
      </c>
      <c r="B2388" s="2" t="s">
        <v>54</v>
      </c>
      <c r="C2388" s="2" t="s">
        <v>26</v>
      </c>
      <c r="D2388" s="2" t="s">
        <v>28</v>
      </c>
      <c r="E2388" s="3" t="n">
        <v>46204</v>
      </c>
      <c r="F2388" s="2" t="n">
        <v>18</v>
      </c>
      <c r="G2388" s="4" t="n">
        <v>34.99</v>
      </c>
      <c r="H2388" s="4" t="n">
        <v>22.1</v>
      </c>
      <c r="I2388" s="4" t="n">
        <f aca="false">F2388*G2388</f>
        <v>629.82</v>
      </c>
      <c r="J2388" s="4" t="n">
        <f aca="false">F2388*H2388</f>
        <v>397.8</v>
      </c>
      <c r="K2388" s="4" t="n">
        <f aca="false">I2388-J2388</f>
        <v>232.02</v>
      </c>
      <c r="L2388" s="5" t="n">
        <f aca="false">IFERROR(K2388/I2388,0)</f>
        <v>0.368390968848242</v>
      </c>
    </row>
    <row r="2389" customFormat="false" ht="15" hidden="false" customHeight="false" outlineLevel="0" collapsed="false">
      <c r="A2389" s="2" t="s">
        <v>52</v>
      </c>
      <c r="B2389" s="2" t="s">
        <v>54</v>
      </c>
      <c r="C2389" s="2" t="s">
        <v>26</v>
      </c>
      <c r="D2389" s="2" t="s">
        <v>29</v>
      </c>
      <c r="E2389" s="3" t="n">
        <v>46204</v>
      </c>
      <c r="F2389" s="2" t="n">
        <v>14</v>
      </c>
      <c r="G2389" s="4" t="n">
        <v>119.99</v>
      </c>
      <c r="H2389" s="4" t="n">
        <v>80.31</v>
      </c>
      <c r="I2389" s="4" t="n">
        <f aca="false">F2389*G2389</f>
        <v>1679.86</v>
      </c>
      <c r="J2389" s="4" t="n">
        <f aca="false">F2389*H2389</f>
        <v>1124.34</v>
      </c>
      <c r="K2389" s="4" t="n">
        <f aca="false">I2389-J2389</f>
        <v>555.52</v>
      </c>
      <c r="L2389" s="5" t="n">
        <f aca="false">IFERROR(K2389/I2389,0)</f>
        <v>0.33069422451871</v>
      </c>
    </row>
    <row r="2390" customFormat="false" ht="15" hidden="false" customHeight="false" outlineLevel="0" collapsed="false">
      <c r="A2390" s="2" t="s">
        <v>52</v>
      </c>
      <c r="B2390" s="2" t="s">
        <v>54</v>
      </c>
      <c r="C2390" s="2" t="s">
        <v>26</v>
      </c>
      <c r="D2390" s="2" t="s">
        <v>30</v>
      </c>
      <c r="E2390" s="3" t="n">
        <v>46204</v>
      </c>
      <c r="F2390" s="2" t="n">
        <v>4</v>
      </c>
      <c r="G2390" s="4" t="n">
        <v>24.99</v>
      </c>
      <c r="H2390" s="4" t="n">
        <v>15.26</v>
      </c>
      <c r="I2390" s="4" t="n">
        <f aca="false">F2390*G2390</f>
        <v>99.96</v>
      </c>
      <c r="J2390" s="4" t="n">
        <f aca="false">F2390*H2390</f>
        <v>61.04</v>
      </c>
      <c r="K2390" s="4" t="n">
        <f aca="false">I2390-J2390</f>
        <v>38.92</v>
      </c>
      <c r="L2390" s="5" t="n">
        <f aca="false">IFERROR(K2390/I2390,0)</f>
        <v>0.389355742296919</v>
      </c>
    </row>
    <row r="2391" customFormat="false" ht="15" hidden="false" customHeight="false" outlineLevel="0" collapsed="false">
      <c r="A2391" s="2" t="s">
        <v>52</v>
      </c>
      <c r="B2391" s="2" t="s">
        <v>54</v>
      </c>
      <c r="C2391" s="2" t="s">
        <v>26</v>
      </c>
      <c r="D2391" s="2" t="s">
        <v>31</v>
      </c>
      <c r="E2391" s="3" t="n">
        <v>46204</v>
      </c>
      <c r="F2391" s="2" t="n">
        <v>16</v>
      </c>
      <c r="G2391" s="4" t="n">
        <v>59.99</v>
      </c>
      <c r="H2391" s="4" t="n">
        <v>39.18</v>
      </c>
      <c r="I2391" s="4" t="n">
        <f aca="false">F2391*G2391</f>
        <v>959.84</v>
      </c>
      <c r="J2391" s="4" t="n">
        <f aca="false">F2391*H2391</f>
        <v>626.88</v>
      </c>
      <c r="K2391" s="4" t="n">
        <f aca="false">I2391-J2391</f>
        <v>332.96</v>
      </c>
      <c r="L2391" s="5" t="n">
        <f aca="false">IFERROR(K2391/I2391,0)</f>
        <v>0.346891148524754</v>
      </c>
    </row>
    <row r="2392" customFormat="false" ht="15" hidden="false" customHeight="false" outlineLevel="0" collapsed="false">
      <c r="A2392" s="2" t="s">
        <v>52</v>
      </c>
      <c r="B2392" s="2" t="s">
        <v>54</v>
      </c>
      <c r="C2392" s="2" t="s">
        <v>32</v>
      </c>
      <c r="D2392" s="2" t="s">
        <v>33</v>
      </c>
      <c r="E2392" s="3" t="n">
        <v>46204</v>
      </c>
      <c r="F2392" s="2" t="n">
        <v>17</v>
      </c>
      <c r="G2392" s="4" t="n">
        <v>49.99</v>
      </c>
      <c r="H2392" s="4" t="n">
        <v>36.83</v>
      </c>
      <c r="I2392" s="4" t="n">
        <f aca="false">F2392*G2392</f>
        <v>849.83</v>
      </c>
      <c r="J2392" s="4" t="n">
        <f aca="false">F2392*H2392</f>
        <v>626.11</v>
      </c>
      <c r="K2392" s="4" t="n">
        <f aca="false">I2392-J2392</f>
        <v>223.72</v>
      </c>
      <c r="L2392" s="5" t="n">
        <f aca="false">IFERROR(K2392/I2392,0)</f>
        <v>0.263252650530106</v>
      </c>
    </row>
    <row r="2393" customFormat="false" ht="15" hidden="false" customHeight="false" outlineLevel="0" collapsed="false">
      <c r="A2393" s="2" t="s">
        <v>52</v>
      </c>
      <c r="B2393" s="2" t="s">
        <v>54</v>
      </c>
      <c r="C2393" s="2" t="s">
        <v>32</v>
      </c>
      <c r="D2393" s="2" t="s">
        <v>34</v>
      </c>
      <c r="E2393" s="3" t="n">
        <v>46204</v>
      </c>
      <c r="F2393" s="2" t="n">
        <v>24</v>
      </c>
      <c r="G2393" s="4" t="n">
        <v>27.99</v>
      </c>
      <c r="H2393" s="4" t="n">
        <v>20.11</v>
      </c>
      <c r="I2393" s="4" t="n">
        <f aca="false">F2393*G2393</f>
        <v>671.76</v>
      </c>
      <c r="J2393" s="4" t="n">
        <f aca="false">F2393*H2393</f>
        <v>482.64</v>
      </c>
      <c r="K2393" s="4" t="n">
        <f aca="false">I2393-J2393</f>
        <v>189.12</v>
      </c>
      <c r="L2393" s="5" t="n">
        <f aca="false">IFERROR(K2393/I2393,0)</f>
        <v>0.281529117541979</v>
      </c>
    </row>
    <row r="2394" customFormat="false" ht="15" hidden="false" customHeight="false" outlineLevel="0" collapsed="false">
      <c r="A2394" s="2" t="s">
        <v>52</v>
      </c>
      <c r="B2394" s="2" t="s">
        <v>54</v>
      </c>
      <c r="C2394" s="2" t="s">
        <v>32</v>
      </c>
      <c r="D2394" s="2" t="s">
        <v>35</v>
      </c>
      <c r="E2394" s="3" t="n">
        <v>46204</v>
      </c>
      <c r="F2394" s="2" t="n">
        <v>22</v>
      </c>
      <c r="G2394" s="4" t="n">
        <v>64.99</v>
      </c>
      <c r="H2394" s="4" t="n">
        <v>46.19</v>
      </c>
      <c r="I2394" s="4" t="n">
        <f aca="false">F2394*G2394</f>
        <v>1429.78</v>
      </c>
      <c r="J2394" s="4" t="n">
        <f aca="false">F2394*H2394</f>
        <v>1016.18</v>
      </c>
      <c r="K2394" s="4" t="n">
        <f aca="false">I2394-J2394</f>
        <v>413.6</v>
      </c>
      <c r="L2394" s="5" t="n">
        <f aca="false">IFERROR(K2394/I2394,0)</f>
        <v>0.289275273118941</v>
      </c>
    </row>
    <row r="2395" customFormat="false" ht="15" hidden="false" customHeight="false" outlineLevel="0" collapsed="false">
      <c r="A2395" s="2" t="s">
        <v>52</v>
      </c>
      <c r="B2395" s="2" t="s">
        <v>54</v>
      </c>
      <c r="C2395" s="2" t="s">
        <v>32</v>
      </c>
      <c r="D2395" s="2" t="s">
        <v>36</v>
      </c>
      <c r="E2395" s="3" t="n">
        <v>46204</v>
      </c>
      <c r="F2395" s="2" t="n">
        <v>18</v>
      </c>
      <c r="G2395" s="4" t="n">
        <v>22.99</v>
      </c>
      <c r="H2395" s="4" t="n">
        <v>16.35</v>
      </c>
      <c r="I2395" s="4" t="n">
        <f aca="false">F2395*G2395</f>
        <v>413.82</v>
      </c>
      <c r="J2395" s="4" t="n">
        <f aca="false">F2395*H2395</f>
        <v>294.3</v>
      </c>
      <c r="K2395" s="4" t="n">
        <f aca="false">I2395-J2395</f>
        <v>119.52</v>
      </c>
      <c r="L2395" s="5" t="n">
        <f aca="false">IFERROR(K2395/I2395,0)</f>
        <v>0.28882122662027</v>
      </c>
    </row>
    <row r="2396" customFormat="false" ht="15" hidden="false" customHeight="false" outlineLevel="0" collapsed="false">
      <c r="A2396" s="2" t="s">
        <v>52</v>
      </c>
      <c r="B2396" s="2" t="s">
        <v>54</v>
      </c>
      <c r="C2396" s="2" t="s">
        <v>32</v>
      </c>
      <c r="D2396" s="2" t="s">
        <v>37</v>
      </c>
      <c r="E2396" s="3" t="n">
        <v>46204</v>
      </c>
      <c r="F2396" s="2" t="n">
        <v>17</v>
      </c>
      <c r="G2396" s="4" t="n">
        <v>29.99</v>
      </c>
      <c r="H2396" s="4" t="n">
        <v>19.99</v>
      </c>
      <c r="I2396" s="4" t="n">
        <f aca="false">F2396*G2396</f>
        <v>509.83</v>
      </c>
      <c r="J2396" s="4" t="n">
        <f aca="false">F2396*H2396</f>
        <v>339.83</v>
      </c>
      <c r="K2396" s="4" t="n">
        <f aca="false">I2396-J2396</f>
        <v>170</v>
      </c>
      <c r="L2396" s="5" t="n">
        <f aca="false">IFERROR(K2396/I2396,0)</f>
        <v>0.333444481493831</v>
      </c>
    </row>
    <row r="2397" customFormat="false" ht="15" hidden="false" customHeight="false" outlineLevel="0" collapsed="false">
      <c r="A2397" s="2" t="s">
        <v>52</v>
      </c>
      <c r="B2397" s="2" t="s">
        <v>54</v>
      </c>
      <c r="C2397" s="2" t="s">
        <v>38</v>
      </c>
      <c r="D2397" s="2" t="s">
        <v>39</v>
      </c>
      <c r="E2397" s="3" t="n">
        <v>46204</v>
      </c>
      <c r="F2397" s="2" t="n">
        <v>18</v>
      </c>
      <c r="G2397" s="4" t="n">
        <v>129.99</v>
      </c>
      <c r="H2397" s="4" t="n">
        <v>74.56</v>
      </c>
      <c r="I2397" s="4" t="n">
        <f aca="false">F2397*G2397</f>
        <v>2339.82</v>
      </c>
      <c r="J2397" s="4" t="n">
        <f aca="false">F2397*H2397</f>
        <v>1342.08</v>
      </c>
      <c r="K2397" s="4" t="n">
        <f aca="false">I2397-J2397</f>
        <v>997.74</v>
      </c>
      <c r="L2397" s="5" t="n">
        <f aca="false">IFERROR(K2397/I2397,0)</f>
        <v>0.426417416724364</v>
      </c>
    </row>
    <row r="2398" customFormat="false" ht="15" hidden="false" customHeight="false" outlineLevel="0" collapsed="false">
      <c r="A2398" s="2" t="s">
        <v>52</v>
      </c>
      <c r="B2398" s="2" t="s">
        <v>54</v>
      </c>
      <c r="C2398" s="2" t="s">
        <v>38</v>
      </c>
      <c r="D2398" s="2" t="s">
        <v>40</v>
      </c>
      <c r="E2398" s="3" t="n">
        <v>46204</v>
      </c>
      <c r="F2398" s="2" t="n">
        <v>12</v>
      </c>
      <c r="G2398" s="4" t="n">
        <v>74.99</v>
      </c>
      <c r="H2398" s="4" t="n">
        <v>41.49</v>
      </c>
      <c r="I2398" s="4" t="n">
        <f aca="false">F2398*G2398</f>
        <v>899.88</v>
      </c>
      <c r="J2398" s="4" t="n">
        <f aca="false">F2398*H2398</f>
        <v>497.88</v>
      </c>
      <c r="K2398" s="4" t="n">
        <f aca="false">I2398-J2398</f>
        <v>402</v>
      </c>
      <c r="L2398" s="5" t="n">
        <f aca="false">IFERROR(K2398/I2398,0)</f>
        <v>0.446726230164022</v>
      </c>
    </row>
    <row r="2399" customFormat="false" ht="15" hidden="false" customHeight="false" outlineLevel="0" collapsed="false">
      <c r="A2399" s="2" t="s">
        <v>52</v>
      </c>
      <c r="B2399" s="2" t="s">
        <v>54</v>
      </c>
      <c r="C2399" s="2" t="s">
        <v>38</v>
      </c>
      <c r="D2399" s="2" t="s">
        <v>41</v>
      </c>
      <c r="E2399" s="3" t="n">
        <v>46204</v>
      </c>
      <c r="F2399" s="2" t="n">
        <v>13</v>
      </c>
      <c r="G2399" s="4" t="n">
        <v>19.99</v>
      </c>
      <c r="H2399" s="4" t="n">
        <v>9.51</v>
      </c>
      <c r="I2399" s="4" t="n">
        <f aca="false">F2399*G2399</f>
        <v>259.87</v>
      </c>
      <c r="J2399" s="4" t="n">
        <f aca="false">F2399*H2399</f>
        <v>123.63</v>
      </c>
      <c r="K2399" s="4" t="n">
        <f aca="false">I2399-J2399</f>
        <v>136.24</v>
      </c>
      <c r="L2399" s="5" t="n">
        <f aca="false">IFERROR(K2399/I2399,0)</f>
        <v>0.524262131065533</v>
      </c>
    </row>
    <row r="2400" customFormat="false" ht="15" hidden="false" customHeight="false" outlineLevel="0" collapsed="false">
      <c r="A2400" s="2" t="s">
        <v>52</v>
      </c>
      <c r="B2400" s="2" t="s">
        <v>54</v>
      </c>
      <c r="C2400" s="2" t="s">
        <v>38</v>
      </c>
      <c r="D2400" s="2" t="s">
        <v>42</v>
      </c>
      <c r="E2400" s="3" t="n">
        <v>46204</v>
      </c>
      <c r="F2400" s="2" t="n">
        <v>8</v>
      </c>
      <c r="G2400" s="4" t="n">
        <v>16.99</v>
      </c>
      <c r="H2400" s="4" t="n">
        <v>8.6</v>
      </c>
      <c r="I2400" s="4" t="n">
        <f aca="false">F2400*G2400</f>
        <v>135.92</v>
      </c>
      <c r="J2400" s="4" t="n">
        <f aca="false">F2400*H2400</f>
        <v>68.8</v>
      </c>
      <c r="K2400" s="4" t="n">
        <f aca="false">I2400-J2400</f>
        <v>67.12</v>
      </c>
      <c r="L2400" s="5" t="n">
        <f aca="false">IFERROR(K2400/I2400,0)</f>
        <v>0.493819894055327</v>
      </c>
    </row>
    <row r="2401" customFormat="false" ht="15" hidden="false" customHeight="false" outlineLevel="0" collapsed="false">
      <c r="A2401" s="2" t="s">
        <v>52</v>
      </c>
      <c r="B2401" s="2" t="s">
        <v>54</v>
      </c>
      <c r="C2401" s="2" t="s">
        <v>38</v>
      </c>
      <c r="D2401" s="2" t="s">
        <v>43</v>
      </c>
      <c r="E2401" s="3" t="n">
        <v>46204</v>
      </c>
      <c r="F2401" s="2" t="n">
        <v>13</v>
      </c>
      <c r="G2401" s="4" t="n">
        <v>24.99</v>
      </c>
      <c r="H2401" s="4" t="n">
        <v>13.14</v>
      </c>
      <c r="I2401" s="4" t="n">
        <f aca="false">F2401*G2401</f>
        <v>324.87</v>
      </c>
      <c r="J2401" s="4" t="n">
        <f aca="false">F2401*H2401</f>
        <v>170.82</v>
      </c>
      <c r="K2401" s="4" t="n">
        <f aca="false">I2401-J2401</f>
        <v>154.05</v>
      </c>
      <c r="L2401" s="5" t="n">
        <f aca="false">IFERROR(K2401/I2401,0)</f>
        <v>0.474189675870348</v>
      </c>
    </row>
  </sheetData>
  <autoFilter ref="A1:L2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customFormat="false" ht="15" hidden="false" customHeight="false" outlineLevel="0" collapsed="false">
      <c r="A2" s="2" t="s">
        <v>44</v>
      </c>
      <c r="B2" s="4" t="n">
        <f aca="false">SUMIFS('Raw Data'!$I:$I,'Raw Data'!$A:$A,A2)</f>
        <v>444123.14</v>
      </c>
      <c r="C2" s="4" t="n">
        <f aca="false">SUMIFS('Raw Data'!$J:$J,'Raw Data'!$A:$A,A2)</f>
        <v>253563.56</v>
      </c>
      <c r="D2" s="4" t="n">
        <f aca="false">B2-C2</f>
        <v>190559.58</v>
      </c>
      <c r="E2" s="5" t="n">
        <f aca="false">IFERROR(D2/B2,0)</f>
        <v>0.429069244174037</v>
      </c>
    </row>
    <row r="3" customFormat="false" ht="15" hidden="false" customHeight="false" outlineLevel="0" collapsed="false">
      <c r="A3" s="2" t="s">
        <v>47</v>
      </c>
      <c r="B3" s="4" t="n">
        <f aca="false">SUMIFS('Raw Data'!$I:$I,'Raw Data'!$A:$A,A3)</f>
        <v>415919.51</v>
      </c>
      <c r="C3" s="4" t="n">
        <f aca="false">SUMIFS('Raw Data'!$J:$J,'Raw Data'!$A:$A,A3)</f>
        <v>236894.61</v>
      </c>
      <c r="D3" s="4" t="n">
        <f aca="false">B3-C3</f>
        <v>179024.9</v>
      </c>
      <c r="E3" s="5" t="n">
        <f aca="false">IFERROR(D3/B3,0)</f>
        <v>0.43043159961407</v>
      </c>
    </row>
    <row r="4" customFormat="false" ht="15" hidden="false" customHeight="false" outlineLevel="0" collapsed="false">
      <c r="A4" s="2" t="s">
        <v>12</v>
      </c>
      <c r="B4" s="4" t="n">
        <f aca="false">SUMIFS('Raw Data'!$I:$I,'Raw Data'!$A:$A,A4)</f>
        <v>229774.07</v>
      </c>
      <c r="C4" s="4" t="n">
        <f aca="false">SUMIFS('Raw Data'!$J:$J,'Raw Data'!$A:$A,A4)</f>
        <v>130284.72</v>
      </c>
      <c r="D4" s="4" t="n">
        <f aca="false">B4-C4</f>
        <v>99489.35</v>
      </c>
      <c r="E4" s="5" t="n">
        <f aca="false">IFERROR(D4/B4,0)</f>
        <v>0.432987717021333</v>
      </c>
    </row>
    <row r="5" customFormat="false" ht="15" hidden="false" customHeight="false" outlineLevel="0" collapsed="false">
      <c r="A5" s="2" t="s">
        <v>52</v>
      </c>
      <c r="B5" s="4" t="n">
        <f aca="false">SUMIFS('Raw Data'!$I:$I,'Raw Data'!$A:$A,A5)</f>
        <v>468366.64</v>
      </c>
      <c r="C5" s="4" t="n">
        <f aca="false">SUMIFS('Raw Data'!$J:$J,'Raw Data'!$A:$A,A5)</f>
        <v>266528.7</v>
      </c>
      <c r="D5" s="4" t="n">
        <f aca="false">B5-C5</f>
        <v>201837.94</v>
      </c>
      <c r="E5" s="5" t="n">
        <f aca="false">IFERROR(D5/B5,0)</f>
        <v>0.430940043039786</v>
      </c>
    </row>
    <row r="6" customFormat="false" ht="15" hidden="false" customHeight="false" outlineLevel="0" collapsed="false">
      <c r="A6" s="2" t="s">
        <v>50</v>
      </c>
      <c r="B6" s="4" t="n">
        <f aca="false">SUMIFS('Raw Data'!$I:$I,'Raw Data'!$A:$A,A6)</f>
        <v>167909.99</v>
      </c>
      <c r="C6" s="4" t="n">
        <f aca="false">SUMIFS('Raw Data'!$J:$J,'Raw Data'!$A:$A,A6)</f>
        <v>95790.04</v>
      </c>
      <c r="D6" s="4" t="n">
        <f aca="false">B6-C6</f>
        <v>72119.95</v>
      </c>
      <c r="E6" s="5" t="n">
        <f aca="false">IFERROR(D6/B6,0)</f>
        <v>0.429515539843698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</row>
    <row r="2" customFormat="false" ht="15" hidden="false" customHeight="false" outlineLevel="0" collapsed="false">
      <c r="A2" s="2" t="s">
        <v>26</v>
      </c>
      <c r="B2" s="4" t="n">
        <f aca="false">SUMIFS('Raw Data'!$I:$I,'Raw Data'!$C:$C,A2)</f>
        <v>505900.83</v>
      </c>
      <c r="C2" s="4" t="n">
        <f aca="false">SUMIFS('Raw Data'!$J:$J,'Raw Data'!$C:$C,A2)</f>
        <v>329827.78</v>
      </c>
      <c r="D2" s="4" t="n">
        <f aca="false">B2-C2</f>
        <v>176073.05</v>
      </c>
      <c r="E2" s="5" t="n">
        <f aca="false">IFERROR(D2/B2,0)</f>
        <v>0.348038665997049</v>
      </c>
    </row>
    <row r="3" customFormat="false" ht="15" hidden="false" customHeight="false" outlineLevel="0" collapsed="false">
      <c r="A3" s="2" t="s">
        <v>14</v>
      </c>
      <c r="B3" s="4" t="n">
        <f aca="false">SUMIFS('Raw Data'!$I:$I,'Raw Data'!$C:$C,A3)</f>
        <v>368208.66</v>
      </c>
      <c r="C3" s="4" t="n">
        <f aca="false">SUMIFS('Raw Data'!$J:$J,'Raw Data'!$C:$C,A3)</f>
        <v>171664.33</v>
      </c>
      <c r="D3" s="4" t="n">
        <f aca="false">B3-C3</f>
        <v>196544.33</v>
      </c>
      <c r="E3" s="5" t="n">
        <f aca="false">IFERROR(D3/B3,0)</f>
        <v>0.533785191255415</v>
      </c>
    </row>
    <row r="4" customFormat="false" ht="15" hidden="false" customHeight="false" outlineLevel="0" collapsed="false">
      <c r="A4" s="2" t="s">
        <v>32</v>
      </c>
      <c r="B4" s="4" t="n">
        <f aca="false">SUMIFS('Raw Data'!$I:$I,'Raw Data'!$C:$C,A4)</f>
        <v>278589.96</v>
      </c>
      <c r="C4" s="4" t="n">
        <f aca="false">SUMIFS('Raw Data'!$J:$J,'Raw Data'!$C:$C,A4)</f>
        <v>197008.96</v>
      </c>
      <c r="D4" s="4" t="n">
        <f aca="false">B4-C4</f>
        <v>81581</v>
      </c>
      <c r="E4" s="5" t="n">
        <f aca="false">IFERROR(D4/B4,0)</f>
        <v>0.292835391483598</v>
      </c>
    </row>
    <row r="5" customFormat="false" ht="15" hidden="false" customHeight="false" outlineLevel="0" collapsed="false">
      <c r="A5" s="2" t="s">
        <v>20</v>
      </c>
      <c r="B5" s="4" t="n">
        <f aca="false">SUMIFS('Raw Data'!$I:$I,'Raw Data'!$C:$C,A5)</f>
        <v>227508.47</v>
      </c>
      <c r="C5" s="4" t="n">
        <f aca="false">SUMIFS('Raw Data'!$J:$J,'Raw Data'!$C:$C,A5)</f>
        <v>93048.06</v>
      </c>
      <c r="D5" s="4" t="n">
        <f aca="false">B5-C5</f>
        <v>134460.41</v>
      </c>
      <c r="E5" s="5" t="n">
        <f aca="false">IFERROR(D5/B5,0)</f>
        <v>0.591012765370889</v>
      </c>
    </row>
    <row r="6" customFormat="false" ht="15" hidden="false" customHeight="false" outlineLevel="0" collapsed="false">
      <c r="A6" s="2" t="s">
        <v>38</v>
      </c>
      <c r="B6" s="4" t="n">
        <f aca="false">SUMIFS('Raw Data'!$I:$I,'Raw Data'!$C:$C,A6)</f>
        <v>345885.43</v>
      </c>
      <c r="C6" s="4" t="n">
        <f aca="false">SUMIFS('Raw Data'!$J:$J,'Raw Data'!$C:$C,A6)</f>
        <v>191512.5</v>
      </c>
      <c r="D6" s="4" t="n">
        <f aca="false">B6-C6</f>
        <v>154372.93</v>
      </c>
      <c r="E6" s="5" t="n">
        <f aca="false">IFERROR(D6/B6,0)</f>
        <v>0.446312323707882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26.85" hidden="false" customHeight="false" outlineLevel="0" collapsed="false">
      <c r="A1" s="1" t="s">
        <v>4</v>
      </c>
      <c r="B1" s="1" t="s">
        <v>55</v>
      </c>
      <c r="C1" s="1" t="s">
        <v>56</v>
      </c>
      <c r="D1" s="1" t="s">
        <v>57</v>
      </c>
    </row>
    <row r="2" customFormat="false" ht="15" hidden="false" customHeight="false" outlineLevel="0" collapsed="false">
      <c r="A2" s="3" t="n">
        <v>45870</v>
      </c>
      <c r="B2" s="4" t="n">
        <f aca="false">SUMIFS('Raw Data'!$I:$I,'Raw Data'!$E:$E,A2)</f>
        <v>144877.77</v>
      </c>
      <c r="C2" s="4" t="n">
        <f aca="false">SUMIFS('Raw Data'!$I:$I,'Raw Data'!$E:$E,A2,'Raw Data'!$C:$C,"Electronics")</f>
        <v>37088.48</v>
      </c>
      <c r="D2" s="4" t="n">
        <f aca="false">SUMIFS('Raw Data'!$K:$K,'Raw Data'!$E:$E,A2)</f>
        <v>63236.78</v>
      </c>
    </row>
    <row r="3" customFormat="false" ht="15" hidden="false" customHeight="false" outlineLevel="0" collapsed="false">
      <c r="A3" s="3" t="n">
        <v>45901</v>
      </c>
      <c r="B3" s="4" t="n">
        <f aca="false">SUMIFS('Raw Data'!$I:$I,'Raw Data'!$E:$E,A3)</f>
        <v>141926.99</v>
      </c>
      <c r="C3" s="4" t="n">
        <f aca="false">SUMIFS('Raw Data'!$I:$I,'Raw Data'!$E:$E,A3,'Raw Data'!$C:$C,"Electronics")</f>
        <v>37808.28</v>
      </c>
      <c r="D3" s="4" t="n">
        <f aca="false">SUMIFS('Raw Data'!$K:$K,'Raw Data'!$E:$E,A3)</f>
        <v>61504.65</v>
      </c>
    </row>
    <row r="4" customFormat="false" ht="15" hidden="false" customHeight="false" outlineLevel="0" collapsed="false">
      <c r="A4" s="3" t="n">
        <v>45931</v>
      </c>
      <c r="B4" s="4" t="n">
        <f aca="false">SUMIFS('Raw Data'!$I:$I,'Raw Data'!$E:$E,A4)</f>
        <v>141872.4</v>
      </c>
      <c r="C4" s="4" t="n">
        <f aca="false">SUMIFS('Raw Data'!$I:$I,'Raw Data'!$E:$E,A4,'Raw Data'!$C:$C,"Electronics")</f>
        <v>32864.04</v>
      </c>
      <c r="D4" s="4" t="n">
        <f aca="false">SUMIFS('Raw Data'!$K:$K,'Raw Data'!$E:$E,A4)</f>
        <v>62189.58</v>
      </c>
    </row>
    <row r="5" customFormat="false" ht="15" hidden="false" customHeight="false" outlineLevel="0" collapsed="false">
      <c r="A5" s="3" t="n">
        <v>45962</v>
      </c>
      <c r="B5" s="4" t="n">
        <f aca="false">SUMIFS('Raw Data'!$I:$I,'Raw Data'!$E:$E,A5)</f>
        <v>177997.59</v>
      </c>
      <c r="C5" s="4" t="n">
        <f aca="false">SUMIFS('Raw Data'!$I:$I,'Raw Data'!$E:$E,A5,'Raw Data'!$C:$C,"Electronics")</f>
        <v>78906.06</v>
      </c>
      <c r="D5" s="4" t="n">
        <f aca="false">SUMIFS('Raw Data'!$K:$K,'Raw Data'!$E:$E,A5)</f>
        <v>73852.14</v>
      </c>
    </row>
    <row r="6" customFormat="false" ht="15" hidden="false" customHeight="false" outlineLevel="0" collapsed="false">
      <c r="A6" s="3" t="n">
        <v>45992</v>
      </c>
      <c r="B6" s="4" t="n">
        <f aca="false">SUMIFS('Raw Data'!$I:$I,'Raw Data'!$E:$E,A6)</f>
        <v>197970.08</v>
      </c>
      <c r="C6" s="4" t="n">
        <f aca="false">SUMIFS('Raw Data'!$I:$I,'Raw Data'!$E:$E,A6,'Raw Data'!$C:$C,"Electronics")</f>
        <v>93483.73</v>
      </c>
      <c r="D6" s="4" t="n">
        <f aca="false">SUMIFS('Raw Data'!$K:$K,'Raw Data'!$E:$E,A6)</f>
        <v>80886.93</v>
      </c>
    </row>
    <row r="7" customFormat="false" ht="15" hidden="false" customHeight="false" outlineLevel="0" collapsed="false">
      <c r="A7" s="3" t="n">
        <v>46023</v>
      </c>
      <c r="B7" s="4" t="n">
        <f aca="false">SUMIFS('Raw Data'!$I:$I,'Raw Data'!$E:$E,A7)</f>
        <v>135230.11</v>
      </c>
      <c r="C7" s="4" t="n">
        <f aca="false">SUMIFS('Raw Data'!$I:$I,'Raw Data'!$E:$E,A7,'Raw Data'!$C:$C,"Electronics")</f>
        <v>32074.28</v>
      </c>
      <c r="D7" s="4" t="n">
        <f aca="false">SUMIFS('Raw Data'!$K:$K,'Raw Data'!$E:$E,A7)</f>
        <v>58799.15</v>
      </c>
    </row>
    <row r="8" customFormat="false" ht="15" hidden="false" customHeight="false" outlineLevel="0" collapsed="false">
      <c r="A8" s="3" t="n">
        <v>46054</v>
      </c>
      <c r="B8" s="4" t="n">
        <f aca="false">SUMIFS('Raw Data'!$I:$I,'Raw Data'!$E:$E,A8)</f>
        <v>129533.83</v>
      </c>
      <c r="C8" s="4" t="n">
        <f aca="false">SUMIFS('Raw Data'!$I:$I,'Raw Data'!$E:$E,A8,'Raw Data'!$C:$C,"Electronics")</f>
        <v>32084.39</v>
      </c>
      <c r="D8" s="4" t="n">
        <f aca="false">SUMIFS('Raw Data'!$K:$K,'Raw Data'!$E:$E,A8)</f>
        <v>56314.48</v>
      </c>
    </row>
    <row r="9" customFormat="false" ht="15" hidden="false" customHeight="false" outlineLevel="0" collapsed="false">
      <c r="A9" s="3" t="n">
        <v>46082</v>
      </c>
      <c r="B9" s="4" t="n">
        <f aca="false">SUMIFS('Raw Data'!$I:$I,'Raw Data'!$E:$E,A9)</f>
        <v>135598.26</v>
      </c>
      <c r="C9" s="4" t="n">
        <f aca="false">SUMIFS('Raw Data'!$I:$I,'Raw Data'!$E:$E,A9,'Raw Data'!$C:$C,"Electronics")</f>
        <v>33029.05</v>
      </c>
      <c r="D9" s="4" t="n">
        <f aca="false">SUMIFS('Raw Data'!$K:$K,'Raw Data'!$E:$E,A9)</f>
        <v>59142.27</v>
      </c>
    </row>
    <row r="10" customFormat="false" ht="15" hidden="false" customHeight="false" outlineLevel="0" collapsed="false">
      <c r="A10" s="3" t="n">
        <v>46113</v>
      </c>
      <c r="B10" s="4" t="n">
        <f aca="false">SUMIFS('Raw Data'!$I:$I,'Raw Data'!$E:$E,A10)</f>
        <v>136606.88</v>
      </c>
      <c r="C10" s="4" t="n">
        <f aca="false">SUMIFS('Raw Data'!$I:$I,'Raw Data'!$E:$E,A10,'Raw Data'!$C:$C,"Electronics")</f>
        <v>34628.8</v>
      </c>
      <c r="D10" s="4" t="n">
        <f aca="false">SUMIFS('Raw Data'!$K:$K,'Raw Data'!$E:$E,A10)</f>
        <v>59287.44</v>
      </c>
    </row>
    <row r="11" customFormat="false" ht="15" hidden="false" customHeight="false" outlineLevel="0" collapsed="false">
      <c r="A11" s="3" t="n">
        <v>46143</v>
      </c>
      <c r="B11" s="4" t="n">
        <f aca="false">SUMIFS('Raw Data'!$I:$I,'Raw Data'!$E:$E,A11)</f>
        <v>124501.81</v>
      </c>
      <c r="C11" s="4" t="n">
        <f aca="false">SUMIFS('Raw Data'!$I:$I,'Raw Data'!$E:$E,A11,'Raw Data'!$C:$C,"Electronics")</f>
        <v>30809.65</v>
      </c>
      <c r="D11" s="4" t="n">
        <f aca="false">SUMIFS('Raw Data'!$K:$K,'Raw Data'!$E:$E,A11)</f>
        <v>54503.99</v>
      </c>
    </row>
    <row r="12" customFormat="false" ht="15" hidden="false" customHeight="false" outlineLevel="0" collapsed="false">
      <c r="A12" s="3" t="n">
        <v>46174</v>
      </c>
      <c r="B12" s="4" t="n">
        <f aca="false">SUMIFS('Raw Data'!$I:$I,'Raw Data'!$E:$E,A12)</f>
        <v>128469.39</v>
      </c>
      <c r="C12" s="4" t="n">
        <f aca="false">SUMIFS('Raw Data'!$I:$I,'Raw Data'!$E:$E,A12,'Raw Data'!$C:$C,"Electronics")</f>
        <v>32259.55</v>
      </c>
      <c r="D12" s="4" t="n">
        <f aca="false">SUMIFS('Raw Data'!$K:$K,'Raw Data'!$E:$E,A12)</f>
        <v>56021.59</v>
      </c>
    </row>
    <row r="13" customFormat="false" ht="15" hidden="false" customHeight="false" outlineLevel="0" collapsed="false">
      <c r="A13" s="3" t="n">
        <v>46204</v>
      </c>
      <c r="B13" s="4" t="n">
        <f aca="false">SUMIFS('Raw Data'!$I:$I,'Raw Data'!$E:$E,A13)</f>
        <v>131508.24</v>
      </c>
      <c r="C13" s="4" t="n">
        <f aca="false">SUMIFS('Raw Data'!$I:$I,'Raw Data'!$E:$E,A13,'Raw Data'!$C:$C,"Electronics")</f>
        <v>30864.52</v>
      </c>
      <c r="D13" s="4" t="n">
        <f aca="false">SUMIFS('Raw Data'!$K:$K,'Raw Data'!$E:$E,A13)</f>
        <v>57292.72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1" t="s">
        <v>1</v>
      </c>
      <c r="B1" s="1" t="s">
        <v>0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11</v>
      </c>
    </row>
    <row r="2" customFormat="false" ht="15" hidden="false" customHeight="false" outlineLevel="0" collapsed="false">
      <c r="A2" s="2" t="s">
        <v>46</v>
      </c>
      <c r="B2" s="2" t="str">
        <f aca="false">INDEX('Raw Data'!$A:$A,MATCH(A2,'Raw Data'!$B:$B,0))</f>
        <v>Northeast</v>
      </c>
      <c r="C2" s="4" t="n">
        <f aca="false">SUMIFS('Raw Data'!$I:$I,'Raw Data'!$B:$B,A2,'Raw Data'!$E:$E,"&gt;="&amp;DATE(2025,8,1),'Raw Data'!$E:$E,"&lt;"&amp;DATE(2026,2,1))</f>
        <v>92183.88</v>
      </c>
      <c r="D2" s="4" t="n">
        <f aca="false">SUMIFS('Raw Data'!$I:$I,'Raw Data'!$B:$B,A2,'Raw Data'!$E:$E,"&gt;="&amp;DATE(2026,2,1),'Raw Data'!$E:$E,"&lt;"&amp;DATE(2026,8,1))</f>
        <v>82910.42</v>
      </c>
      <c r="E2" s="5" t="n">
        <f aca="false">IFERROR((D2-C2)/C2,0)</f>
        <v>-0.100597414645598</v>
      </c>
      <c r="F2" s="4" t="n">
        <f aca="false">C2+D2</f>
        <v>175094.3</v>
      </c>
      <c r="G2" s="4" t="n">
        <f aca="false">SUMIFS('Raw Data'!$K:$K,'Raw Data'!$B:$B,A2)</f>
        <v>75493.49</v>
      </c>
      <c r="H2" s="5" t="n">
        <f aca="false">IFERROR(G2/F2,0)</f>
        <v>0.431159038301075</v>
      </c>
    </row>
    <row r="3" customFormat="false" ht="15" hidden="false" customHeight="false" outlineLevel="0" collapsed="false">
      <c r="A3" s="2" t="s">
        <v>45</v>
      </c>
      <c r="B3" s="2" t="str">
        <f aca="false">INDEX('Raw Data'!$A:$A,MATCH(A3,'Raw Data'!$B:$B,0))</f>
        <v>Northeast</v>
      </c>
      <c r="C3" s="4" t="n">
        <f aca="false">SUMIFS('Raw Data'!$I:$I,'Raw Data'!$B:$B,A3,'Raw Data'!$E:$E,"&gt;="&amp;DATE(2025,8,1),'Raw Data'!$E:$E,"&lt;"&amp;DATE(2026,2,1))</f>
        <v>142750.88</v>
      </c>
      <c r="D3" s="4" t="n">
        <f aca="false">SUMIFS('Raw Data'!$I:$I,'Raw Data'!$B:$B,A3,'Raw Data'!$E:$E,"&gt;="&amp;DATE(2026,2,1),'Raw Data'!$E:$E,"&lt;"&amp;DATE(2026,8,1))</f>
        <v>126277.96</v>
      </c>
      <c r="E3" s="5" t="n">
        <f aca="false">IFERROR((D3-C3)/C3,0)</f>
        <v>-0.115396276366212</v>
      </c>
      <c r="F3" s="4" t="n">
        <f aca="false">C3+D3</f>
        <v>269028.84</v>
      </c>
      <c r="G3" s="4" t="n">
        <f aca="false">SUMIFS('Raw Data'!$K:$K,'Raw Data'!$B:$B,A3)</f>
        <v>115066.09</v>
      </c>
      <c r="H3" s="5" t="n">
        <f aca="false">IFERROR(G3/F3,0)</f>
        <v>0.427709125906353</v>
      </c>
    </row>
    <row r="4" customFormat="false" ht="15" hidden="false" customHeight="false" outlineLevel="0" collapsed="false">
      <c r="A4" s="2" t="s">
        <v>48</v>
      </c>
      <c r="B4" s="2" t="str">
        <f aca="false">INDEX('Raw Data'!$A:$A,MATCH(A4,'Raw Data'!$B:$B,0))</f>
        <v>Southeast</v>
      </c>
      <c r="C4" s="4" t="n">
        <f aca="false">SUMIFS('Raw Data'!$I:$I,'Raw Data'!$B:$B,A4,'Raw Data'!$E:$E,"&gt;="&amp;DATE(2025,8,1),'Raw Data'!$E:$E,"&lt;"&amp;DATE(2026,2,1))</f>
        <v>107573.86</v>
      </c>
      <c r="D4" s="4" t="n">
        <f aca="false">SUMIFS('Raw Data'!$I:$I,'Raw Data'!$B:$B,A4,'Raw Data'!$E:$E,"&gt;="&amp;DATE(2026,2,1),'Raw Data'!$E:$E,"&lt;"&amp;DATE(2026,8,1))</f>
        <v>89663.5</v>
      </c>
      <c r="E4" s="5" t="n">
        <f aca="false">IFERROR((D4-C4)/C4,0)</f>
        <v>-0.166493607275968</v>
      </c>
      <c r="F4" s="4" t="n">
        <f aca="false">C4+D4</f>
        <v>197237.36</v>
      </c>
      <c r="G4" s="4" t="n">
        <f aca="false">SUMIFS('Raw Data'!$K:$K,'Raw Data'!$B:$B,A4)</f>
        <v>84148.94</v>
      </c>
      <c r="H4" s="5" t="n">
        <f aca="false">IFERROR(G4/F4,0)</f>
        <v>0.426637935125475</v>
      </c>
    </row>
    <row r="5" customFormat="false" ht="15" hidden="false" customHeight="false" outlineLevel="0" collapsed="false">
      <c r="A5" s="2" t="s">
        <v>49</v>
      </c>
      <c r="B5" s="2" t="str">
        <f aca="false">INDEX('Raw Data'!$A:$A,MATCH(A5,'Raw Data'!$B:$B,0))</f>
        <v>Southeast</v>
      </c>
      <c r="C5" s="4" t="n">
        <f aca="false">SUMIFS('Raw Data'!$I:$I,'Raw Data'!$B:$B,A5,'Raw Data'!$E:$E,"&gt;="&amp;DATE(2025,8,1),'Raw Data'!$E:$E,"&lt;"&amp;DATE(2026,2,1))</f>
        <v>139362.48</v>
      </c>
      <c r="D5" s="4" t="n">
        <f aca="false">SUMIFS('Raw Data'!$I:$I,'Raw Data'!$B:$B,A5,'Raw Data'!$E:$E,"&gt;="&amp;DATE(2026,2,1),'Raw Data'!$E:$E,"&lt;"&amp;DATE(2026,8,1))</f>
        <v>79319.67</v>
      </c>
      <c r="E5" s="5" t="n">
        <f aca="false">IFERROR((D5-C5)/C5,0)</f>
        <v>-0.430839132598674</v>
      </c>
      <c r="F5" s="4" t="n">
        <f aca="false">C5+D5</f>
        <v>218682.15</v>
      </c>
      <c r="G5" s="4" t="n">
        <f aca="false">SUMIFS('Raw Data'!$K:$K,'Raw Data'!$B:$B,A5)</f>
        <v>94875.96</v>
      </c>
      <c r="H5" s="5" t="n">
        <f aca="false">IFERROR(G5/F5,0)</f>
        <v>0.433853243165937</v>
      </c>
    </row>
    <row r="6" customFormat="false" ht="15" hidden="false" customHeight="false" outlineLevel="0" collapsed="false">
      <c r="A6" s="2" t="s">
        <v>13</v>
      </c>
      <c r="B6" s="2" t="str">
        <f aca="false">INDEX('Raw Data'!$A:$A,MATCH(A6,'Raw Data'!$B:$B,0))</f>
        <v>Midwest</v>
      </c>
      <c r="C6" s="4" t="n">
        <f aca="false">SUMIFS('Raw Data'!$I:$I,'Raw Data'!$B:$B,A6,'Raw Data'!$E:$E,"&gt;="&amp;DATE(2025,8,1),'Raw Data'!$E:$E,"&lt;"&amp;DATE(2026,2,1))</f>
        <v>117432.97</v>
      </c>
      <c r="D6" s="4" t="n">
        <f aca="false">SUMIFS('Raw Data'!$I:$I,'Raw Data'!$B:$B,A6,'Raw Data'!$E:$E,"&gt;="&amp;DATE(2026,2,1),'Raw Data'!$E:$E,"&lt;"&amp;DATE(2026,8,1))</f>
        <v>112341.1</v>
      </c>
      <c r="E6" s="5" t="n">
        <f aca="false">IFERROR((D6-C6)/C6,0)</f>
        <v>-0.0433597992114141</v>
      </c>
      <c r="F6" s="4" t="n">
        <f aca="false">C6+D6</f>
        <v>229774.07</v>
      </c>
      <c r="G6" s="4" t="n">
        <f aca="false">SUMIFS('Raw Data'!$K:$K,'Raw Data'!$B:$B,A6)</f>
        <v>99489.35</v>
      </c>
      <c r="H6" s="5" t="n">
        <f aca="false">IFERROR(G6/F6,0)</f>
        <v>0.432987717021333</v>
      </c>
    </row>
    <row r="7" customFormat="false" ht="15" hidden="false" customHeight="false" outlineLevel="0" collapsed="false">
      <c r="A7" s="2" t="s">
        <v>53</v>
      </c>
      <c r="B7" s="2" t="str">
        <f aca="false">INDEX('Raw Data'!$A:$A,MATCH(A7,'Raw Data'!$B:$B,0))</f>
        <v>West</v>
      </c>
      <c r="C7" s="4" t="n">
        <f aca="false">SUMIFS('Raw Data'!$I:$I,'Raw Data'!$B:$B,A7,'Raw Data'!$E:$E,"&gt;="&amp;DATE(2025,8,1),'Raw Data'!$E:$E,"&lt;"&amp;DATE(2026,2,1))</f>
        <v>116015.06</v>
      </c>
      <c r="D7" s="4" t="n">
        <f aca="false">SUMIFS('Raw Data'!$I:$I,'Raw Data'!$B:$B,A7,'Raw Data'!$E:$E,"&gt;="&amp;DATE(2026,2,1),'Raw Data'!$E:$E,"&lt;"&amp;DATE(2026,8,1))</f>
        <v>103471.75</v>
      </c>
      <c r="E7" s="5" t="n">
        <f aca="false">IFERROR((D7-C7)/C7,0)</f>
        <v>-0.108117946066657</v>
      </c>
      <c r="F7" s="4" t="n">
        <f aca="false">C7+D7</f>
        <v>219486.81</v>
      </c>
      <c r="G7" s="4" t="n">
        <f aca="false">SUMIFS('Raw Data'!$K:$K,'Raw Data'!$B:$B,A7)</f>
        <v>95062.61</v>
      </c>
      <c r="H7" s="5" t="n">
        <f aca="false">IFERROR(G7/F7,0)</f>
        <v>0.433113087752289</v>
      </c>
    </row>
    <row r="8" customFormat="false" ht="15" hidden="false" customHeight="false" outlineLevel="0" collapsed="false">
      <c r="A8" s="2" t="s">
        <v>54</v>
      </c>
      <c r="B8" s="2" t="str">
        <f aca="false">INDEX('Raw Data'!$A:$A,MATCH(A8,'Raw Data'!$B:$B,0))</f>
        <v>West</v>
      </c>
      <c r="C8" s="4" t="n">
        <f aca="false">SUMIFS('Raw Data'!$I:$I,'Raw Data'!$B:$B,A8,'Raw Data'!$E:$E,"&gt;="&amp;DATE(2025,8,1),'Raw Data'!$E:$E,"&lt;"&amp;DATE(2026,2,1))</f>
        <v>134860.09</v>
      </c>
      <c r="D8" s="4" t="n">
        <f aca="false">SUMIFS('Raw Data'!$I:$I,'Raw Data'!$B:$B,A8,'Raw Data'!$E:$E,"&gt;="&amp;DATE(2026,2,1),'Raw Data'!$E:$E,"&lt;"&amp;DATE(2026,8,1))</f>
        <v>114019.74</v>
      </c>
      <c r="E8" s="5" t="n">
        <f aca="false">IFERROR((D8-C8)/C8,0)</f>
        <v>-0.154533116506151</v>
      </c>
      <c r="F8" s="4" t="n">
        <f aca="false">C8+D8</f>
        <v>248879.83</v>
      </c>
      <c r="G8" s="4" t="n">
        <f aca="false">SUMIFS('Raw Data'!$K:$K,'Raw Data'!$B:$B,A8)</f>
        <v>106775.33</v>
      </c>
      <c r="H8" s="5" t="n">
        <f aca="false">IFERROR(G8/F8,0)</f>
        <v>0.429023637632668</v>
      </c>
    </row>
    <row r="9" customFormat="false" ht="15" hidden="false" customHeight="false" outlineLevel="0" collapsed="false">
      <c r="A9" s="2" t="s">
        <v>51</v>
      </c>
      <c r="B9" s="2" t="str">
        <f aca="false">INDEX('Raw Data'!$A:$A,MATCH(A9,'Raw Data'!$B:$B,0))</f>
        <v>Southwest</v>
      </c>
      <c r="C9" s="4" t="n">
        <f aca="false">SUMIFS('Raw Data'!$I:$I,'Raw Data'!$B:$B,A9,'Raw Data'!$E:$E,"&gt;="&amp;DATE(2025,8,1),'Raw Data'!$E:$E,"&lt;"&amp;DATE(2026,2,1))</f>
        <v>89695.72</v>
      </c>
      <c r="D9" s="4" t="n">
        <f aca="false">SUMIFS('Raw Data'!$I:$I,'Raw Data'!$B:$B,A9,'Raw Data'!$E:$E,"&gt;="&amp;DATE(2026,2,1),'Raw Data'!$E:$E,"&lt;"&amp;DATE(2026,8,1))</f>
        <v>78214.27</v>
      </c>
      <c r="E9" s="5" t="n">
        <f aca="false">IFERROR((D9-C9)/C9,0)</f>
        <v>-0.128004435440175</v>
      </c>
      <c r="F9" s="4" t="n">
        <f aca="false">C9+D9</f>
        <v>167909.99</v>
      </c>
      <c r="G9" s="4" t="n">
        <f aca="false">SUMIFS('Raw Data'!$K:$K,'Raw Data'!$B:$B,A9)</f>
        <v>72119.95</v>
      </c>
      <c r="H9" s="5" t="n">
        <f aca="false">IFERROR(G9/F9,0)</f>
        <v>0.429515539843698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3</v>
      </c>
      <c r="B1" s="1" t="s">
        <v>2</v>
      </c>
      <c r="C1" s="1" t="s">
        <v>8</v>
      </c>
      <c r="D1" s="1" t="s">
        <v>10</v>
      </c>
      <c r="E1" s="1" t="s">
        <v>11</v>
      </c>
    </row>
    <row r="2" customFormat="false" ht="15" hidden="false" customHeight="false" outlineLevel="0" collapsed="false">
      <c r="A2" s="2" t="s">
        <v>31</v>
      </c>
      <c r="B2" s="2" t="str">
        <f aca="false">INDEX('Raw Data'!$C:$C,MATCH(A2,'Raw Data'!$D:$D,0))</f>
        <v>Electronics</v>
      </c>
      <c r="C2" s="4" t="n">
        <f aca="false">SUMIFS('Raw Data'!$I:$I,'Raw Data'!$D:$D,A2)</f>
        <v>108881.85</v>
      </c>
      <c r="D2" s="4" t="n">
        <f aca="false">SUMIFS('Raw Data'!$K:$K,'Raw Data'!$D:$D,A2)</f>
        <v>38019.65</v>
      </c>
      <c r="E2" s="5" t="n">
        <f aca="false">IFERROR(D2/C2,0)</f>
        <v>0.349182623182835</v>
      </c>
    </row>
    <row r="3" customFormat="false" ht="15" hidden="false" customHeight="false" outlineLevel="0" collapsed="false">
      <c r="A3" s="2" t="s">
        <v>27</v>
      </c>
      <c r="B3" s="2" t="str">
        <f aca="false">INDEX('Raw Data'!$C:$C,MATCH(A3,'Raw Data'!$D:$D,0))</f>
        <v>Electronics</v>
      </c>
      <c r="C3" s="4" t="n">
        <f aca="false">SUMIFS('Raw Data'!$I:$I,'Raw Data'!$D:$D,A3)</f>
        <v>79182.4</v>
      </c>
      <c r="D3" s="4" t="n">
        <f aca="false">SUMIFS('Raw Data'!$K:$K,'Raw Data'!$D:$D,A3)</f>
        <v>30195.22</v>
      </c>
      <c r="E3" s="5" t="n">
        <f aca="false">IFERROR(D3/C3,0)</f>
        <v>0.381337519448766</v>
      </c>
    </row>
    <row r="4" customFormat="false" ht="15" hidden="false" customHeight="false" outlineLevel="0" collapsed="false">
      <c r="A4" s="2" t="s">
        <v>29</v>
      </c>
      <c r="B4" s="2" t="str">
        <f aca="false">INDEX('Raw Data'!$C:$C,MATCH(A4,'Raw Data'!$D:$D,0))</f>
        <v>Electronics</v>
      </c>
      <c r="C4" s="4" t="n">
        <f aca="false">SUMIFS('Raw Data'!$I:$I,'Raw Data'!$D:$D,A4)</f>
        <v>210702.44</v>
      </c>
      <c r="D4" s="4" t="n">
        <f aca="false">SUMIFS('Raw Data'!$K:$K,'Raw Data'!$D:$D,A4)</f>
        <v>67324.93</v>
      </c>
      <c r="E4" s="5" t="n">
        <f aca="false">IFERROR(D4/C4,0)</f>
        <v>0.319526105155688</v>
      </c>
    </row>
    <row r="5" customFormat="false" ht="15" hidden="false" customHeight="false" outlineLevel="0" collapsed="false">
      <c r="A5" s="2" t="s">
        <v>30</v>
      </c>
      <c r="B5" s="2" t="str">
        <f aca="false">INDEX('Raw Data'!$C:$C,MATCH(A5,'Raw Data'!$D:$D,0))</f>
        <v>Electronics</v>
      </c>
      <c r="C5" s="4" t="n">
        <f aca="false">SUMIFS('Raw Data'!$I:$I,'Raw Data'!$D:$D,A5)</f>
        <v>45831.66</v>
      </c>
      <c r="D5" s="4" t="n">
        <f aca="false">SUMIFS('Raw Data'!$K:$K,'Raw Data'!$D:$D,A5)</f>
        <v>18404.32</v>
      </c>
      <c r="E5" s="5" t="n">
        <f aca="false">IFERROR(D5/C5,0)</f>
        <v>0.401563460716893</v>
      </c>
    </row>
    <row r="6" customFormat="false" ht="15" hidden="false" customHeight="false" outlineLevel="0" collapsed="false">
      <c r="A6" s="2" t="s">
        <v>28</v>
      </c>
      <c r="B6" s="2" t="str">
        <f aca="false">INDEX('Raw Data'!$C:$C,MATCH(A6,'Raw Data'!$D:$D,0))</f>
        <v>Electronics</v>
      </c>
      <c r="C6" s="4" t="n">
        <f aca="false">SUMIFS('Raw Data'!$I:$I,'Raw Data'!$D:$D,A6)</f>
        <v>61302.48</v>
      </c>
      <c r="D6" s="4" t="n">
        <f aca="false">SUMIFS('Raw Data'!$K:$K,'Raw Data'!$D:$D,A6)</f>
        <v>22128.93</v>
      </c>
      <c r="E6" s="5" t="n">
        <f aca="false">IFERROR(D6/C6,0)</f>
        <v>0.360979360051991</v>
      </c>
    </row>
    <row r="7" customFormat="false" ht="15" hidden="false" customHeight="false" outlineLevel="0" collapsed="false">
      <c r="A7" s="2" t="s">
        <v>16</v>
      </c>
      <c r="B7" s="2" t="str">
        <f aca="false">INDEX('Raw Data'!$C:$C,MATCH(A7,'Raw Data'!$D:$D,0))</f>
        <v>Apparel</v>
      </c>
      <c r="C7" s="4" t="n">
        <f aca="false">SUMIFS('Raw Data'!$I:$I,'Raw Data'!$D:$D,A7)</f>
        <v>28865.56</v>
      </c>
      <c r="D7" s="4" t="n">
        <f aca="false">SUMIFS('Raw Data'!$K:$K,'Raw Data'!$D:$D,A7)</f>
        <v>15869.54</v>
      </c>
      <c r="E7" s="5" t="n">
        <f aca="false">IFERROR(D7/C7,0)</f>
        <v>0.549774194576513</v>
      </c>
    </row>
    <row r="8" customFormat="false" ht="15" hidden="false" customHeight="false" outlineLevel="0" collapsed="false">
      <c r="A8" s="2" t="s">
        <v>18</v>
      </c>
      <c r="B8" s="2" t="str">
        <f aca="false">INDEX('Raw Data'!$C:$C,MATCH(A8,'Raw Data'!$D:$D,0))</f>
        <v>Apparel</v>
      </c>
      <c r="C8" s="4" t="n">
        <f aca="false">SUMIFS('Raw Data'!$I:$I,'Raw Data'!$D:$D,A8)</f>
        <v>50805.48</v>
      </c>
      <c r="D8" s="4" t="n">
        <f aca="false">SUMIFS('Raw Data'!$K:$K,'Raw Data'!$D:$D,A8)</f>
        <v>29491.31</v>
      </c>
      <c r="E8" s="5" t="n">
        <f aca="false">IFERROR(D8/C8,0)</f>
        <v>0.580474980258035</v>
      </c>
    </row>
    <row r="9" customFormat="false" ht="15" hidden="false" customHeight="false" outlineLevel="0" collapsed="false">
      <c r="A9" s="2" t="s">
        <v>15</v>
      </c>
      <c r="B9" s="2" t="str">
        <f aca="false">INDEX('Raw Data'!$C:$C,MATCH(A9,'Raw Data'!$D:$D,0))</f>
        <v>Apparel</v>
      </c>
      <c r="C9" s="4" t="n">
        <f aca="false">SUMIFS('Raw Data'!$I:$I,'Raw Data'!$D:$D,A9)</f>
        <v>98755.89</v>
      </c>
      <c r="D9" s="4" t="n">
        <f aca="false">SUMIFS('Raw Data'!$K:$K,'Raw Data'!$D:$D,A9)</f>
        <v>51343.21</v>
      </c>
      <c r="E9" s="5" t="n">
        <f aca="false">IFERROR(D9/C9,0)</f>
        <v>0.51990023076092</v>
      </c>
    </row>
    <row r="10" customFormat="false" ht="15" hidden="false" customHeight="false" outlineLevel="0" collapsed="false">
      <c r="A10" s="2" t="s">
        <v>17</v>
      </c>
      <c r="B10" s="2" t="str">
        <f aca="false">INDEX('Raw Data'!$C:$C,MATCH(A10,'Raw Data'!$D:$D,0))</f>
        <v>Apparel</v>
      </c>
      <c r="C10" s="4" t="n">
        <f aca="false">SUMIFS('Raw Data'!$I:$I,'Raw Data'!$D:$D,A10)</f>
        <v>109826.27</v>
      </c>
      <c r="D10" s="4" t="n">
        <f aca="false">SUMIFS('Raw Data'!$K:$K,'Raw Data'!$D:$D,A10)</f>
        <v>55070.97</v>
      </c>
      <c r="E10" s="5" t="n">
        <f aca="false">IFERROR(D10/C10,0)</f>
        <v>0.501437133392584</v>
      </c>
    </row>
    <row r="11" customFormat="false" ht="15" hidden="false" customHeight="false" outlineLevel="0" collapsed="false">
      <c r="A11" s="2" t="s">
        <v>19</v>
      </c>
      <c r="B11" s="2" t="str">
        <f aca="false">INDEX('Raw Data'!$C:$C,MATCH(A11,'Raw Data'!$D:$D,0))</f>
        <v>Apparel</v>
      </c>
      <c r="C11" s="4" t="n">
        <f aca="false">SUMIFS('Raw Data'!$I:$I,'Raw Data'!$D:$D,A11)</f>
        <v>79955.46</v>
      </c>
      <c r="D11" s="4" t="n">
        <f aca="false">SUMIFS('Raw Data'!$K:$K,'Raw Data'!$D:$D,A11)</f>
        <v>44769.3</v>
      </c>
      <c r="E11" s="5" t="n">
        <f aca="false">IFERROR(D11/C11,0)</f>
        <v>0.559927989908381</v>
      </c>
    </row>
    <row r="12" customFormat="false" ht="15" hidden="false" customHeight="false" outlineLevel="0" collapsed="false">
      <c r="A12" s="2" t="s">
        <v>33</v>
      </c>
      <c r="B12" s="2" t="str">
        <f aca="false">INDEX('Raw Data'!$C:$C,MATCH(A12,'Raw Data'!$D:$D,0))</f>
        <v>Home &amp; Kitchen</v>
      </c>
      <c r="C12" s="4" t="n">
        <f aca="false">SUMIFS('Raw Data'!$I:$I,'Raw Data'!$D:$D,A12)</f>
        <v>71335.73</v>
      </c>
      <c r="D12" s="4" t="n">
        <f aca="false">SUMIFS('Raw Data'!$K:$K,'Raw Data'!$D:$D,A12)</f>
        <v>19869.13</v>
      </c>
      <c r="E12" s="5" t="n">
        <f aca="false">IFERROR(D12/C12,0)</f>
        <v>0.278529847525216</v>
      </c>
    </row>
    <row r="13" customFormat="false" ht="15" hidden="false" customHeight="false" outlineLevel="0" collapsed="false">
      <c r="A13" s="2" t="s">
        <v>35</v>
      </c>
      <c r="B13" s="2" t="str">
        <f aca="false">INDEX('Raw Data'!$C:$C,MATCH(A13,'Raw Data'!$D:$D,0))</f>
        <v>Home &amp; Kitchen</v>
      </c>
      <c r="C13" s="4" t="n">
        <f aca="false">SUMIFS('Raw Data'!$I:$I,'Raw Data'!$D:$D,A13)</f>
        <v>92220.81</v>
      </c>
      <c r="D13" s="4" t="n">
        <f aca="false">SUMIFS('Raw Data'!$K:$K,'Raw Data'!$D:$D,A13)</f>
        <v>27685.68</v>
      </c>
      <c r="E13" s="5" t="n">
        <f aca="false">IFERROR(D13/C13,0)</f>
        <v>0.300210765878114</v>
      </c>
    </row>
    <row r="14" customFormat="false" ht="15" hidden="false" customHeight="false" outlineLevel="0" collapsed="false">
      <c r="A14" s="2" t="s">
        <v>37</v>
      </c>
      <c r="B14" s="2" t="str">
        <f aca="false">INDEX('Raw Data'!$C:$C,MATCH(A14,'Raw Data'!$D:$D,0))</f>
        <v>Home &amp; Kitchen</v>
      </c>
      <c r="C14" s="4" t="n">
        <f aca="false">SUMIFS('Raw Data'!$I:$I,'Raw Data'!$D:$D,A14)</f>
        <v>43065.64</v>
      </c>
      <c r="D14" s="4" t="n">
        <f aca="false">SUMIFS('Raw Data'!$K:$K,'Raw Data'!$D:$D,A14)</f>
        <v>13802.73</v>
      </c>
      <c r="E14" s="5" t="n">
        <f aca="false">IFERROR(D14/C14,0)</f>
        <v>0.320504467134356</v>
      </c>
    </row>
    <row r="15" customFormat="false" ht="15" hidden="false" customHeight="false" outlineLevel="0" collapsed="false">
      <c r="A15" s="2" t="s">
        <v>34</v>
      </c>
      <c r="B15" s="2" t="str">
        <f aca="false">INDEX('Raw Data'!$C:$C,MATCH(A15,'Raw Data'!$D:$D,0))</f>
        <v>Home &amp; Kitchen</v>
      </c>
      <c r="C15" s="4" t="n">
        <f aca="false">SUMIFS('Raw Data'!$I:$I,'Raw Data'!$D:$D,A15)</f>
        <v>39689.82</v>
      </c>
      <c r="D15" s="4" t="n">
        <f aca="false">SUMIFS('Raw Data'!$K:$K,'Raw Data'!$D:$D,A15)</f>
        <v>11515.24</v>
      </c>
      <c r="E15" s="5" t="n">
        <f aca="false">IFERROR(D15/C15,0)</f>
        <v>0.290130819439342</v>
      </c>
    </row>
    <row r="16" customFormat="false" ht="15" hidden="false" customHeight="false" outlineLevel="0" collapsed="false">
      <c r="A16" s="2" t="s">
        <v>36</v>
      </c>
      <c r="B16" s="2" t="str">
        <f aca="false">INDEX('Raw Data'!$C:$C,MATCH(A16,'Raw Data'!$D:$D,0))</f>
        <v>Home &amp; Kitchen</v>
      </c>
      <c r="C16" s="4" t="n">
        <f aca="false">SUMIFS('Raw Data'!$I:$I,'Raw Data'!$D:$D,A16)</f>
        <v>32277.96</v>
      </c>
      <c r="D16" s="4" t="n">
        <f aca="false">SUMIFS('Raw Data'!$K:$K,'Raw Data'!$D:$D,A16)</f>
        <v>8708.22</v>
      </c>
      <c r="E16" s="5" t="n">
        <f aca="false">IFERROR(D16/C16,0)</f>
        <v>0.269788425290818</v>
      </c>
    </row>
    <row r="17" customFormat="false" ht="15" hidden="false" customHeight="false" outlineLevel="0" collapsed="false">
      <c r="A17" s="2" t="s">
        <v>22</v>
      </c>
      <c r="B17" s="2" t="str">
        <f aca="false">INDEX('Raw Data'!$C:$C,MATCH(A17,'Raw Data'!$D:$D,0))</f>
        <v>Beauty &amp; Personal Care</v>
      </c>
      <c r="C17" s="4" t="n">
        <f aca="false">SUMIFS('Raw Data'!$I:$I,'Raw Data'!$D:$D,A17)</f>
        <v>22095.26</v>
      </c>
      <c r="D17" s="4" t="n">
        <f aca="false">SUMIFS('Raw Data'!$K:$K,'Raw Data'!$D:$D,A17)</f>
        <v>13685.08</v>
      </c>
      <c r="E17" s="5" t="n">
        <f aca="false">IFERROR(D17/C17,0)</f>
        <v>0.619367230799728</v>
      </c>
    </row>
    <row r="18" customFormat="false" ht="15" hidden="false" customHeight="false" outlineLevel="0" collapsed="false">
      <c r="A18" s="2" t="s">
        <v>24</v>
      </c>
      <c r="B18" s="2" t="str">
        <f aca="false">INDEX('Raw Data'!$C:$C,MATCH(A18,'Raw Data'!$D:$D,0))</f>
        <v>Beauty &amp; Personal Care</v>
      </c>
      <c r="C18" s="4" t="n">
        <f aca="false">SUMIFS('Raw Data'!$I:$I,'Raw Data'!$D:$D,A18)</f>
        <v>26073.27</v>
      </c>
      <c r="D18" s="4" t="n">
        <f aca="false">SUMIFS('Raw Data'!$K:$K,'Raw Data'!$D:$D,A18)</f>
        <v>15623.78</v>
      </c>
      <c r="E18" s="5" t="n">
        <f aca="false">IFERROR(D18/C18,0)</f>
        <v>0.599225950561629</v>
      </c>
    </row>
    <row r="19" customFormat="false" ht="15" hidden="false" customHeight="false" outlineLevel="0" collapsed="false">
      <c r="A19" s="2" t="s">
        <v>23</v>
      </c>
      <c r="B19" s="2" t="str">
        <f aca="false">INDEX('Raw Data'!$C:$C,MATCH(A19,'Raw Data'!$D:$D,0))</f>
        <v>Beauty &amp; Personal Care</v>
      </c>
      <c r="C19" s="4" t="n">
        <f aca="false">SUMIFS('Raw Data'!$I:$I,'Raw Data'!$D:$D,A19)</f>
        <v>56385.9</v>
      </c>
      <c r="D19" s="4" t="n">
        <f aca="false">SUMIFS('Raw Data'!$K:$K,'Raw Data'!$D:$D,A19)</f>
        <v>32649.04</v>
      </c>
      <c r="E19" s="5" t="n">
        <f aca="false">IFERROR(D19/C19,0)</f>
        <v>0.579028445054526</v>
      </c>
    </row>
    <row r="20" customFormat="false" ht="15" hidden="false" customHeight="false" outlineLevel="0" collapsed="false">
      <c r="A20" s="2" t="s">
        <v>21</v>
      </c>
      <c r="B20" s="2" t="str">
        <f aca="false">INDEX('Raw Data'!$C:$C,MATCH(A20,'Raw Data'!$D:$D,0))</f>
        <v>Beauty &amp; Personal Care</v>
      </c>
      <c r="C20" s="4" t="n">
        <f aca="false">SUMIFS('Raw Data'!$I:$I,'Raw Data'!$D:$D,A20)</f>
        <v>61951.23</v>
      </c>
      <c r="D20" s="4" t="n">
        <f aca="false">SUMIFS('Raw Data'!$K:$K,'Raw Data'!$D:$D,A20)</f>
        <v>34084.78</v>
      </c>
      <c r="E20" s="5" t="n">
        <f aca="false">IFERROR(D20/C20,0)</f>
        <v>0.550187300558843</v>
      </c>
    </row>
    <row r="21" customFormat="false" ht="15" hidden="false" customHeight="false" outlineLevel="0" collapsed="false">
      <c r="A21" s="2" t="s">
        <v>25</v>
      </c>
      <c r="B21" s="2" t="str">
        <f aca="false">INDEX('Raw Data'!$C:$C,MATCH(A21,'Raw Data'!$D:$D,0))</f>
        <v>Beauty &amp; Personal Care</v>
      </c>
      <c r="C21" s="4" t="n">
        <f aca="false">SUMIFS('Raw Data'!$I:$I,'Raw Data'!$D:$D,A21)</f>
        <v>61002.81</v>
      </c>
      <c r="D21" s="4" t="n">
        <f aca="false">SUMIFS('Raw Data'!$K:$K,'Raw Data'!$D:$D,A21)</f>
        <v>38417.73</v>
      </c>
      <c r="E21" s="5" t="n">
        <f aca="false">IFERROR(D21/C21,0)</f>
        <v>0.629769841749913</v>
      </c>
    </row>
    <row r="22" customFormat="false" ht="15" hidden="false" customHeight="false" outlineLevel="0" collapsed="false">
      <c r="A22" s="2" t="s">
        <v>43</v>
      </c>
      <c r="B22" s="2" t="str">
        <f aca="false">INDEX('Raw Data'!$C:$C,MATCH(A22,'Raw Data'!$D:$D,0))</f>
        <v>Sports &amp; Outdoors</v>
      </c>
      <c r="C22" s="4" t="n">
        <f aca="false">SUMIFS('Raw Data'!$I:$I,'Raw Data'!$D:$D,A22)</f>
        <v>33061.77</v>
      </c>
      <c r="D22" s="4" t="n">
        <f aca="false">SUMIFS('Raw Data'!$K:$K,'Raw Data'!$D:$D,A22)</f>
        <v>15841.74</v>
      </c>
      <c r="E22" s="5" t="n">
        <f aca="false">IFERROR(D22/C22,0)</f>
        <v>0.479155834669469</v>
      </c>
    </row>
    <row r="23" customFormat="false" ht="15" hidden="false" customHeight="false" outlineLevel="0" collapsed="false">
      <c r="A23" s="2" t="s">
        <v>39</v>
      </c>
      <c r="B23" s="2" t="str">
        <f aca="false">INDEX('Raw Data'!$C:$C,MATCH(A23,'Raw Data'!$D:$D,0))</f>
        <v>Sports &amp; Outdoors</v>
      </c>
      <c r="C23" s="4" t="n">
        <f aca="false">SUMIFS('Raw Data'!$I:$I,'Raw Data'!$D:$D,A23)</f>
        <v>166907.16</v>
      </c>
      <c r="D23" s="4" t="n">
        <f aca="false">SUMIFS('Raw Data'!$K:$K,'Raw Data'!$D:$D,A23)</f>
        <v>69965.37</v>
      </c>
      <c r="E23" s="5" t="n">
        <f aca="false">IFERROR(D23/C23,0)</f>
        <v>0.419187349422278</v>
      </c>
    </row>
    <row r="24" customFormat="false" ht="15" hidden="false" customHeight="false" outlineLevel="0" collapsed="false">
      <c r="A24" s="2" t="s">
        <v>42</v>
      </c>
      <c r="B24" s="2" t="str">
        <f aca="false">INDEX('Raw Data'!$C:$C,MATCH(A24,'Raw Data'!$D:$D,0))</f>
        <v>Sports &amp; Outdoors</v>
      </c>
      <c r="C24" s="4" t="n">
        <f aca="false">SUMIFS('Raw Data'!$I:$I,'Raw Data'!$D:$D,A24)</f>
        <v>22307.87</v>
      </c>
      <c r="D24" s="4" t="n">
        <f aca="false">SUMIFS('Raw Data'!$K:$K,'Raw Data'!$D:$D,A24)</f>
        <v>11159.99</v>
      </c>
      <c r="E24" s="5" t="n">
        <f aca="false">IFERROR(D24/C24,0)</f>
        <v>0.500271428872411</v>
      </c>
    </row>
    <row r="25" customFormat="false" ht="15" hidden="false" customHeight="false" outlineLevel="0" collapsed="false">
      <c r="A25" s="2" t="s">
        <v>41</v>
      </c>
      <c r="B25" s="2" t="str">
        <f aca="false">INDEX('Raw Data'!$C:$C,MATCH(A25,'Raw Data'!$D:$D,0))</f>
        <v>Sports &amp; Outdoors</v>
      </c>
      <c r="C25" s="4" t="n">
        <f aca="false">SUMIFS('Raw Data'!$I:$I,'Raw Data'!$D:$D,A25)</f>
        <v>26946.52</v>
      </c>
      <c r="D25" s="4" t="n">
        <f aca="false">SUMIFS('Raw Data'!$K:$K,'Raw Data'!$D:$D,A25)</f>
        <v>13998.87</v>
      </c>
      <c r="E25" s="5" t="n">
        <f aca="false">IFERROR(D25/C25,0)</f>
        <v>0.519505672717665</v>
      </c>
    </row>
    <row r="26" customFormat="false" ht="15" hidden="false" customHeight="false" outlineLevel="0" collapsed="false">
      <c r="A26" s="2" t="s">
        <v>40</v>
      </c>
      <c r="B26" s="2" t="str">
        <f aca="false">INDEX('Raw Data'!$C:$C,MATCH(A26,'Raw Data'!$D:$D,0))</f>
        <v>Sports &amp; Outdoors</v>
      </c>
      <c r="C26" s="4" t="n">
        <f aca="false">SUMIFS('Raw Data'!$I:$I,'Raw Data'!$D:$D,A26)</f>
        <v>96662.11</v>
      </c>
      <c r="D26" s="4" t="n">
        <f aca="false">SUMIFS('Raw Data'!$K:$K,'Raw Data'!$D:$D,A26)</f>
        <v>43406.96</v>
      </c>
      <c r="E26" s="5" t="n">
        <f aca="false">IFERROR(D26/C26,0)</f>
        <v>0.4490586849387</v>
      </c>
    </row>
    <row r="28" customFormat="false" ht="15" hidden="false" customHeight="false" outlineLevel="0" collapsed="false">
      <c r="A28" s="6" t="s">
        <v>63</v>
      </c>
    </row>
    <row r="29" customFormat="false" ht="15" hidden="false" customHeight="false" outlineLevel="0" collapsed="false">
      <c r="A29" s="7" t="s">
        <v>64</v>
      </c>
      <c r="B29" s="7" t="s">
        <v>3</v>
      </c>
      <c r="C29" s="7" t="s">
        <v>8</v>
      </c>
    </row>
    <row r="30" customFormat="false" ht="15" hidden="false" customHeight="false" outlineLevel="0" collapsed="false">
      <c r="A30" s="2" t="n">
        <v>1</v>
      </c>
      <c r="B30" s="2" t="str">
        <f aca="false">INDEX($A$2:$A$26,MATCH(C30,$C$2:$C$26,0))</f>
        <v>Smartwatch</v>
      </c>
      <c r="C30" s="4" t="n">
        <f aca="false">LARGE($C$2:$C$26,1)</f>
        <v>210702.44</v>
      </c>
    </row>
    <row r="31" customFormat="false" ht="15" hidden="false" customHeight="false" outlineLevel="0" collapsed="false">
      <c r="A31" s="2" t="n">
        <v>2</v>
      </c>
      <c r="B31" s="2" t="str">
        <f aca="false">INDEX($A$2:$A$26,MATCH(C31,$C$2:$C$26,0))</f>
        <v>Camping Tent</v>
      </c>
      <c r="C31" s="4" t="n">
        <f aca="false">LARGE($C$2:$C$26,2)</f>
        <v>166907.16</v>
      </c>
    </row>
    <row r="32" customFormat="false" ht="15" hidden="false" customHeight="false" outlineLevel="0" collapsed="false">
      <c r="A32" s="2" t="n">
        <v>3</v>
      </c>
      <c r="B32" s="2" t="str">
        <f aca="false">INDEX($A$2:$A$26,MATCH(C32,$C$2:$C$26,0))</f>
        <v>Running Shoes</v>
      </c>
      <c r="C32" s="4" t="n">
        <f aca="false">LARGE($C$2:$C$26,3)</f>
        <v>109826.27</v>
      </c>
    </row>
    <row r="33" customFormat="false" ht="15" hidden="false" customHeight="false" outlineLevel="0" collapsed="false">
      <c r="A33" s="2" t="n">
        <v>4</v>
      </c>
      <c r="B33" s="2" t="str">
        <f aca="false">INDEX($A$2:$A$26,MATCH(C33,$C$2:$C$26,0))</f>
        <v>Wireless Earbuds</v>
      </c>
      <c r="C33" s="4" t="n">
        <f aca="false">LARGE($C$2:$C$26,4)</f>
        <v>108881.85</v>
      </c>
    </row>
    <row r="34" customFormat="false" ht="15" hidden="false" customHeight="false" outlineLevel="0" collapsed="false">
      <c r="A34" s="2" t="n">
        <v>5</v>
      </c>
      <c r="B34" s="2" t="str">
        <f aca="false">INDEX($A$2:$A$26,MATCH(C34,$C$2:$C$26,0))</f>
        <v>Denim Jacket</v>
      </c>
      <c r="C34" s="4" t="n">
        <f aca="false">LARGE($C$2:$C$26,5)</f>
        <v>98755.89</v>
      </c>
    </row>
    <row r="35" customFormat="false" ht="15" hidden="false" customHeight="false" outlineLevel="0" collapsed="false">
      <c r="A35" s="6" t="s">
        <v>65</v>
      </c>
    </row>
    <row r="36" customFormat="false" ht="15" hidden="false" customHeight="false" outlineLevel="0" collapsed="false">
      <c r="A36" s="7" t="s">
        <v>64</v>
      </c>
      <c r="B36" s="7" t="s">
        <v>3</v>
      </c>
      <c r="C36" s="7" t="s">
        <v>8</v>
      </c>
    </row>
    <row r="37" customFormat="false" ht="15" hidden="false" customHeight="false" outlineLevel="0" collapsed="false">
      <c r="A37" s="2" t="n">
        <v>1</v>
      </c>
      <c r="B37" s="2" t="str">
        <f aca="false">INDEX($A$2:$A$26,MATCH(C37,$C$2:$C$26,0))</f>
        <v>Facial Cleanser</v>
      </c>
      <c r="C37" s="4" t="n">
        <f aca="false">SMALL($C$2:$C$26,1)</f>
        <v>22095.26</v>
      </c>
    </row>
    <row r="38" customFormat="false" ht="15" hidden="false" customHeight="false" outlineLevel="0" collapsed="false">
      <c r="A38" s="2" t="n">
        <v>2</v>
      </c>
      <c r="B38" s="2" t="str">
        <f aca="false">INDEX($A$2:$A$26,MATCH(C38,$C$2:$C$26,0))</f>
        <v>Water Bottle</v>
      </c>
      <c r="C38" s="4" t="n">
        <f aca="false">SMALL($C$2:$C$26,2)</f>
        <v>22307.87</v>
      </c>
    </row>
    <row r="39" customFormat="false" ht="15" hidden="false" customHeight="false" outlineLevel="0" collapsed="false">
      <c r="A39" s="2" t="n">
        <v>3</v>
      </c>
      <c r="B39" s="2" t="str">
        <f aca="false">INDEX($A$2:$A$26,MATCH(C39,$C$2:$C$26,0))</f>
        <v>Moisturizer</v>
      </c>
      <c r="C39" s="4" t="n">
        <f aca="false">SMALL($C$2:$C$26,3)</f>
        <v>26073.27</v>
      </c>
    </row>
    <row r="40" customFormat="false" ht="15" hidden="false" customHeight="false" outlineLevel="0" collapsed="false">
      <c r="A40" s="2" t="n">
        <v>4</v>
      </c>
      <c r="B40" s="2" t="str">
        <f aca="false">INDEX($A$2:$A$26,MATCH(C40,$C$2:$C$26,0))</f>
        <v>Resistance Bands</v>
      </c>
      <c r="C40" s="4" t="n">
        <f aca="false">SMALL($C$2:$C$26,4)</f>
        <v>26946.52</v>
      </c>
    </row>
    <row r="41" customFormat="false" ht="15" hidden="false" customHeight="false" outlineLevel="0" collapsed="false">
      <c r="A41" s="2" t="n">
        <v>5</v>
      </c>
      <c r="B41" s="2" t="str">
        <f aca="false">INDEX($A$2:$A$26,MATCH(C41,$C$2:$C$26,0))</f>
        <v>Men's T-Shirt</v>
      </c>
      <c r="C41" s="4" t="n">
        <f aca="false">SMALL($C$2:$C$26,5)</f>
        <v>28865.56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8" t="s">
        <v>66</v>
      </c>
      <c r="B1" s="8"/>
      <c r="C1" s="8"/>
      <c r="D1" s="8"/>
    </row>
    <row r="2" customFormat="false" ht="15" hidden="false" customHeight="false" outlineLevel="0" collapsed="false">
      <c r="A2" s="9" t="s">
        <v>67</v>
      </c>
      <c r="B2" s="9"/>
      <c r="C2" s="9"/>
      <c r="D2" s="9"/>
    </row>
    <row r="4" customFormat="false" ht="15" hidden="false" customHeight="false" outlineLevel="0" collapsed="false">
      <c r="A4" s="6" t="s">
        <v>68</v>
      </c>
      <c r="B4" s="4" t="n">
        <f aca="false">SUM('Raw Data'!$I:$I)</f>
        <v>1726093.35</v>
      </c>
    </row>
    <row r="5" customFormat="false" ht="15" hidden="false" customHeight="false" outlineLevel="0" collapsed="false">
      <c r="A5" s="6" t="s">
        <v>69</v>
      </c>
      <c r="B5" s="4" t="n">
        <f aca="false">SUM('Raw Data'!$K:$K)</f>
        <v>743031.72</v>
      </c>
    </row>
    <row r="6" customFormat="false" ht="15" hidden="false" customHeight="false" outlineLevel="0" collapsed="false">
      <c r="A6" s="6" t="s">
        <v>70</v>
      </c>
      <c r="B6" s="5" t="n">
        <f aca="false">B5/B4</f>
        <v>0.430470182855406</v>
      </c>
    </row>
    <row r="7" customFormat="false" ht="15" hidden="false" customHeight="false" outlineLevel="0" collapsed="false">
      <c r="A7" s="6" t="s">
        <v>71</v>
      </c>
      <c r="B7" s="2" t="str">
        <f aca="false">INDEX('Regional Summary'!$A$2:$A$6,MATCH(MAX('Regional Summary'!$B$2:$B$6),'Regional Summary'!$B$2:$B$6,0))</f>
        <v>West</v>
      </c>
    </row>
    <row r="8" customFormat="false" ht="15" hidden="false" customHeight="false" outlineLevel="0" collapsed="false">
      <c r="A8" s="6" t="s">
        <v>72</v>
      </c>
      <c r="B8" s="4" t="n">
        <f aca="false">MAX('Regional Summary'!$B$2:$B$6)</f>
        <v>468366.64</v>
      </c>
    </row>
    <row r="9" customFormat="false" ht="15" hidden="false" customHeight="false" outlineLevel="0" collapsed="false">
      <c r="A9" s="6" t="s">
        <v>73</v>
      </c>
      <c r="B9" s="2" t="str">
        <f aca="false">INDEX('Regional Summary'!$A$2:$A$6,MATCH(MIN('Regional Summary'!$B$2:$B$6),'Regional Summary'!$B$2:$B$6,0))</f>
        <v>Southwest</v>
      </c>
    </row>
    <row r="10" customFormat="false" ht="15" hidden="false" customHeight="false" outlineLevel="0" collapsed="false">
      <c r="A10" s="6" t="s">
        <v>74</v>
      </c>
      <c r="B10" s="4" t="n">
        <f aca="false">MIN('Regional Summary'!$B$2:$B$6)</f>
        <v>167909.99</v>
      </c>
    </row>
    <row r="11" customFormat="false" ht="15" hidden="false" customHeight="false" outlineLevel="0" collapsed="false">
      <c r="A11" s="6" t="s">
        <v>75</v>
      </c>
      <c r="B11" s="2" t="str">
        <f aca="false">INDEX('Store Performance'!$A$2:$A$9,MATCH(MIN('Store Performance'!$E$2:$E$9),'Store Performance'!$E$2:$E$9,0))</f>
        <v>Miami</v>
      </c>
    </row>
    <row r="12" customFormat="false" ht="15" hidden="false" customHeight="false" outlineLevel="0" collapsed="false">
      <c r="A12" s="6" t="s">
        <v>76</v>
      </c>
      <c r="B12" s="5" t="n">
        <f aca="false">MIN('Store Performance'!$E$2:$E$9)</f>
        <v>-0.430839132598674</v>
      </c>
    </row>
    <row r="13" customFormat="false" ht="15" hidden="false" customHeight="false" outlineLevel="0" collapsed="false">
      <c r="A13" s="6" t="s">
        <v>77</v>
      </c>
      <c r="B13" s="2" t="str">
        <f aca="false">INDEX('Category Summary'!$A$2:$A$6,MATCH(MIN('Category Summary'!$E$2:$E$6),'Category Summary'!$E$2:$E$6,0))</f>
        <v>Home &amp; Kitchen</v>
      </c>
    </row>
    <row r="14" customFormat="false" ht="15" hidden="false" customHeight="false" outlineLevel="0" collapsed="false">
      <c r="A14" s="6" t="s">
        <v>78</v>
      </c>
      <c r="B14" s="5" t="n">
        <f aca="false">MIN('Category Summary'!$E$2:$E$6)</f>
        <v>0.292835391483598</v>
      </c>
    </row>
    <row r="15" customFormat="false" ht="15" hidden="false" customHeight="false" outlineLevel="0" collapsed="false">
      <c r="A15" s="6" t="s">
        <v>79</v>
      </c>
      <c r="B15" s="5" t="n">
        <f aca="false">AVERAGE('Monthly Trend'!$C$5:$C$6)/AVERAGE('Monthly Trend'!$C$2:$C$4,'Monthly Trend'!$C$7:$C$13)-1</f>
        <v>1.58446901787719</v>
      </c>
    </row>
    <row r="17" customFormat="false" ht="17.35" hidden="false" customHeight="false" outlineLevel="0" collapsed="false">
      <c r="A17" s="8" t="s">
        <v>80</v>
      </c>
      <c r="B17" s="8"/>
      <c r="C17" s="8"/>
      <c r="D17" s="8"/>
    </row>
    <row r="18" customFormat="false" ht="15" hidden="false" customHeight="false" outlineLevel="0" collapsed="false">
      <c r="A18" s="9" t="s">
        <v>81</v>
      </c>
      <c r="B18" s="9"/>
      <c r="C18" s="9"/>
      <c r="D18" s="9"/>
    </row>
    <row r="20" customFormat="false" ht="15" hidden="false" customHeight="false" outlineLevel="0" collapsed="false">
      <c r="A20" s="10" t="s">
        <v>82</v>
      </c>
      <c r="B20" s="10"/>
      <c r="C20" s="10"/>
      <c r="D20" s="10"/>
    </row>
    <row r="21" customFormat="false" ht="60" hidden="false" customHeight="true" outlineLevel="0" collapsed="false">
      <c r="A21" s="11" t="s">
        <v>83</v>
      </c>
      <c r="B21" s="11"/>
      <c r="C21" s="11"/>
      <c r="D21" s="11"/>
    </row>
    <row r="23" customFormat="false" ht="15" hidden="false" customHeight="false" outlineLevel="0" collapsed="false">
      <c r="A23" s="10" t="s">
        <v>84</v>
      </c>
      <c r="B23" s="10"/>
      <c r="C23" s="10"/>
      <c r="D23" s="10"/>
    </row>
    <row r="24" customFormat="false" ht="60" hidden="false" customHeight="true" outlineLevel="0" collapsed="false">
      <c r="A24" s="11" t="s">
        <v>85</v>
      </c>
      <c r="B24" s="11"/>
      <c r="C24" s="11"/>
      <c r="D24" s="11"/>
    </row>
    <row r="26" customFormat="false" ht="15" hidden="false" customHeight="false" outlineLevel="0" collapsed="false">
      <c r="A26" s="10" t="s">
        <v>86</v>
      </c>
      <c r="B26" s="10"/>
      <c r="C26" s="10"/>
      <c r="D26" s="10"/>
    </row>
    <row r="27" customFormat="false" ht="60" hidden="false" customHeight="true" outlineLevel="0" collapsed="false">
      <c r="A27" s="11" t="s">
        <v>87</v>
      </c>
      <c r="B27" s="11"/>
      <c r="C27" s="11"/>
      <c r="D27" s="11"/>
    </row>
    <row r="29" customFormat="false" ht="15" hidden="false" customHeight="false" outlineLevel="0" collapsed="false">
      <c r="A29" s="10" t="s">
        <v>88</v>
      </c>
      <c r="B29" s="10"/>
      <c r="C29" s="10"/>
      <c r="D29" s="10"/>
    </row>
    <row r="30" customFormat="false" ht="60" hidden="false" customHeight="true" outlineLevel="0" collapsed="false">
      <c r="A30" s="11" t="s">
        <v>89</v>
      </c>
      <c r="B30" s="11"/>
      <c r="C30" s="11"/>
      <c r="D30" s="11"/>
    </row>
    <row r="32" customFormat="false" ht="15" hidden="false" customHeight="false" outlineLevel="0" collapsed="false">
      <c r="A32" s="10" t="s">
        <v>90</v>
      </c>
      <c r="B32" s="10"/>
      <c r="C32" s="10"/>
      <c r="D32" s="10"/>
    </row>
    <row r="33" customFormat="false" ht="60" hidden="false" customHeight="true" outlineLevel="0" collapsed="false">
      <c r="A33" s="11" t="s">
        <v>91</v>
      </c>
      <c r="B33" s="11"/>
      <c r="C33" s="11"/>
      <c r="D33" s="11"/>
    </row>
  </sheetData>
  <mergeCells count="14">
    <mergeCell ref="A1:D1"/>
    <mergeCell ref="A2:D2"/>
    <mergeCell ref="A17:D17"/>
    <mergeCell ref="A18:D18"/>
    <mergeCell ref="A20:D20"/>
    <mergeCell ref="A21:D21"/>
    <mergeCell ref="A23:D23"/>
    <mergeCell ref="A24:D24"/>
    <mergeCell ref="A26:D26"/>
    <mergeCell ref="A27:D27"/>
    <mergeCell ref="A29:D29"/>
    <mergeCell ref="A30:D30"/>
    <mergeCell ref="A32:D32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2026-08-13T16:04:58Z</dcterms:created>
  <dc:creator>openpyxl</dc:creator>
  <dc:description/>
  <dc:language>en-US</dc:language>
  <cp:lastModifiedBy/>
  <dcterms:modified xsi:type="dcterms:W3CDTF">2026-08-13T18:05:15Z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